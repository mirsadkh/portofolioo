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Book Hype AMD\OneDrive\Desktop\OneDrive\Documents\belajar\tamplate\"/>
    </mc:Choice>
  </mc:AlternateContent>
  <xr:revisionPtr revIDLastSave="0" documentId="13_ncr:1_{A83A8EAD-8499-4ED1-8700-0129FC5DD886}" xr6:coauthVersionLast="47" xr6:coauthVersionMax="47" xr10:uidLastSave="{00000000-0000-0000-0000-000000000000}"/>
  <bookViews>
    <workbookView xWindow="-108" yWindow="-108" windowWidth="23256" windowHeight="12456" firstSheet="3" activeTab="12" xr2:uid="{00000000-000D-0000-FFFF-FFFF00000000}"/>
  </bookViews>
  <sheets>
    <sheet name="Summary" sheetId="1" r:id="rId1"/>
    <sheet name="Bag. 1" sheetId="2" r:id="rId2"/>
    <sheet name="Bag. 2" sheetId="3" r:id="rId3"/>
    <sheet name="Bag. 3" sheetId="4" r:id="rId4"/>
    <sheet name="Bag. 4" sheetId="5" r:id="rId5"/>
    <sheet name="Bag. 5" sheetId="6" r:id="rId6"/>
    <sheet name="Bag. 6" sheetId="7" r:id="rId7"/>
    <sheet name="Bag. 7" sheetId="8" r:id="rId8"/>
    <sheet name="Bag. 8" sheetId="9" r:id="rId9"/>
    <sheet name="Bag. 9" sheetId="10" r:id="rId10"/>
    <sheet name="Bag. 10" sheetId="11" r:id="rId11"/>
    <sheet name="Bag. 11" sheetId="12" r:id="rId12"/>
    <sheet name="Sheet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7" i="9" l="1" a="1"/>
  <c r="K37" i="9" s="1"/>
  <c r="J37" i="9" a="1"/>
  <c r="J37" i="9" s="1"/>
  <c r="I37" i="9" a="1"/>
  <c r="I37" i="9" s="1"/>
  <c r="H37" i="9" a="1"/>
  <c r="H37" i="9" s="1"/>
  <c r="N6" i="8"/>
  <c r="J7" i="12"/>
  <c r="H28" i="9" a="1"/>
  <c r="H28" i="9" s="1"/>
  <c r="K7" i="6"/>
  <c r="K8" i="6"/>
  <c r="K9" i="6"/>
  <c r="K10" i="6"/>
  <c r="K11" i="6"/>
  <c r="K12" i="6"/>
  <c r="K13" i="6"/>
  <c r="K14" i="6"/>
  <c r="K15" i="6"/>
  <c r="M6" i="5"/>
  <c r="L6" i="5"/>
  <c r="M6" i="4"/>
  <c r="H48" i="9" a="1"/>
  <c r="H48" i="9" s="1"/>
  <c r="J11" i="12" l="1"/>
  <c r="J10" i="12"/>
  <c r="J9" i="12"/>
  <c r="J8" i="12"/>
  <c r="J6" i="12"/>
  <c r="J9" i="11"/>
  <c r="J8" i="11"/>
  <c r="J7" i="11"/>
  <c r="J6" i="11"/>
  <c r="D11" i="11"/>
  <c r="D10" i="11"/>
  <c r="D9" i="11"/>
  <c r="D8" i="11"/>
  <c r="D7" i="11"/>
  <c r="D6" i="11"/>
  <c r="H8" i="10"/>
  <c r="H7" i="10"/>
  <c r="H6" i="10"/>
  <c r="C13" i="10"/>
  <c r="B13" i="10"/>
  <c r="C12" i="10"/>
  <c r="B12" i="10"/>
  <c r="C11" i="10"/>
  <c r="B11" i="10"/>
  <c r="C10" i="10"/>
  <c r="B10" i="10"/>
  <c r="C9" i="10"/>
  <c r="B9" i="10"/>
  <c r="C8" i="10"/>
  <c r="B8" i="10"/>
  <c r="C7" i="10"/>
  <c r="B7" i="10"/>
  <c r="C6" i="10"/>
  <c r="B6" i="10"/>
  <c r="H19" i="9" a="1"/>
  <c r="H19" i="9" s="1"/>
  <c r="H12" i="9" a="1"/>
  <c r="H12" i="9" s="1"/>
  <c r="H6" i="9" a="1"/>
  <c r="H6" i="9" s="1"/>
  <c r="K15" i="8"/>
  <c r="K14" i="8"/>
  <c r="O10" i="8"/>
  <c r="N10" i="8"/>
  <c r="M10" i="8"/>
  <c r="L10" i="8"/>
  <c r="K10" i="8"/>
  <c r="J10" i="8"/>
  <c r="I10" i="8"/>
  <c r="H10" i="8"/>
  <c r="O9" i="8"/>
  <c r="N9" i="8"/>
  <c r="M9" i="8"/>
  <c r="L9" i="8"/>
  <c r="K9" i="8"/>
  <c r="J9" i="8"/>
  <c r="I9" i="8"/>
  <c r="H9" i="8"/>
  <c r="O8" i="8"/>
  <c r="N8" i="8"/>
  <c r="M8" i="8"/>
  <c r="L8" i="8"/>
  <c r="K8" i="8"/>
  <c r="J8" i="8"/>
  <c r="I8" i="8"/>
  <c r="H8" i="8"/>
  <c r="O7" i="8"/>
  <c r="N7" i="8"/>
  <c r="M7" i="8"/>
  <c r="L7" i="8"/>
  <c r="K7" i="8"/>
  <c r="J7" i="8"/>
  <c r="I7" i="8"/>
  <c r="H7" i="8"/>
  <c r="O6" i="8"/>
  <c r="M6" i="8"/>
  <c r="L6" i="8"/>
  <c r="K6" i="8"/>
  <c r="J6" i="8"/>
  <c r="I6" i="8"/>
  <c r="H6" i="8"/>
  <c r="F23" i="7"/>
  <c r="E23" i="7"/>
  <c r="D23" i="7"/>
  <c r="F22" i="7"/>
  <c r="E22" i="7"/>
  <c r="D22" i="7"/>
  <c r="F21" i="7"/>
  <c r="E21" i="7"/>
  <c r="D21" i="7"/>
  <c r="F20" i="7"/>
  <c r="E20" i="7"/>
  <c r="D20" i="7"/>
  <c r="F19" i="7"/>
  <c r="E19" i="7"/>
  <c r="D19" i="7"/>
  <c r="H15" i="7"/>
  <c r="G15" i="7"/>
  <c r="F15" i="7"/>
  <c r="E15" i="7"/>
  <c r="D15" i="7"/>
  <c r="H14" i="7"/>
  <c r="G14" i="7"/>
  <c r="F14" i="7"/>
  <c r="E14" i="7"/>
  <c r="D14" i="7"/>
  <c r="H13" i="7"/>
  <c r="G13" i="7"/>
  <c r="F13" i="7"/>
  <c r="E13" i="7"/>
  <c r="D13" i="7"/>
  <c r="H12" i="7"/>
  <c r="G12" i="7"/>
  <c r="F12" i="7"/>
  <c r="E12" i="7"/>
  <c r="D12" i="7"/>
  <c r="H11" i="7"/>
  <c r="G11" i="7"/>
  <c r="F11" i="7"/>
  <c r="E11" i="7"/>
  <c r="D11" i="7"/>
  <c r="H10" i="7"/>
  <c r="G10" i="7"/>
  <c r="F10" i="7"/>
  <c r="E10" i="7"/>
  <c r="D10" i="7"/>
  <c r="H9" i="7"/>
  <c r="G9" i="7"/>
  <c r="F9" i="7"/>
  <c r="E9" i="7"/>
  <c r="D9" i="7"/>
  <c r="H8" i="7"/>
  <c r="G8" i="7"/>
  <c r="F8" i="7"/>
  <c r="E8" i="7"/>
  <c r="D8" i="7"/>
  <c r="H7" i="7"/>
  <c r="G7" i="7"/>
  <c r="F7" i="7"/>
  <c r="E7" i="7"/>
  <c r="D7" i="7"/>
  <c r="H6" i="7"/>
  <c r="G6" i="7"/>
  <c r="F6" i="7"/>
  <c r="E6" i="7"/>
  <c r="D6" i="7"/>
  <c r="J19" i="6"/>
  <c r="J15" i="6"/>
  <c r="I15" i="6"/>
  <c r="H15" i="6"/>
  <c r="J14" i="6"/>
  <c r="I14" i="6"/>
  <c r="H14" i="6"/>
  <c r="J13" i="6"/>
  <c r="I13" i="6"/>
  <c r="H13" i="6"/>
  <c r="J12" i="6"/>
  <c r="I12" i="6"/>
  <c r="H12" i="6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K6" i="6"/>
  <c r="J6" i="6"/>
  <c r="I6" i="6"/>
  <c r="H6" i="6"/>
  <c r="M10" i="5"/>
  <c r="L10" i="5"/>
  <c r="K10" i="5"/>
  <c r="J10" i="5"/>
  <c r="I10" i="5"/>
  <c r="M9" i="5"/>
  <c r="L9" i="5"/>
  <c r="K9" i="5"/>
  <c r="J9" i="5"/>
  <c r="I9" i="5"/>
  <c r="M8" i="5"/>
  <c r="L8" i="5"/>
  <c r="K8" i="5"/>
  <c r="J8" i="5"/>
  <c r="I8" i="5"/>
  <c r="M7" i="5"/>
  <c r="L7" i="5"/>
  <c r="K7" i="5"/>
  <c r="J7" i="5"/>
  <c r="I7" i="5"/>
  <c r="K6" i="5"/>
  <c r="J6" i="5"/>
  <c r="I6" i="5"/>
  <c r="L9" i="4"/>
  <c r="K9" i="4"/>
  <c r="J9" i="4"/>
  <c r="I9" i="4"/>
  <c r="H9" i="4"/>
  <c r="G9" i="4"/>
  <c r="L8" i="4"/>
  <c r="K8" i="4"/>
  <c r="J8" i="4"/>
  <c r="I8" i="4"/>
  <c r="H8" i="4"/>
  <c r="G8" i="4"/>
  <c r="L7" i="4"/>
  <c r="K7" i="4"/>
  <c r="J7" i="4"/>
  <c r="I7" i="4"/>
  <c r="H7" i="4"/>
  <c r="G7" i="4"/>
  <c r="L6" i="4"/>
  <c r="K6" i="4"/>
  <c r="J6" i="4"/>
  <c r="I6" i="4"/>
  <c r="H6" i="4"/>
  <c r="G6" i="4"/>
  <c r="I17" i="3"/>
  <c r="I16" i="3"/>
  <c r="I15" i="3"/>
  <c r="I14" i="3"/>
  <c r="I13" i="3"/>
  <c r="I12" i="3"/>
  <c r="I11" i="3"/>
  <c r="I10" i="3"/>
  <c r="I9" i="3"/>
  <c r="I8" i="3"/>
  <c r="I7" i="3"/>
  <c r="I6" i="3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H7" i="2" l="1"/>
  <c r="H8" i="2"/>
  <c r="H9" i="2"/>
  <c r="H10" i="2"/>
  <c r="H6" i="2"/>
  <c r="G7" i="2"/>
  <c r="G8" i="2"/>
  <c r="G9" i="2"/>
  <c r="G10" i="2"/>
  <c r="G6" i="2"/>
  <c r="N7" i="4"/>
  <c r="N8" i="4"/>
  <c r="N9" i="4"/>
  <c r="N6" i="4"/>
  <c r="M7" i="4"/>
  <c r="M8" i="4"/>
  <c r="M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<sst xmlns="http://schemas.openxmlformats.org/spreadsheetml/2006/main" count="1307" uniqueCount="929">
  <si>
    <t>RUMUS EXCEL SIAP KERJA - VERSI FINAL</t>
  </si>
  <si>
    <t>Workbook ini berisi data referensi di kiri, tabel latihan/jawaban di kanan, dan penjelasan rumus terpisah di kolom lain.</t>
  </si>
  <si>
    <t>No</t>
  </si>
  <si>
    <t>Sheet</t>
  </si>
  <si>
    <t>Fokus Rumus</t>
  </si>
  <si>
    <t>Catatan</t>
  </si>
  <si>
    <t>Panduan</t>
  </si>
  <si>
    <t>Isi</t>
  </si>
  <si>
    <t>Bag. 1</t>
  </si>
  <si>
    <t>Hitung &amp; Kriteria</t>
  </si>
  <si>
    <t>Hasil 1 sel / tidak perlu drag</t>
  </si>
  <si>
    <t>1</t>
  </si>
  <si>
    <t>Lihat data referensi di kiri</t>
  </si>
  <si>
    <t>Pahami data dulu</t>
  </si>
  <si>
    <t>Bag. 2</t>
  </si>
  <si>
    <t>Teks Dasar &amp; Gabung</t>
  </si>
  <si>
    <t>2</t>
  </si>
  <si>
    <t>Perhatikan kolom formula/jawaban</t>
  </si>
  <si>
    <t>Boleh dihapus untuk latihan</t>
  </si>
  <si>
    <t>Bag. 3</t>
  </si>
  <si>
    <t>Baris Teks &amp; ID</t>
  </si>
  <si>
    <t>Perlu drag/copy ke bawah</t>
  </si>
  <si>
    <t>3</t>
  </si>
  <si>
    <t>Ketik ulang rumus di sel yang ditunjuk</t>
  </si>
  <si>
    <t>Bandingkan hasilnya</t>
  </si>
  <si>
    <t>Bag. 4</t>
  </si>
  <si>
    <t>Logika &amp; Error</t>
  </si>
  <si>
    <t>4</t>
  </si>
  <si>
    <t>Sheet Bag. 3 ke atas umumnya perlu drag</t>
  </si>
  <si>
    <t>Tarik formula ke bawah</t>
  </si>
  <si>
    <t>Bag. 5</t>
  </si>
  <si>
    <t>Lookup</t>
  </si>
  <si>
    <t>Campuran drag dan single output</t>
  </si>
  <si>
    <t>5</t>
  </si>
  <si>
    <t>Sheet Dinamis menggunakan spill</t>
  </si>
  <si>
    <t>Butuh Excel 365/2021</t>
  </si>
  <si>
    <t>Bag. 6</t>
  </si>
  <si>
    <t>Pembulatan &amp; Ranking</t>
  </si>
  <si>
    <t>6</t>
  </si>
  <si>
    <t>Cek tabel penjelasan di kanan</t>
  </si>
  <si>
    <t>Ada fungsi dan kegunaan kerja</t>
  </si>
  <si>
    <t>Bag. 7</t>
  </si>
  <si>
    <t>Tanggal &amp; Hari Kerja</t>
  </si>
  <si>
    <t>Bag. 8</t>
  </si>
  <si>
    <t>Dinamis Spill</t>
  </si>
  <si>
    <t>Khusus rumus hasil banyak</t>
  </si>
  <si>
    <t>Bag. 9</t>
  </si>
  <si>
    <t>Random &amp; Referensi</t>
  </si>
  <si>
    <t>Acak, nomor baris, dan contoh</t>
  </si>
  <si>
    <t>Bag. 10</t>
  </si>
  <si>
    <t>Analisis Lanjutan</t>
  </si>
  <si>
    <t>SUMPRODUCT, SUBTOTAL, AGGREGATE, DGET</t>
  </si>
  <si>
    <t>Bag. 11</t>
  </si>
  <si>
    <t>Kombinasi Dunia Kerja</t>
  </si>
  <si>
    <t>Gabungan rumus praktis kantor</t>
  </si>
  <si>
    <t>BAG. 1 - HITUNG DASAR &amp; KRITERIA</t>
  </si>
  <si>
    <t>Area jawaban sudah diisi. Hapus formula pada kolom jawaban jika ingin latihan mandiri.</t>
  </si>
  <si>
    <t>DATA REFERENSI</t>
  </si>
  <si>
    <t>TABEL LATIHAN / JAWABAN</t>
  </si>
  <si>
    <t>PENJELASAN RUMUS</t>
  </si>
  <si>
    <t>Nama</t>
  </si>
  <si>
    <t>Gender</t>
  </si>
  <si>
    <t>Divisi</t>
  </si>
  <si>
    <t>Omset Bln 1</t>
  </si>
  <si>
    <t>Omset Bln 2</t>
  </si>
  <si>
    <t>Omset Bln 3</t>
  </si>
  <si>
    <t>Total Omset</t>
  </si>
  <si>
    <t>Status</t>
  </si>
  <si>
    <t>Rumus</t>
  </si>
  <si>
    <t>Contoh Rumus</t>
  </si>
  <si>
    <t>Jawaban</t>
  </si>
  <si>
    <t>Ketik di Sel</t>
  </si>
  <si>
    <t>Fungsi Singkat</t>
  </si>
  <si>
    <t>Kegunaan Kerja</t>
  </si>
  <si>
    <t>Ariel</t>
  </si>
  <si>
    <t>L</t>
  </si>
  <si>
    <t>HR</t>
  </si>
  <si>
    <t>SUM</t>
  </si>
  <si>
    <t>=SUM(G6:G10)</t>
  </si>
  <si>
    <t>M6</t>
  </si>
  <si>
    <t>Menjumlahkan angka</t>
  </si>
  <si>
    <t>Menjumlahkan omset, biaya, qty</t>
  </si>
  <si>
    <t>Hasil satu total</t>
  </si>
  <si>
    <t>Boim</t>
  </si>
  <si>
    <t>Finance</t>
  </si>
  <si>
    <t>AVERAGE</t>
  </si>
  <si>
    <t>=AVERAGE(G6:G10)</t>
  </si>
  <si>
    <t>M7</t>
  </si>
  <si>
    <t>Menghitung rata-rata</t>
  </si>
  <si>
    <t>Rata-rata penjualan/nilai</t>
  </si>
  <si>
    <t>Sering dipakai di laporan</t>
  </si>
  <si>
    <t>Chyntia</t>
  </si>
  <si>
    <t>P</t>
  </si>
  <si>
    <t>Sales</t>
  </si>
  <si>
    <t>COUNT</t>
  </si>
  <si>
    <t>=COUNT(G6:G10)</t>
  </si>
  <si>
    <t>M8</t>
  </si>
  <si>
    <t>COUNT / COUNTA</t>
  </si>
  <si>
    <t>Menghitung jumlah data</t>
  </si>
  <si>
    <t>Hitung data angka / data terisi</t>
  </si>
  <si>
    <t>COUNTA juga hitung teks</t>
  </si>
  <si>
    <t>Dini</t>
  </si>
  <si>
    <t>COUNTA</t>
  </si>
  <si>
    <t>=COUNTA(A6:A10)</t>
  </si>
  <si>
    <t>M9</t>
  </si>
  <si>
    <t>COUNTBLANK</t>
  </si>
  <si>
    <t>Menghitung sel kosong</t>
  </si>
  <si>
    <t>Cek data belum diisi</t>
  </si>
  <si>
    <t>Berguna untuk audit data</t>
  </si>
  <si>
    <t>Eno</t>
  </si>
  <si>
    <t>=COUNTBLANK(I6:I10)</t>
  </si>
  <si>
    <t>M10</t>
  </si>
  <si>
    <t>MAX / MIN</t>
  </si>
  <si>
    <t>Cari nilai tertinggi/terendah</t>
  </si>
  <si>
    <t>Cari omset tertinggi/terendah</t>
  </si>
  <si>
    <t>Cepat untuk analisis</t>
  </si>
  <si>
    <t>MAX</t>
  </si>
  <si>
    <t>=MAX(G6:G10)</t>
  </si>
  <si>
    <t>M11</t>
  </si>
  <si>
    <t>LARGE / SMALL</t>
  </si>
  <si>
    <t>Cari ranking nilai</t>
  </si>
  <si>
    <t>Cari nilai ke-2 terbesar/kecil</t>
  </si>
  <si>
    <t>Cocok untuk top/bottom</t>
  </si>
  <si>
    <t>MIN</t>
  </si>
  <si>
    <t>=MIN(G6:G10)</t>
  </si>
  <si>
    <t>M12</t>
  </si>
  <si>
    <t>SUMIF / SUMIFS</t>
  </si>
  <si>
    <t>Jumlah berdasarkan syarat</t>
  </si>
  <si>
    <t>Rekap per divisi / gender</t>
  </si>
  <si>
    <t>SUMIFS untuk banyak syarat</t>
  </si>
  <si>
    <t>LARGE</t>
  </si>
  <si>
    <t>=LARGE(G6:G10,2)</t>
  </si>
  <si>
    <t>M13</t>
  </si>
  <si>
    <t>COUNTIF / COUNTIFS</t>
  </si>
  <si>
    <t>Hitung berdasarkan syarat</t>
  </si>
  <si>
    <t>Jumlah status/divisi tertentu</t>
  </si>
  <si>
    <t>COUNTIFS untuk banyak syarat</t>
  </si>
  <si>
    <t>SMALL</t>
  </si>
  <si>
    <t>=SMALL(G6:G10,2)</t>
  </si>
  <si>
    <t>M14</t>
  </si>
  <si>
    <t>AVERAGEIF / AVERAGEIFS</t>
  </si>
  <si>
    <t>Rata-rata berdasarkan syarat</t>
  </si>
  <si>
    <t>Rata-rata per kelompok</t>
  </si>
  <si>
    <t>Berguna untuk KPI</t>
  </si>
  <si>
    <t>SUMIF</t>
  </si>
  <si>
    <t>=SUMIF(B6:B10,"L",G6:G10)</t>
  </si>
  <si>
    <t>M15</t>
  </si>
  <si>
    <t>COUNTIF</t>
  </si>
  <si>
    <t>=COUNTIF(H6:H10,"Lulus")</t>
  </si>
  <si>
    <t>M16</t>
  </si>
  <si>
    <t>SUMIFS</t>
  </si>
  <si>
    <t>=SUMIFS(G6:G10,C6:C10,"HR",B6:B10,"P")</t>
  </si>
  <si>
    <t>M17</t>
  </si>
  <si>
    <t>COUNTIFS</t>
  </si>
  <si>
    <t>=COUNTIFS(C6:C10,"Sales",B6:B10,"L")</t>
  </si>
  <si>
    <t>M18</t>
  </si>
  <si>
    <t>AVERAGEIF</t>
  </si>
  <si>
    <t>=AVERAGEIF(C6:C10,"HR",G6:G10)</t>
  </si>
  <si>
    <t>M19</t>
  </si>
  <si>
    <t>AVERAGEIFS</t>
  </si>
  <si>
    <t>=AVERAGEIFS(G6:G10,B6:B10,"P",H6:H10,"Tidak Lulus")</t>
  </si>
  <si>
    <t>M20</t>
  </si>
  <si>
    <t>BAG. 2 - TEKS DASAR &amp; GABUNG</t>
  </si>
  <si>
    <t>Label</t>
  </si>
  <si>
    <t>Nilai Referensi</t>
  </si>
  <si>
    <t>Keterangan</t>
  </si>
  <si>
    <t>Tambahan</t>
  </si>
  <si>
    <t>Teks Berantakan</t>
  </si>
  <si>
    <t>NaMa    KEPala SekOLAH</t>
  </si>
  <si>
    <t>Untuk TRIM / PROPER</t>
  </si>
  <si>
    <t>TRIM</t>
  </si>
  <si>
    <t>=TRIM(B6)</t>
  </si>
  <si>
    <t>Menghapus spasi berlebih</t>
  </si>
  <si>
    <t>Rapikan nama/alamat impor data</t>
  </si>
  <si>
    <t>Sering dipakai setelah copy data</t>
  </si>
  <si>
    <t>Nama Depan</t>
  </si>
  <si>
    <t>Muhammad</t>
  </si>
  <si>
    <t>Gabung nama</t>
  </si>
  <si>
    <t>LOWER</t>
  </si>
  <si>
    <t>=LOWER(B6)</t>
  </si>
  <si>
    <t>LOWER / UPPER / PROPER</t>
  </si>
  <si>
    <t>Ubah huruf kecil/besar</t>
  </si>
  <si>
    <t>Standarisasi penulisan</t>
  </si>
  <si>
    <t>PROPER bagus untuk nama</t>
  </si>
  <si>
    <t>Nama Belakang</t>
  </si>
  <si>
    <t>Irsad</t>
  </si>
  <si>
    <t>UPPER</t>
  </si>
  <si>
    <t>=UPPER(B6)</t>
  </si>
  <si>
    <t>CONCATENATE / TEXTJOIN</t>
  </si>
  <si>
    <t>Menggabungkan teks</t>
  </si>
  <si>
    <t>Gabung nama, kode, alamat</t>
  </si>
  <si>
    <t>TEXTJOIN lebih fleksibel</t>
  </si>
  <si>
    <t>Nama Akhir</t>
  </si>
  <si>
    <t>Khoiruddin</t>
  </si>
  <si>
    <t>PROPER</t>
  </si>
  <si>
    <t>=PROPER(B6)</t>
  </si>
  <si>
    <t>SUBSTITUTE</t>
  </si>
  <si>
    <t>Mengganti karakter/teks</t>
  </si>
  <si>
    <t>Ubah titik jadi strip, hapus spasi</t>
  </si>
  <si>
    <t>Bersih-bersih data</t>
  </si>
  <si>
    <t>Kalimat</t>
  </si>
  <si>
    <t>Divisi.HR.Jakarta</t>
  </si>
  <si>
    <t>Contoh SUBSTITUTE</t>
  </si>
  <si>
    <t>CONCATENATE</t>
  </si>
  <si>
    <t>=CONCATENATE(B7," ",B8," ",B9)</t>
  </si>
  <si>
    <t>SEARCH / FIND</t>
  </si>
  <si>
    <t>Mencari posisi teks</t>
  </si>
  <si>
    <t>Cari simbol @, kata tertentu</t>
  </si>
  <si>
    <t>SEARCH tidak sensitif huruf besar</t>
  </si>
  <si>
    <t>Email</t>
  </si>
  <si>
    <t>admin.payroll@perusahaan.co.id</t>
  </si>
  <si>
    <t>Contoh SEARCH/FIND</t>
  </si>
  <si>
    <t>TEXTJOIN</t>
  </si>
  <si>
    <t>=TEXTJOIN(" ",TRUE,B7:B9)</t>
  </si>
  <si>
    <t>TEXT</t>
  </si>
  <si>
    <t>Ubah angka/tanggal jadi format tampilan</t>
  </si>
  <si>
    <t>Format tanggal, rupiah, kode</t>
  </si>
  <si>
    <t>Hasilnya teks</t>
  </si>
  <si>
    <t>Tanggal</t>
  </si>
  <si>
    <t>Contoh TEXT tanggal</t>
  </si>
  <si>
    <t>=SUBSTITUTE(B10,".","-")</t>
  </si>
  <si>
    <t>VALUE</t>
  </si>
  <si>
    <t>Ubah teks angka jadi angka</t>
  </si>
  <si>
    <t>Agar bisa dihitung</t>
  </si>
  <si>
    <t>Cocok untuk data impor</t>
  </si>
  <si>
    <t>Nominal</t>
  </si>
  <si>
    <t>Format tanggal</t>
  </si>
  <si>
    <t>SEARCH</t>
  </si>
  <si>
    <t>=SEARCH("@",B11)</t>
  </si>
  <si>
    <t>Angka Teks</t>
  </si>
  <si>
    <t>00125</t>
  </si>
  <si>
    <t>Format rupiah</t>
  </si>
  <si>
    <t>FIND</t>
  </si>
  <si>
    <t>=FIND("payroll",B11)</t>
  </si>
  <si>
    <t>TEXT (Tanggal)</t>
  </si>
  <si>
    <t>=TEXT(B12,"dd/mm/yyyy")</t>
  </si>
  <si>
    <t>TEXT (Rupiah)</t>
  </si>
  <si>
    <t>="Rp "&amp;TEXT(B13,"#,##0")</t>
  </si>
  <si>
    <t>=VALUE(B14)</t>
  </si>
  <si>
    <t>BAG. 3 - BARIS TEKS &amp; ID (PERLU DRAG KE BAWAH)</t>
  </si>
  <si>
    <t>Nama Karyawan</t>
  </si>
  <si>
    <t>Tahun Lahir</t>
  </si>
  <si>
    <t>NIK / Kode</t>
  </si>
  <si>
    <t>ID Karyawan</t>
  </si>
  <si>
    <t>Panjang Nama</t>
  </si>
  <si>
    <t>3 Karakter Awal NIK</t>
  </si>
  <si>
    <t>Karakter 4-7 NIK</t>
  </si>
  <si>
    <t>2 Karakter Akhir NIK</t>
  </si>
  <si>
    <t>Ruben</t>
  </si>
  <si>
    <t>123-4560-01</t>
  </si>
  <si>
    <t>ruben@company.co.id</t>
  </si>
  <si>
    <t>&amp; / CONCATENATE</t>
  </si>
  <si>
    <t>Gabung beberapa teks</t>
  </si>
  <si>
    <t>Buat ID karyawan, kode invoice</t>
  </si>
  <si>
    <t>Tanda &amp; paling sering dipakai</t>
  </si>
  <si>
    <t>Disti</t>
  </si>
  <si>
    <t>288-5670-02</t>
  </si>
  <si>
    <t>disti@company.co.id</t>
  </si>
  <si>
    <t>LEN</t>
  </si>
  <si>
    <t>Hitung jumlah karakter</t>
  </si>
  <si>
    <t>Cek panjang nama/kode</t>
  </si>
  <si>
    <t>Spasi ikut dihitung</t>
  </si>
  <si>
    <t>Juned M.</t>
  </si>
  <si>
    <t>139-8780-03</t>
  </si>
  <si>
    <t>juned@company.co.id</t>
  </si>
  <si>
    <t>LEFT</t>
  </si>
  <si>
    <t>Ambil karakter dari kiri</t>
  </si>
  <si>
    <t>Ambil kode awal</t>
  </si>
  <si>
    <t>Sering untuk kode/NIK</t>
  </si>
  <si>
    <t>Aryanne</t>
  </si>
  <si>
    <t>456-1231-04</t>
  </si>
  <si>
    <t>aryanne@company.co.id</t>
  </si>
  <si>
    <t>MID</t>
  </si>
  <si>
    <t>Ambil karakter dari tengah</t>
  </si>
  <si>
    <t>Ambil bagian nomor</t>
  </si>
  <si>
    <t>Butuh posisi mulai &amp; jumlah</t>
  </si>
  <si>
    <t>RIGHT</t>
  </si>
  <si>
    <t>Ambil karakter dari kanan</t>
  </si>
  <si>
    <t>Ambil 2 digit terakhir</t>
  </si>
  <si>
    <t>Sering untuk suffix kode</t>
  </si>
  <si>
    <t>SEARCH + RIGHT</t>
  </si>
  <si>
    <t>Ambil domain email</t>
  </si>
  <si>
    <t>Pisahkan teks setelah @</t>
  </si>
  <si>
    <t>Gabungan rumus kerja yang sering dipakai</t>
  </si>
  <si>
    <t>BAG. 4 - LOGIKA &amp; ERROR (PERLU DRAG KE BAWAH)</t>
  </si>
  <si>
    <t>Nilai</t>
  </si>
  <si>
    <t>Kehadiran %</t>
  </si>
  <si>
    <t>Kode</t>
  </si>
  <si>
    <t>Level</t>
  </si>
  <si>
    <t>Status Lulus</t>
  </si>
  <si>
    <t>Grade</t>
  </si>
  <si>
    <t>Bonus</t>
  </si>
  <si>
    <t>Kelompok Divisi</t>
  </si>
  <si>
    <t>Hasil Lookup Aman</t>
  </si>
  <si>
    <t>Andi</t>
  </si>
  <si>
    <t>K01</t>
  </si>
  <si>
    <t>Staff</t>
  </si>
  <si>
    <t>IF</t>
  </si>
  <si>
    <t>Jika syarat benar/salah</t>
  </si>
  <si>
    <t>Lulus/tidak lulus, status</t>
  </si>
  <si>
    <t>Dasar logika Excel</t>
  </si>
  <si>
    <t>Budi</t>
  </si>
  <si>
    <t>K02</t>
  </si>
  <si>
    <t>Supervisor</t>
  </si>
  <si>
    <t>IFS</t>
  </si>
  <si>
    <t>Banyak syarat berurutan</t>
  </si>
  <si>
    <t>Penentuan grade A/B/C/D</t>
  </si>
  <si>
    <t>Lebih rapi dari IF bertingkat</t>
  </si>
  <si>
    <t>Clara</t>
  </si>
  <si>
    <t>K03</t>
  </si>
  <si>
    <t>Manager</t>
  </si>
  <si>
    <t>AND</t>
  </si>
  <si>
    <t>Semua syarat harus benar</t>
  </si>
  <si>
    <t>Bonus jika nilai dan kehadiran memenuhi</t>
  </si>
  <si>
    <t>Dipakai di approval/bonus</t>
  </si>
  <si>
    <t>Dewi</t>
  </si>
  <si>
    <t>Marketing</t>
  </si>
  <si>
    <t>K99</t>
  </si>
  <si>
    <t>OR</t>
  </si>
  <si>
    <t>Salah satu syarat cukup benar</t>
  </si>
  <si>
    <t>Kelompok divisi tertentu</t>
  </si>
  <si>
    <t>Dipakai di klasifikasi data</t>
  </si>
  <si>
    <t>Eko</t>
  </si>
  <si>
    <t>IFERROR</t>
  </si>
  <si>
    <t>Ganti hasil error</t>
  </si>
  <si>
    <t>Lookup tidak ketemu jadi teks rapi</t>
  </si>
  <si>
    <t>Sangat berguna di dunia kerja</t>
  </si>
  <si>
    <t>BAG. 5 - LOOKUP (CAMPURAN DRAG DAN SINGLE OUTPUT)</t>
  </si>
  <si>
    <t>No. Pesanan</t>
  </si>
  <si>
    <t>Nama Customer</t>
  </si>
  <si>
    <t>Jenis Kelamin</t>
  </si>
  <si>
    <t>Domisili</t>
  </si>
  <si>
    <t>Lama Pengiriman</t>
  </si>
  <si>
    <t>Nama (VLOOKUP)</t>
  </si>
  <si>
    <t>Domisili (XLOOKUP)</t>
  </si>
  <si>
    <t>Gender (INDEX+MATCH)</t>
  </si>
  <si>
    <t>Posisi (MATCH)</t>
  </si>
  <si>
    <t>Laki-laki</t>
  </si>
  <si>
    <t>Bandung</t>
  </si>
  <si>
    <t>2 Hari</t>
  </si>
  <si>
    <t>VLOOKUP</t>
  </si>
  <si>
    <t>Cari data vertikal</t>
  </si>
  <si>
    <t>Ambil nama/harga dari tabel master</t>
  </si>
  <si>
    <t>Paling sering diajarkan</t>
  </si>
  <si>
    <t>Jakarta</t>
  </si>
  <si>
    <t>1 Hari</t>
  </si>
  <si>
    <t>XLOOKUP</t>
  </si>
  <si>
    <t>Lookup modern dan fleksibel</t>
  </si>
  <si>
    <t>Cari data tanpa hitung nomor kolom</t>
  </si>
  <si>
    <t>Lebih mudah dibaca</t>
  </si>
  <si>
    <t>Perempuan</t>
  </si>
  <si>
    <t>Palembang</t>
  </si>
  <si>
    <t>INDEX + MATCH</t>
  </si>
  <si>
    <t>Lookup fleksibel</t>
  </si>
  <si>
    <t>Alternatif kuat pengganti VLOOKUP</t>
  </si>
  <si>
    <t>Stabil untuk tabel berubah</t>
  </si>
  <si>
    <t>Surabaya</t>
  </si>
  <si>
    <t>3 Hari</t>
  </si>
  <si>
    <t>MATCH</t>
  </si>
  <si>
    <t>Cari posisi data</t>
  </si>
  <si>
    <t>Mengetahui urutan / index data</t>
  </si>
  <si>
    <t>Sering dipakai dengan INDEX</t>
  </si>
  <si>
    <t>HLOOKUP</t>
  </si>
  <si>
    <t>Cari data horizontal</t>
  </si>
  <si>
    <t>Dipakai kalau tabel mendatar</t>
  </si>
  <si>
    <t>Lebih jarang dari VLOOKUP</t>
  </si>
  <si>
    <t>Fiona</t>
  </si>
  <si>
    <t>IFERROR + Lookup</t>
  </si>
  <si>
    <t>Rapikan hasil tidak ketemu</t>
  </si>
  <si>
    <t>Tampil 'Tidak ada' bukan #N/A</t>
  </si>
  <si>
    <t>Sangat berguna di kantor</t>
  </si>
  <si>
    <t>Gina</t>
  </si>
  <si>
    <t>Hesti</t>
  </si>
  <si>
    <t>Igna</t>
  </si>
  <si>
    <t>Juned</t>
  </si>
  <si>
    <t>Kota</t>
  </si>
  <si>
    <t>Input Kota</t>
  </si>
  <si>
    <t>=HLOOKUP(J19,$A$18:$E$19,2,FALSE)</t>
  </si>
  <si>
    <t>BAG. 6 - PEMBULATAN &amp; RANKING (PERLU DRAG KE BAWAH)</t>
  </si>
  <si>
    <t>Nama Murid</t>
  </si>
  <si>
    <t>Pembulatan Bawah</t>
  </si>
  <si>
    <t>Pembulatan Atas</t>
  </si>
  <si>
    <t>Pembulatan Terdekat</t>
  </si>
  <si>
    <t>Rank</t>
  </si>
  <si>
    <t>Rank Desc</t>
  </si>
  <si>
    <t>ROUND</t>
  </si>
  <si>
    <t>Bulat ke terdekat</t>
  </si>
  <si>
    <t>Laporan angka umum</t>
  </si>
  <si>
    <t>Dasar pembulatan</t>
  </si>
  <si>
    <t>Budi M.</t>
  </si>
  <si>
    <t>ROUNDUP</t>
  </si>
  <si>
    <t>Selalu bulat ke atas</t>
  </si>
  <si>
    <t>Harga, target minimum</t>
  </si>
  <si>
    <t>Cocok untuk stok / qty</t>
  </si>
  <si>
    <t>ROUNDDOWN</t>
  </si>
  <si>
    <t>Selalu bulat ke bawah</t>
  </si>
  <si>
    <t>Pembulatan konservatif</t>
  </si>
  <si>
    <t>Cocok untuk kapasitas</t>
  </si>
  <si>
    <t>FLOOR / CEILING</t>
  </si>
  <si>
    <t>Bulat ke kelipatan tertentu</t>
  </si>
  <si>
    <t>Kemasan 100 pcs, karton, pack</t>
  </si>
  <si>
    <t>Dipakai di logistik</t>
  </si>
  <si>
    <t>MROUND</t>
  </si>
  <si>
    <t>Bulat ke kelipatan terdekat</t>
  </si>
  <si>
    <t>Order batch</t>
  </si>
  <si>
    <t>Kombinasi praktis gudang</t>
  </si>
  <si>
    <t>RANK</t>
  </si>
  <si>
    <t>Urutkan posisi nilai</t>
  </si>
  <si>
    <t>Peringkat penjualan/nilai</t>
  </si>
  <si>
    <t>0=besar ke kecil, 1=kecil ke besar</t>
  </si>
  <si>
    <t>Gerry</t>
  </si>
  <si>
    <t>Iqbal</t>
  </si>
  <si>
    <t>Item</t>
  </si>
  <si>
    <t>Stok Dibutuhkan</t>
  </si>
  <si>
    <t>FLOOR</t>
  </si>
  <si>
    <t>CEILING</t>
  </si>
  <si>
    <t>MROUND ke 100</t>
  </si>
  <si>
    <t>Shampoo</t>
  </si>
  <si>
    <t>Sabun</t>
  </si>
  <si>
    <t>Mie Instan</t>
  </si>
  <si>
    <t>Beras</t>
  </si>
  <si>
    <t>Minyak Goreng</t>
  </si>
  <si>
    <t>BAG. 7 - TANGGAL, UMUR, DAN HARI KERJA (PERLU DRAG KE BAWAH)</t>
  </si>
  <si>
    <t>Tanggal Lahir</t>
  </si>
  <si>
    <t>Tanggal Masuk</t>
  </si>
  <si>
    <t>Mulai Proyek</t>
  </si>
  <si>
    <t>Selesai Proyek</t>
  </si>
  <si>
    <t>Hari Tambah</t>
  </si>
  <si>
    <t>Umur</t>
  </si>
  <si>
    <t>Tahun</t>
  </si>
  <si>
    <t>Bulan</t>
  </si>
  <si>
    <t>Hari</t>
  </si>
  <si>
    <t>Akhir Bulan</t>
  </si>
  <si>
    <t>Tgl + Hari Kerja</t>
  </si>
  <si>
    <t>Putri Ayu</t>
  </si>
  <si>
    <t>DATEDIF</t>
  </si>
  <si>
    <t>Hitung selisih umur/masa</t>
  </si>
  <si>
    <t>Umur karyawan, lama kontrak</t>
  </si>
  <si>
    <t>Sangat populer untuk HR</t>
  </si>
  <si>
    <t>Budi Santoso</t>
  </si>
  <si>
    <t>TODAY / NOW</t>
  </si>
  <si>
    <t>Tanggal hari ini / sekarang</t>
  </si>
  <si>
    <t>Tanggal otomatis laporan</t>
  </si>
  <si>
    <t>NOW juga menampilkan jam</t>
  </si>
  <si>
    <t>Ani Wulandari</t>
  </si>
  <si>
    <t>YEAR / MONTH / DAY</t>
  </si>
  <si>
    <t>Ambil bagian tanggal</t>
  </si>
  <si>
    <t>Pisah tahun, bulan, hari</t>
  </si>
  <si>
    <t>Cocok untuk grouping data</t>
  </si>
  <si>
    <t>Irfan Hakim</t>
  </si>
  <si>
    <t>EOMONTH</t>
  </si>
  <si>
    <t>Cari akhir bulan</t>
  </si>
  <si>
    <t>Jatuh tempo akhir bulan</t>
  </si>
  <si>
    <t>Finance &amp; payroll sering pakai</t>
  </si>
  <si>
    <t>Dewi Lestari</t>
  </si>
  <si>
    <t>WORKDAY</t>
  </si>
  <si>
    <t>Tambah hari kerja</t>
  </si>
  <si>
    <t>Deadline kerja tanpa weekend</t>
  </si>
  <si>
    <t>Admin/project management</t>
  </si>
  <si>
    <t>NETWORKDAYS</t>
  </si>
  <si>
    <t>Hitung jumlah hari kerja</t>
  </si>
  <si>
    <t>Lama proyek, SLA, payroll</t>
  </si>
  <si>
    <t>Bisa tambah daftar libur nasional</t>
  </si>
  <si>
    <t>TODAY</t>
  </si>
  <si>
    <t>=TODAY()</t>
  </si>
  <si>
    <t>L14</t>
  </si>
  <si>
    <t>NOW</t>
  </si>
  <si>
    <t>=NOW()</t>
  </si>
  <si>
    <t>L15</t>
  </si>
  <si>
    <t>BAG. 8 - RUMUS DINAMIS / SPILL (OUTPUT HASIL BANYAK)</t>
  </si>
  <si>
    <t>Sheet ini khusus rumus yang hasilnya bisa 'tumpah' ke banyak sel. Biasanya butuh Excel 365/2021.</t>
  </si>
  <si>
    <t>Omset</t>
  </si>
  <si>
    <t>UNIQUE Divisi</t>
  </si>
  <si>
    <t>Output</t>
  </si>
  <si>
    <t>Divisi unik</t>
  </si>
  <si>
    <t>=UNIQUE(B6:B13)</t>
  </si>
  <si>
    <t>UNIQUE</t>
  </si>
  <si>
    <t>Ambil data unik</t>
  </si>
  <si>
    <t>Daftar divisi/kota unik</t>
  </si>
  <si>
    <t>Sangat enak untuk rekap cepat</t>
  </si>
  <si>
    <t>FILTER</t>
  </si>
  <si>
    <t>Saring data otomatis</t>
  </si>
  <si>
    <t>Tampilkan data sesuai syarat</t>
  </si>
  <si>
    <t>Hasil bisa spill banyak baris</t>
  </si>
  <si>
    <t>SORT</t>
  </si>
  <si>
    <t>Urutkan data</t>
  </si>
  <si>
    <t>Urut A-Z atau kecil-besar</t>
  </si>
  <si>
    <t>Cocok untuk list</t>
  </si>
  <si>
    <t>SORTBY</t>
  </si>
  <si>
    <t>Urut berdasar kolom lain</t>
  </si>
  <si>
    <t>Urut nama berdasarkan omset</t>
  </si>
  <si>
    <t>Lebih fleksibel dari SORT</t>
  </si>
  <si>
    <t>SEQUENCE</t>
  </si>
  <si>
    <t>Buat deret otomatis</t>
  </si>
  <si>
    <t>Nomor urut, tanggal seri</t>
  </si>
  <si>
    <t>Bagus untuk template dinamis</t>
  </si>
  <si>
    <t>FILTER Nama Divisi HR</t>
  </si>
  <si>
    <t>Nama HR</t>
  </si>
  <si>
    <t>=FILTER(A6:A13,B6:B13="HR")</t>
  </si>
  <si>
    <t>Hasil spill ke bawah</t>
  </si>
  <si>
    <t>SORT Nama A-Z</t>
  </si>
  <si>
    <t>Nama urut</t>
  </si>
  <si>
    <t>=SORT(A6:A13,1,1)</t>
  </si>
  <si>
    <t>SORTBY Omset Terbesar</t>
  </si>
  <si>
    <t>Nama by omset desc</t>
  </si>
  <si>
    <t>=SORTBY(A6:A13,D6:D13,-1)</t>
  </si>
  <si>
    <t>SEQUENCE 1-10</t>
  </si>
  <si>
    <t>Nomor urut</t>
  </si>
  <si>
    <t>BAG. 9 - RANDOM, NOMOR BARIS, DAN REFERENSI</t>
  </si>
  <si>
    <t>Nama Peserta</t>
  </si>
  <si>
    <t>Nilai Acak 60-100</t>
  </si>
  <si>
    <t>Nomor Baris</t>
  </si>
  <si>
    <t>Ayu</t>
  </si>
  <si>
    <t>RAND</t>
  </si>
  <si>
    <t>=RAND()</t>
  </si>
  <si>
    <t>Angka acak 0-1</t>
  </si>
  <si>
    <t>Simulasi, sampling, contoh</t>
  </si>
  <si>
    <t>Nilai berubah saat sheet dihitung ulang</t>
  </si>
  <si>
    <t>Bima</t>
  </si>
  <si>
    <t>RANDBETWEEN</t>
  </si>
  <si>
    <t>=RANDBETWEEN(1,100)</t>
  </si>
  <si>
    <t>Angka acak di rentang tertentu</t>
  </si>
  <si>
    <t>Undian, nilai dummy, simulasi</t>
  </si>
  <si>
    <t>Sangat berguna untuk latihan</t>
  </si>
  <si>
    <t>Cici</t>
  </si>
  <si>
    <t>ROW</t>
  </si>
  <si>
    <t>=ROW(A6)</t>
  </si>
  <si>
    <t>Nomor baris</t>
  </si>
  <si>
    <t>Nomor otomatis / bantu formula</t>
  </si>
  <si>
    <t>Berguna untuk penomoran dinamis</t>
  </si>
  <si>
    <t>Doni</t>
  </si>
  <si>
    <t>Evan</t>
  </si>
  <si>
    <t>Fira</t>
  </si>
  <si>
    <t>Gilang</t>
  </si>
  <si>
    <t>Hana</t>
  </si>
  <si>
    <t>BAG. 10 - ANALISIS LANJUTAN</t>
  </si>
  <si>
    <t>Produk</t>
  </si>
  <si>
    <t>Qty</t>
  </si>
  <si>
    <t>Harga</t>
  </si>
  <si>
    <t>Wilayah</t>
  </si>
  <si>
    <t>Arti Hasil</t>
  </si>
  <si>
    <t>A</t>
  </si>
  <si>
    <t>Barat</t>
  </si>
  <si>
    <t>Open</t>
  </si>
  <si>
    <t>SUMPRODUCT</t>
  </si>
  <si>
    <t>=SUMPRODUCT(B6:B11,C6:C11)</t>
  </si>
  <si>
    <t>Total omset dari Qty x Harga</t>
  </si>
  <si>
    <t>L6</t>
  </si>
  <si>
    <t>Jumlah hasil perkalian</t>
  </si>
  <si>
    <t>Total Qty x Harga, bobot nilai</t>
  </si>
  <si>
    <t>Sangat berguna di finance</t>
  </si>
  <si>
    <t>B</t>
  </si>
  <si>
    <t>Timur</t>
  </si>
  <si>
    <t>Closed</t>
  </si>
  <si>
    <t>SUBTOTAL</t>
  </si>
  <si>
    <t>=SUBTOTAL(9,D6:D11)</t>
  </si>
  <si>
    <t>Total omset (bagus saat data difilter)</t>
  </si>
  <si>
    <t>L7</t>
  </si>
  <si>
    <t>Total yang ramah filter</t>
  </si>
  <si>
    <t>Laporan yang sering difilter</t>
  </si>
  <si>
    <t>Lebih baik dari SUM untuk tabel filter</t>
  </si>
  <si>
    <t>C</t>
  </si>
  <si>
    <t>AGGREGATE</t>
  </si>
  <si>
    <t>=AGGREGATE(14,4,D6:D11,2)</t>
  </si>
  <si>
    <t>Omset terbesar ke-2</t>
  </si>
  <si>
    <t>L8</t>
  </si>
  <si>
    <t>Versi lebih fleksibel dari SUBTOTAL</t>
  </si>
  <si>
    <t>Cari nilai besar ke-2 / abaikan hidden row</t>
  </si>
  <si>
    <t>Rumus advanced yang berguna</t>
  </si>
  <si>
    <t>D</t>
  </si>
  <si>
    <t>Utara</t>
  </si>
  <si>
    <t>DGET</t>
  </si>
  <si>
    <t>=DGET(A5:F11,"Omset",A14:B15)</t>
  </si>
  <si>
    <t>Ambil omset berdasarkan kriteria unik</t>
  </si>
  <si>
    <t>L9</t>
  </si>
  <si>
    <t>Ambil data database dengan kriteria</t>
  </si>
  <si>
    <t>Cari 1 nilai spesifik berdasar syarat unik</t>
  </si>
  <si>
    <t>Jarang dipakai tapi bagus dipahami</t>
  </si>
  <si>
    <t>E</t>
  </si>
  <si>
    <t>F</t>
  </si>
  <si>
    <t>Data Angka</t>
  </si>
  <si>
    <t>Normal</t>
  </si>
  <si>
    <t>BAG. 11 - KOMBINASI RUMUS UNTUK DUNIA KERJA</t>
  </si>
  <si>
    <t>Kasus</t>
  </si>
  <si>
    <t>Data Input</t>
  </si>
  <si>
    <t>Nilai / Keterangan</t>
  </si>
  <si>
    <t>Hasil yang Diinginkan</t>
  </si>
  <si>
    <t>Referensi</t>
  </si>
  <si>
    <t>Kenapa Dipakai</t>
  </si>
  <si>
    <t>Format nomor invoice</t>
  </si>
  <si>
    <t>INV-0025</t>
  </si>
  <si>
    <t>Gunakan TEXT</t>
  </si>
  <si>
    <t>Format Invoice</t>
  </si>
  <si>
    <t>="INV-"&amp;TEXT(D6,"0000")</t>
  </si>
  <si>
    <t>Supaya nomor invoice rapi 4 digit</t>
  </si>
  <si>
    <t>TEXT + &amp;</t>
  </si>
  <si>
    <t>Buat kode terformat</t>
  </si>
  <si>
    <t>Invoice, nomor dokumen, ID</t>
  </si>
  <si>
    <t>Sangat sering di admin/finance</t>
  </si>
  <si>
    <t>Cari nama karyawan aman</t>
  </si>
  <si>
    <t>NIK</t>
  </si>
  <si>
    <t>EMP003</t>
  </si>
  <si>
    <t>Nama atau 'Tidak ditemukan'</t>
  </si>
  <si>
    <t>Gunakan IFERROR + XLOOKUP</t>
  </si>
  <si>
    <t>Lookup Aman</t>
  </si>
  <si>
    <t>=IFERROR(XLOOKUP(D7,$A$15:$A$19,$B$15:$B$19),"Tidak ditemukan")</t>
  </si>
  <si>
    <t>Cari data tanpa tampil #N/A</t>
  </si>
  <si>
    <t>IFERROR + XLOOKUP</t>
  </si>
  <si>
    <t>Lookup aman</t>
  </si>
  <si>
    <t>Master data karyawan/barang</t>
  </si>
  <si>
    <t>Hasil lebih rapi untuk user</t>
  </si>
  <si>
    <t>Bonus berdasarkan 2 syarat</t>
  </si>
  <si>
    <t>Nilai &amp; Kehadiran</t>
  </si>
  <si>
    <t>82 dan 93%</t>
  </si>
  <si>
    <t>Gunakan IF + AND</t>
  </si>
  <si>
    <t>Bonus 2 Syarat</t>
  </si>
  <si>
    <t>=IF(AND(82&gt;=80,93&gt;=90),"Bonus","Tidak Bonus")</t>
  </si>
  <si>
    <t>Cocok untuk keputusan bonus/approval</t>
  </si>
  <si>
    <t>IF + AND</t>
  </si>
  <si>
    <t>Keputusan multi syarat</t>
  </si>
  <si>
    <t>Bonus, approval, kelulusan</t>
  </si>
  <si>
    <t>Fondasi logika kerja</t>
  </si>
  <si>
    <t>Klasifikasi divisi</t>
  </si>
  <si>
    <t>Admin/Support</t>
  </si>
  <si>
    <t>Gunakan IF + OR</t>
  </si>
  <si>
    <t>=IF(OR(D9="HR",D9="Finance"),"Admin/Support","Non Admin")</t>
  </si>
  <si>
    <t>Kelompokkan data cepat</t>
  </si>
  <si>
    <t>IF + OR</t>
  </si>
  <si>
    <t>Keputusan salah satu syarat</t>
  </si>
  <si>
    <t>Kelompok data</t>
  </si>
  <si>
    <t>Sering dipakai di klasifikasi</t>
  </si>
  <si>
    <t>Deadline 7 hari kerja</t>
  </si>
  <si>
    <t>Tanggal Mulai</t>
  </si>
  <si>
    <t>Tanggal deadline</t>
  </si>
  <si>
    <t>Gunakan WORKDAY</t>
  </si>
  <si>
    <t>Deadline Hari Kerja</t>
  </si>
  <si>
    <t>=WORKDAY(D10,7)</t>
  </si>
  <si>
    <t>Lewati Sabtu/Minggu otomatis</t>
  </si>
  <si>
    <t>L10</t>
  </si>
  <si>
    <t>Deadline kerja</t>
  </si>
  <si>
    <t>SLA, due date, project</t>
  </si>
  <si>
    <t>Abaikan weekend</t>
  </si>
  <si>
    <t>Jumlah penjualan cabang barat bulan Mei</t>
  </si>
  <si>
    <t>Wilayah &amp; tanggal</t>
  </si>
  <si>
    <t>Barat, Mei 2026</t>
  </si>
  <si>
    <t>Total penjualan</t>
  </si>
  <si>
    <t>Gunakan SUMIFS</t>
  </si>
  <si>
    <t>Sumifs Bulan Mei</t>
  </si>
  <si>
    <t>=SUMIFS($F$15:$F$19,$E$15:$E$19,"Barat",$D$15:$D$19,"&gt;="&amp;DATE(2026,5,1),$D$15:$D$19,"&lt;="&amp;DATE(2026,5,31))</t>
  </si>
  <si>
    <t>Rekap penjualan dengan banyak syarat</t>
  </si>
  <si>
    <t>L11</t>
  </si>
  <si>
    <t>SUMIFS + DATE</t>
  </si>
  <si>
    <t>Rekap berbasis banyak syarat</t>
  </si>
  <si>
    <t>Laporan bulanan per wilayah/divisi</t>
  </si>
  <si>
    <t>Sangat berguna di pekerjaan kantor</t>
  </si>
  <si>
    <t>Penjualan</t>
  </si>
  <si>
    <t>EMP001</t>
  </si>
  <si>
    <t>EMP002</t>
  </si>
  <si>
    <t>EMP004</t>
  </si>
  <si>
    <t>EMP005</t>
  </si>
  <si>
    <t>FLOOR=Ke bawah kelipatan 100</t>
  </si>
  <si>
    <t>CEILING=Ke atas kelipatan 100</t>
  </si>
  <si>
    <t>MROUND=Terdekat kelipatan 100</t>
  </si>
  <si>
    <t>Umur Spesifik</t>
  </si>
  <si>
    <t>jumlah hari kerja</t>
  </si>
  <si>
    <r>
      <t xml:space="preserve">mengambil teks setelah </t>
    </r>
    <r>
      <rPr>
        <b/>
        <sz val="10"/>
        <rFont val="Arial Unicode MS"/>
      </rPr>
      <t>@</t>
    </r>
  </si>
  <si>
    <r>
      <t xml:space="preserve">teks sebelum </t>
    </r>
    <r>
      <rPr>
        <b/>
        <sz val="10"/>
        <rFont val="Arial Unicode MS"/>
      </rPr>
      <t>@</t>
    </r>
  </si>
  <si>
    <t>Output (1)</t>
  </si>
  <si>
    <t>Output (2)</t>
  </si>
  <si>
    <t>Output (3)</t>
  </si>
  <si>
    <t>Output (4)</t>
  </si>
  <si>
    <t>=SEQUENCE(COUNTA(G:G)-1)</t>
  </si>
  <si>
    <t xml:space="preserve">Nomor tetap urut jika ada bagian yang di hapus </t>
  </si>
  <si>
    <t xml:space="preserve">Output </t>
  </si>
  <si>
    <t>referensi</t>
  </si>
  <si>
    <t>tambahkan -1 jika di block dari judul baris</t>
  </si>
  <si>
    <t>=SEQUENCE(COUNTA(I47:I67)-1)</t>
  </si>
  <si>
    <t>SEQUENCE(10)</t>
  </si>
  <si>
    <t>SEQUENCE(5;1;10)</t>
  </si>
  <si>
    <t>SEQUENCE(5;1;10;2)</t>
  </si>
  <si>
    <t>SEQUENCE(3;4)</t>
  </si>
  <si>
    <t>Ctrl + E</t>
  </si>
  <si>
    <t>Ctrl + H</t>
  </si>
  <si>
    <t>Ctrl + F</t>
  </si>
  <si>
    <t>Data → Sort A to Z</t>
  </si>
  <si>
    <t>Data → Sort Z to A</t>
  </si>
  <si>
    <t>Data → Sort → Add Level</t>
  </si>
  <si>
    <t>Data → Data Validation → List</t>
  </si>
  <si>
    <t>Provinsi → Kota → Kecamatan</t>
  </si>
  <si>
    <t>Home → Conditional Formatting</t>
  </si>
  <si>
    <t>View → Freeze Panes → Freeze Top Row</t>
  </si>
  <si>
    <t>View → Freeze Panes</t>
  </si>
  <si>
    <t>View → Split</t>
  </si>
  <si>
    <t>Shortcut</t>
  </si>
  <si>
    <t>Ctrl + C</t>
  </si>
  <si>
    <t>Copy</t>
  </si>
  <si>
    <t>Ctrl + V</t>
  </si>
  <si>
    <t>Paste</t>
  </si>
  <si>
    <t>Ctrl + Z</t>
  </si>
  <si>
    <t>Undo</t>
  </si>
  <si>
    <t>Ctrl + S</t>
  </si>
  <si>
    <t>Save</t>
  </si>
  <si>
    <t>Find</t>
  </si>
  <si>
    <t>Replace</t>
  </si>
  <si>
    <t>Print</t>
  </si>
  <si>
    <t>Ctrl + T</t>
  </si>
  <si>
    <t>Create Table</t>
  </si>
  <si>
    <t>Flash Fill</t>
  </si>
  <si>
    <t>Ctrl + ;</t>
  </si>
  <si>
    <t>Ctrl + Shift + :</t>
  </si>
  <si>
    <t>Alt + =</t>
  </si>
  <si>
    <t>AutoSum</t>
  </si>
  <si>
    <t>F2</t>
  </si>
  <si>
    <t>Ctrl + 1</t>
  </si>
  <si>
    <t>Format Cells</t>
  </si>
  <si>
    <t>Home → Format → AutoFit Row Height</t>
  </si>
  <si>
    <t>Home → Wrap Text</t>
  </si>
  <si>
    <t>Page Layout → Orientation</t>
  </si>
  <si>
    <t>Page Layout → Size</t>
  </si>
  <si>
    <t>Page Layout → Print Titles</t>
  </si>
  <si>
    <t>Insert → Header &amp; Footer</t>
  </si>
  <si>
    <t>Insert → PivotChart</t>
  </si>
  <si>
    <t>Review → Protect Sheet</t>
  </si>
  <si>
    <t>File → Info → Protect Workbook</t>
  </si>
  <si>
    <t>Kategori</t>
  </si>
  <si>
    <t>Tutorial/Fitur</t>
  </si>
  <si>
    <t>Cara Menggunakan</t>
  </si>
  <si>
    <t>Kegunaan di Dunia Kerja</t>
  </si>
  <si>
    <t>Mengatur Data</t>
  </si>
  <si>
    <t>Membuat Table</t>
  </si>
  <si>
    <r>
      <t xml:space="preserve">Blok data → </t>
    </r>
    <r>
      <rPr>
        <b/>
        <sz val="11"/>
        <rFont val="Carlito"/>
        <family val="2"/>
      </rPr>
      <t>Ctrl + T</t>
    </r>
    <r>
      <rPr>
        <sz val="11"/>
        <rFont val="Carlito"/>
        <family val="2"/>
      </rPr>
      <t xml:space="preserve"> → centang </t>
    </r>
    <r>
      <rPr>
        <i/>
        <sz val="11"/>
        <rFont val="Carlito"/>
        <family val="2"/>
      </rPr>
      <t>My table has headers</t>
    </r>
    <r>
      <rPr>
        <sz val="11"/>
        <rFont val="Carlito"/>
        <family val="2"/>
      </rPr>
      <t xml:space="preserve"> → OK</t>
    </r>
  </si>
  <si>
    <t>Membuat data rapi, otomatis memiliki filter, dan mudah ditambah</t>
  </si>
  <si>
    <t>Mengubah Warna Table</t>
  </si>
  <si>
    <r>
      <t xml:space="preserve">Klik tabel → </t>
    </r>
    <r>
      <rPr>
        <b/>
        <sz val="11"/>
        <rFont val="Carlito"/>
        <family val="2"/>
      </rPr>
      <t>Table Design → Table Styles</t>
    </r>
  </si>
  <si>
    <t>Membuat laporan lebih profesional dan konsisten</t>
  </si>
  <si>
    <t>Remove Duplicates</t>
  </si>
  <si>
    <r>
      <t>Data → Remove Duplicates</t>
    </r>
    <r>
      <rPr>
        <sz val="11"/>
        <rFont val="Carlito"/>
        <family val="2"/>
      </rPr>
      <t xml:space="preserve"> → pilih kolom → OK</t>
    </r>
  </si>
  <si>
    <t>Menghapus data pelanggan, NIK, invoice, atau email yang ganda</t>
  </si>
  <si>
    <t>Text to Columns</t>
  </si>
  <si>
    <r>
      <t>Data → Text to Columns</t>
    </r>
    <r>
      <rPr>
        <sz val="11"/>
        <rFont val="Carlito"/>
        <family val="2"/>
      </rPr>
      <t xml:space="preserve"> → pilih pemisah</t>
    </r>
  </si>
  <si>
    <t>Memisahkan data yang tergabung dalam satu kolom</t>
  </si>
  <si>
    <r>
      <t xml:space="preserve">Masukkan contoh → </t>
    </r>
    <r>
      <rPr>
        <b/>
        <sz val="11"/>
        <rFont val="Carlito"/>
        <family val="2"/>
      </rPr>
      <t>Ctrl + E</t>
    </r>
  </si>
  <si>
    <t>Mengambil pola tertentu dari data secara otomatis</t>
  </si>
  <si>
    <t>Find &amp; Replace</t>
  </si>
  <si>
    <r>
      <t>Ctrl + H</t>
    </r>
    <r>
      <rPr>
        <sz val="11"/>
        <rFont val="Carlito"/>
        <family val="2"/>
      </rPr>
      <t xml:space="preserve"> → isi </t>
    </r>
    <r>
      <rPr>
        <i/>
        <sz val="11"/>
        <rFont val="Carlito"/>
        <family val="2"/>
      </rPr>
      <t>Find</t>
    </r>
    <r>
      <rPr>
        <sz val="11"/>
        <rFont val="Carlito"/>
        <family val="2"/>
      </rPr>
      <t xml:space="preserve"> dan </t>
    </r>
    <r>
      <rPr>
        <i/>
        <sz val="11"/>
        <rFont val="Carlito"/>
        <family val="2"/>
      </rPr>
      <t>Replace with</t>
    </r>
  </si>
  <si>
    <t>Mengganti banyak data sekaligus</t>
  </si>
  <si>
    <r>
      <t>Ctrl + F</t>
    </r>
    <r>
      <rPr>
        <sz val="11"/>
        <rFont val="Carlito"/>
        <family val="2"/>
      </rPr>
      <t xml:space="preserve"> → ketik data yang dicari</t>
    </r>
  </si>
  <si>
    <t>Mencari nama, NIK, invoice, transaksi, dll.</t>
  </si>
  <si>
    <t>Sort &amp; Filter</t>
  </si>
  <si>
    <t>Sort A–Z</t>
  </si>
  <si>
    <t>Mengurutkan nama, kota, produk, dll.</t>
  </si>
  <si>
    <t>Sort Z–A</t>
  </si>
  <si>
    <t>Mengurutkan dari terbesar ke terkecil/terbalik</t>
  </si>
  <si>
    <t>Sort Banyak Kolom</t>
  </si>
  <si>
    <t>Mengurutkan berdasarkan beberapa kriteria</t>
  </si>
  <si>
    <t>Filter Data</t>
  </si>
  <si>
    <t>Klik ▼ pada header → pilih data</t>
  </si>
  <si>
    <t>Menampilkan data tertentu saja</t>
  </si>
  <si>
    <t>Filter by Color</t>
  </si>
  <si>
    <r>
      <t xml:space="preserve">Filter → </t>
    </r>
    <r>
      <rPr>
        <b/>
        <sz val="11"/>
        <rFont val="Carlito"/>
        <family val="2"/>
      </rPr>
      <t>Filter by Color</t>
    </r>
  </si>
  <si>
    <t>Menampilkan data berdasarkan warna</t>
  </si>
  <si>
    <t>Input Data</t>
  </si>
  <si>
    <t>Dropdown</t>
  </si>
  <si>
    <t>Mengurangi kesalahan input</t>
  </si>
  <si>
    <t>Dropdown Bertingkat</t>
  </si>
  <si>
    <t>Membuat formulir input yang lebih terstruktur</t>
  </si>
  <si>
    <t>Membatasi Angka</t>
  </si>
  <si>
    <r>
      <t>Data → Data Validation</t>
    </r>
    <r>
      <rPr>
        <sz val="11"/>
        <rFont val="Carlito"/>
        <family val="2"/>
      </rPr>
      <t xml:space="preserve"> → tentukan batas</t>
    </r>
  </si>
  <si>
    <t>Membatasi nilai yang boleh dimasukkan</t>
  </si>
  <si>
    <t>Error Alert</t>
  </si>
  <si>
    <r>
      <t xml:space="preserve">Data Validation → </t>
    </r>
    <r>
      <rPr>
        <b/>
        <sz val="11"/>
        <rFont val="Carlito"/>
        <family val="2"/>
      </rPr>
      <t>Error Alert</t>
    </r>
  </si>
  <si>
    <t>Memberikan peringatan jika input salah</t>
  </si>
  <si>
    <t>Conditional Formatting</t>
  </si>
  <si>
    <t>Nilai Merah</t>
  </si>
  <si>
    <t>Menandai nilai yang perlu diperhatikan</t>
  </si>
  <si>
    <t>Top/Bottom</t>
  </si>
  <si>
    <r>
      <t xml:space="preserve">Conditional Formatting → </t>
    </r>
    <r>
      <rPr>
        <b/>
        <sz val="11"/>
        <rFont val="Carlito"/>
        <family val="2"/>
      </rPr>
      <t>Top/Bottom Rules</t>
    </r>
  </si>
  <si>
    <t>Menemukan penjualan/kinerja tertinggi</t>
  </si>
  <si>
    <t>Data Bars</t>
  </si>
  <si>
    <r>
      <t xml:space="preserve">Conditional Formatting → </t>
    </r>
    <r>
      <rPr>
        <b/>
        <sz val="11"/>
        <rFont val="Carlito"/>
        <family val="2"/>
      </rPr>
      <t>Data Bars</t>
    </r>
  </si>
  <si>
    <t>Membandingkan angka secara visual</t>
  </si>
  <si>
    <t>Color Scales</t>
  </si>
  <si>
    <r>
      <t xml:space="preserve">Conditional Formatting → </t>
    </r>
    <r>
      <rPr>
        <b/>
        <sz val="11"/>
        <rFont val="Carlito"/>
        <family val="2"/>
      </rPr>
      <t>Color Scales</t>
    </r>
  </si>
  <si>
    <t>Melihat performa berdasarkan gradasi warna</t>
  </si>
  <si>
    <t>Tampilan</t>
  </si>
  <si>
    <t>Freeze Top Row</t>
  </si>
  <si>
    <t>Header tetap terlihat saat scroll</t>
  </si>
  <si>
    <t>Freeze Column</t>
  </si>
  <si>
    <t>Kolom identitas tetap terlihat</t>
  </si>
  <si>
    <t>Split Window</t>
  </si>
  <si>
    <t>Membandingkan bagian data yang berbeda</t>
  </si>
  <si>
    <t>Hide/Unhide Column</t>
  </si>
  <si>
    <r>
      <t xml:space="preserve">Klik kanan kolom → </t>
    </r>
    <r>
      <rPr>
        <b/>
        <sz val="11"/>
        <rFont val="Carlito"/>
        <family val="2"/>
      </rPr>
      <t>Hide/Unhide</t>
    </r>
  </si>
  <si>
    <t>Menyembunyikan kolom bantu</t>
  </si>
  <si>
    <t>Hide/Unhide Sheet</t>
  </si>
  <si>
    <r>
      <t xml:space="preserve">Klik kanan Sheet → </t>
    </r>
    <r>
      <rPr>
        <b/>
        <sz val="11"/>
        <rFont val="Carlito"/>
        <family val="2"/>
      </rPr>
      <t>Hide/Unhide</t>
    </r>
  </si>
  <si>
    <t>Menyembunyikan data referensi/perhitungan</t>
  </si>
  <si>
    <t>Menyalin data</t>
  </si>
  <si>
    <t>Menempelkan data</t>
  </si>
  <si>
    <t>Membatalkan tindakan</t>
  </si>
  <si>
    <t>Menyimpan file</t>
  </si>
  <si>
    <t>Mencari data</t>
  </si>
  <si>
    <t>Mengganti data</t>
  </si>
  <si>
    <t>Membuat Excel Table</t>
  </si>
  <si>
    <t>Mengisi berdasarkan pola</t>
  </si>
  <si>
    <t>Tanggal Hari Ini</t>
  </si>
  <si>
    <t>Memasukkan tanggal hari ini</t>
  </si>
  <si>
    <t>Waktu Saat Ini</t>
  </si>
  <si>
    <t>Memasukkan waktu</t>
  </si>
  <si>
    <t>Menjumlahkan data secara otomatis</t>
  </si>
  <si>
    <t>Edit Sel</t>
  </si>
  <si>
    <t>Mengedit isi sel</t>
  </si>
  <si>
    <t>Membuka pengaturan format</t>
  </si>
  <si>
    <t>Paste Special</t>
  </si>
  <si>
    <t>Paste Values</t>
  </si>
  <si>
    <t>Ctrl + Alt + V → Values</t>
  </si>
  <si>
    <t>Menyalin hasil tanpa membawa rumus</t>
  </si>
  <si>
    <t>Paste Formatting</t>
  </si>
  <si>
    <r>
      <t xml:space="preserve">Paste Special → </t>
    </r>
    <r>
      <rPr>
        <b/>
        <sz val="11"/>
        <rFont val="Carlito"/>
        <family val="2"/>
      </rPr>
      <t>Formats</t>
    </r>
  </si>
  <si>
    <t>Menyalin format saja</t>
  </si>
  <si>
    <t>Transpose</t>
  </si>
  <si>
    <r>
      <t xml:space="preserve">Paste Special → </t>
    </r>
    <r>
      <rPr>
        <b/>
        <sz val="11"/>
        <rFont val="Carlito"/>
        <family val="2"/>
      </rPr>
      <t>Transpose</t>
    </r>
  </si>
  <si>
    <t>Mengubah baris menjadi kolom atau sebaliknya</t>
  </si>
  <si>
    <t>Format Data</t>
  </si>
  <si>
    <t>Rupiah</t>
  </si>
  <si>
    <t>Ctrl + 1 → Currency/Accounting</t>
  </si>
  <si>
    <t>Menampilkan angka sebagai Rupiah</t>
  </si>
  <si>
    <t>Persentase</t>
  </si>
  <si>
    <r>
      <t xml:space="preserve">Klik </t>
    </r>
    <r>
      <rPr>
        <b/>
        <sz val="11"/>
        <rFont val="Carlito"/>
        <family val="2"/>
      </rPr>
      <t>%</t>
    </r>
  </si>
  <si>
    <t>Menampilkan angka sebagai persen</t>
  </si>
  <si>
    <t>Nol menjadi "-"</t>
  </si>
  <si>
    <r>
      <t xml:space="preserve">Gunakan </t>
    </r>
    <r>
      <rPr>
        <b/>
        <sz val="11"/>
        <rFont val="Carlito"/>
        <family val="2"/>
      </rPr>
      <t>Custom Number Format</t>
    </r>
  </si>
  <si>
    <t>Membuat laporan keuangan lebih rapi</t>
  </si>
  <si>
    <t>AutoFit Column</t>
  </si>
  <si>
    <t>Double-click batas kolom</t>
  </si>
  <si>
    <t>Menyesuaikan lebar kolom otomatis</t>
  </si>
  <si>
    <t>AutoFit Row</t>
  </si>
  <si>
    <t>Menyesuaikan tinggi baris</t>
  </si>
  <si>
    <t>Wrap Text</t>
  </si>
  <si>
    <t>Menampilkan teks panjang dalam satu sel</t>
  </si>
  <si>
    <t>Merge Cells</t>
  </si>
  <si>
    <t>Merge &amp; Center</t>
  </si>
  <si>
    <t>Membuat judul/header besar</t>
  </si>
  <si>
    <t>Print Area</t>
  </si>
  <si>
    <t>Page Layout → Print Area</t>
  </si>
  <si>
    <t>Menentukan bagian yang dicetak</t>
  </si>
  <si>
    <t>Orientation</t>
  </si>
  <si>
    <t>Memilih Portrait/Landscape</t>
  </si>
  <si>
    <t>Paper Size</t>
  </si>
  <si>
    <t>Menentukan ukuran kertas seperti A4</t>
  </si>
  <si>
    <t>Fit to One Page</t>
  </si>
  <si>
    <t>Scale to Fit → Width = 1 page</t>
  </si>
  <si>
    <t>Menyesuaikan tabel agar tidak terpotong</t>
  </si>
  <si>
    <t>Repeat Header</t>
  </si>
  <si>
    <t>Mengulang header di setiap halaman</t>
  </si>
  <si>
    <t>Header &amp; Footer</t>
  </si>
  <si>
    <t>Menambahkan judul, tanggal, nomor halaman</t>
  </si>
  <si>
    <t>Grafik</t>
  </si>
  <si>
    <t>Chart</t>
  </si>
  <si>
    <t>Insert → Recommended Charts</t>
  </si>
  <si>
    <t>Membuat visualisasi data</t>
  </si>
  <si>
    <t>Analisis</t>
  </si>
  <si>
    <t>PivotTable</t>
  </si>
  <si>
    <t>Insert → PivotTable</t>
  </si>
  <si>
    <t>Membuat ringkasan data dengan cepat</t>
  </si>
  <si>
    <t>PivotChart</t>
  </si>
  <si>
    <t>Membuat grafik dari PivotTable</t>
  </si>
  <si>
    <t>Slicer</t>
  </si>
  <si>
    <t>Insert → Slicer</t>
  </si>
  <si>
    <t>Membuat filter visual untuk dashboard</t>
  </si>
  <si>
    <t>Keamanan</t>
  </si>
  <si>
    <t>Protect Sheet</t>
  </si>
  <si>
    <t>Melindungi isi sheet</t>
  </si>
  <si>
    <t>Mengunci Sel Rumus</t>
  </si>
  <si>
    <r>
      <t xml:space="preserve">Unlock sel input → </t>
    </r>
    <r>
      <rPr>
        <b/>
        <sz val="11"/>
        <rFont val="Carlito"/>
        <family val="2"/>
      </rPr>
      <t>Protect Sheet</t>
    </r>
  </si>
  <si>
    <t>Mencegah rumus terhapus</t>
  </si>
  <si>
    <t>Protect Workbook</t>
  </si>
  <si>
    <t>Melindungi struktur workbook</t>
  </si>
  <si>
    <t>File</t>
  </si>
  <si>
    <t>Penamaan File Profesional</t>
  </si>
  <si>
    <r>
      <t xml:space="preserve">Contoh: </t>
    </r>
    <r>
      <rPr>
        <sz val="10"/>
        <rFont val="Arial Unicode MS"/>
      </rPr>
      <t>Laporan_Penjualan_Agustus_2026.xlsx</t>
    </r>
  </si>
  <si>
    <t>Memudahkan pengelolaan file</t>
  </si>
  <si>
    <t>Versi File</t>
  </si>
  <si>
    <t>v01 → v02 → Final</t>
  </si>
  <si>
    <t>Memudahkan pelacakan revisi</t>
  </si>
  <si>
    <t>Data</t>
  </si>
  <si>
    <t>RAW → PROCESSING → REPORT</t>
  </si>
  <si>
    <t>Pisahkan data mentah, proses, dan laporan</t>
  </si>
  <si>
    <t>Menjaga data asli tetap aman</t>
  </si>
  <si>
    <t>Satu Baris = Satu Data</t>
  </si>
  <si>
    <t>Setiap baris mewakili satu record</t>
  </si>
  <si>
    <t>Memudahkan pengolahan database</t>
  </si>
  <si>
    <t>Satu Kolom = Satu Informasi</t>
  </si>
  <si>
    <t>Pisahkan Nama, Kota, Divisi, Gaji</t>
  </si>
  <si>
    <t>Memudahkan filter dan analisis</t>
  </si>
  <si>
    <t>Hindari Baris Kosong</t>
  </si>
  <si>
    <t>Jangan beri baris kosong di tengah database</t>
  </si>
  <si>
    <t>Mencegah masalah Filter/PivotTable</t>
  </si>
  <si>
    <t>Jangan Hanya Gunakan Warna</t>
  </si>
  <si>
    <t>Tambahkan kolom Status</t>
  </si>
  <si>
    <t>Data tetap terbaca walaupun warna berubah</t>
  </si>
  <si>
    <t>Level Lanjutan</t>
  </si>
  <si>
    <t>Power Query</t>
  </si>
  <si>
    <t>Data → Get Data</t>
  </si>
  <si>
    <t>Membersihkan/menggabungkan data otomatis</t>
  </si>
  <si>
    <t>Power Pivot</t>
  </si>
  <si>
    <r>
      <t xml:space="preserve">Gunakan </t>
    </r>
    <r>
      <rPr>
        <b/>
        <sz val="11"/>
        <rFont val="Carlito"/>
        <family val="2"/>
      </rPr>
      <t>Power Pivot</t>
    </r>
  </si>
  <si>
    <t>Analisis data dalam jumlah besar</t>
  </si>
  <si>
    <t>PivotTable Lanjutan</t>
  </si>
  <si>
    <t>Gunakan berbagai field &amp; kalkulasi</t>
  </si>
  <si>
    <t>Membuat laporan manajemen</t>
  </si>
  <si>
    <t>Dashboard Excel</t>
  </si>
  <si>
    <t>PivotTable + PivotChart + Slicer</t>
  </si>
  <si>
    <t>Membuat dashboard interaktif</t>
  </si>
  <si>
    <t>Named Range</t>
  </si>
  <si>
    <t>Formulas → Name Manager</t>
  </si>
  <si>
    <t>Membuat referensi data lebih mudah</t>
  </si>
  <si>
    <t>Group &amp; Ungroup</t>
  </si>
  <si>
    <t>Data → Group/Ungroup</t>
  </si>
  <si>
    <t>Mengelompokkan baris/kolom</t>
  </si>
  <si>
    <t>Custom Sort</t>
  </si>
  <si>
    <t>Data → Sort → Custom List</t>
  </si>
  <si>
    <t>Mengurutkan Urgent → High → Medium → Low</t>
  </si>
  <si>
    <t>Menghapus Sel/Baris Kosong</t>
  </si>
  <si>
    <r>
      <t xml:space="preserve">Blok data → </t>
    </r>
    <r>
      <rPr>
        <b/>
        <sz val="11"/>
        <rFont val="Carlito"/>
        <family val="2"/>
      </rPr>
      <t>Ctrl + G</t>
    </r>
    <r>
      <rPr>
        <sz val="11"/>
        <rFont val="Carlito"/>
        <family val="2"/>
      </rPr>
      <t xml:space="preserve"> → </t>
    </r>
    <r>
      <rPr>
        <b/>
        <sz val="11"/>
        <rFont val="Carlito"/>
        <family val="2"/>
      </rPr>
      <t>Special</t>
    </r>
    <r>
      <rPr>
        <sz val="11"/>
        <rFont val="Carlito"/>
        <family val="2"/>
      </rPr>
      <t xml:space="preserve"> → </t>
    </r>
    <r>
      <rPr>
        <b/>
        <sz val="11"/>
        <rFont val="Carlito"/>
        <family val="2"/>
      </rPr>
      <t>Blanks</t>
    </r>
    <r>
      <rPr>
        <sz val="11"/>
        <rFont val="Carlito"/>
        <family val="2"/>
      </rPr>
      <t xml:space="preserve"> → OK → klik kanan → </t>
    </r>
    <r>
      <rPr>
        <b/>
        <sz val="11"/>
        <rFont val="Carlito"/>
        <family val="2"/>
      </rPr>
      <t>Delete</t>
    </r>
    <r>
      <rPr>
        <sz val="11"/>
        <rFont val="Carlito"/>
        <family val="2"/>
      </rPr>
      <t xml:space="preserve"> → pilih </t>
    </r>
    <r>
      <rPr>
        <b/>
        <sz val="11"/>
        <rFont val="Carlito"/>
        <family val="2"/>
      </rPr>
      <t>Entire Row</t>
    </r>
  </si>
  <si>
    <t>Menghapus baris kosong sekaligus agar data lebih rapi</t>
  </si>
  <si>
    <t>Menghapus Sel Kosong dalam Kolom</t>
  </si>
  <si>
    <r>
      <t xml:space="preserve">Pilih kolom → </t>
    </r>
    <r>
      <rPr>
        <b/>
        <sz val="11"/>
        <rFont val="Carlito"/>
        <family val="2"/>
      </rPr>
      <t>Ctrl + G</t>
    </r>
    <r>
      <rPr>
        <sz val="11"/>
        <rFont val="Carlito"/>
        <family val="2"/>
      </rPr>
      <t xml:space="preserve"> → </t>
    </r>
    <r>
      <rPr>
        <b/>
        <sz val="11"/>
        <rFont val="Carlito"/>
        <family val="2"/>
      </rPr>
      <t>Special → Blanks</t>
    </r>
    <r>
      <rPr>
        <sz val="11"/>
        <rFont val="Carlito"/>
        <family val="2"/>
      </rPr>
      <t xml:space="preserve"> → klik kanan → </t>
    </r>
    <r>
      <rPr>
        <b/>
        <sz val="11"/>
        <rFont val="Carlito"/>
        <family val="2"/>
      </rPr>
      <t>Delete → Shift cells up</t>
    </r>
  </si>
  <si>
    <t>Menghilangkan sel kosong tanpa menghapus seluruh baris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</si>
</sst>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5" formatCode="_-* #,##0_-;\-* #,##0_-;_-* &quot;-&quot;??_-;_-@_-"/>
  </numFmts>
  <fonts count="13">
    <font>
      <sz val="11"/>
      <name val="Carlito"/>
    </font>
    <font>
      <b/>
      <sz val="11"/>
      <color rgb="FFFFFFFF"/>
      <name val="Carlito"/>
      <family val="2"/>
    </font>
    <font>
      <i/>
      <sz val="11"/>
      <name val="Carlito"/>
      <family val="2"/>
    </font>
    <font>
      <b/>
      <sz val="11"/>
      <name val="Carlito"/>
      <family val="2"/>
    </font>
    <font>
      <b/>
      <sz val="11"/>
      <color rgb="FF000000"/>
      <name val="Carlito"/>
      <family val="2"/>
    </font>
    <font>
      <sz val="11"/>
      <name val="Carlito"/>
      <family val="2"/>
    </font>
    <font>
      <u/>
      <sz val="11"/>
      <color theme="10"/>
      <name val="Carlito"/>
      <family val="2"/>
    </font>
    <font>
      <sz val="8"/>
      <name val="Carlito"/>
      <family val="2"/>
    </font>
    <font>
      <b/>
      <sz val="11"/>
      <name val="Carlito"/>
      <family val="2"/>
    </font>
    <font>
      <sz val="11"/>
      <name val="Carlito"/>
      <family val="2"/>
    </font>
    <font>
      <b/>
      <sz val="10"/>
      <name val="Arial Unicode MS"/>
    </font>
    <font>
      <b/>
      <sz val="11"/>
      <name val="Carlito"/>
      <family val="2"/>
    </font>
    <font>
      <sz val="10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4F6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4">
    <xf numFmtId="0" fontId="0" fillId="0" borderId="0" xfId="0"/>
    <xf numFmtId="14" fontId="0" fillId="0" borderId="1" xfId="0" applyNumberFormat="1" applyFont="1" applyFill="1" applyBorder="1"/>
    <xf numFmtId="0" fontId="3" fillId="4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/>
    <xf numFmtId="3" fontId="0" fillId="0" borderId="2" xfId="0" applyNumberFormat="1" applyFont="1" applyFill="1" applyBorder="1"/>
    <xf numFmtId="0" fontId="0" fillId="0" borderId="2" xfId="0" applyBorder="1"/>
    <xf numFmtId="0" fontId="3" fillId="5" borderId="2" xfId="0" applyNumberFormat="1" applyFont="1" applyFill="1" applyBorder="1" applyAlignment="1">
      <alignment horizontal="center" vertical="center" wrapText="1"/>
    </xf>
    <xf numFmtId="0" fontId="3" fillId="6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wrapText="1"/>
    </xf>
    <xf numFmtId="49" fontId="0" fillId="0" borderId="2" xfId="0" applyNumberFormat="1" applyFont="1" applyFill="1" applyBorder="1"/>
    <xf numFmtId="164" fontId="0" fillId="0" borderId="2" xfId="0" applyNumberFormat="1" applyFont="1" applyFill="1" applyBorder="1"/>
    <xf numFmtId="1" fontId="0" fillId="0" borderId="2" xfId="0" applyNumberFormat="1" applyFont="1" applyFill="1" applyBorder="1"/>
    <xf numFmtId="0" fontId="0" fillId="0" borderId="1" xfId="0" applyBorder="1"/>
    <xf numFmtId="49" fontId="0" fillId="0" borderId="2" xfId="0" applyNumberFormat="1" applyFont="1" applyFill="1" applyBorder="1" applyAlignment="1">
      <alignment wrapText="1"/>
    </xf>
    <xf numFmtId="14" fontId="0" fillId="0" borderId="2" xfId="0" applyNumberFormat="1" applyFont="1" applyFill="1" applyBorder="1"/>
    <xf numFmtId="0" fontId="6" fillId="0" borderId="2" xfId="2" applyNumberFormat="1" applyFill="1" applyBorder="1"/>
    <xf numFmtId="3" fontId="0" fillId="7" borderId="2" xfId="0" applyNumberFormat="1" applyFont="1" applyFill="1" applyBorder="1"/>
    <xf numFmtId="0" fontId="0" fillId="7" borderId="2" xfId="0" applyNumberFormat="1" applyFont="1" applyFill="1" applyBorder="1"/>
    <xf numFmtId="165" fontId="0" fillId="8" borderId="2" xfId="1" applyNumberFormat="1" applyFont="1" applyFill="1" applyBorder="1"/>
    <xf numFmtId="0" fontId="0" fillId="8" borderId="2" xfId="0" applyNumberFormat="1" applyFont="1" applyFill="1" applyBorder="1"/>
    <xf numFmtId="0" fontId="0" fillId="8" borderId="2" xfId="0" applyFill="1" applyBorder="1"/>
    <xf numFmtId="0" fontId="3" fillId="8" borderId="2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8" borderId="2" xfId="0" applyFont="1" applyFill="1" applyBorder="1"/>
    <xf numFmtId="0" fontId="0" fillId="0" borderId="1" xfId="0" applyFill="1" applyBorder="1"/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/>
    <xf numFmtId="0" fontId="8" fillId="0" borderId="1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/>
    <xf numFmtId="0" fontId="9" fillId="0" borderId="2" xfId="0" applyNumberFormat="1" applyFont="1" applyFill="1" applyBorder="1" applyAlignment="1">
      <alignment wrapText="1"/>
    </xf>
    <xf numFmtId="0" fontId="9" fillId="0" borderId="2" xfId="2" applyNumberFormat="1" applyFont="1" applyFill="1" applyBorder="1"/>
    <xf numFmtId="0" fontId="0" fillId="8" borderId="5" xfId="0" applyFill="1" applyBorder="1"/>
    <xf numFmtId="14" fontId="0" fillId="8" borderId="2" xfId="0" applyNumberFormat="1" applyFill="1" applyBorder="1"/>
    <xf numFmtId="22" fontId="0" fillId="8" borderId="2" xfId="0" applyNumberFormat="1" applyFill="1" applyBorder="1"/>
    <xf numFmtId="0" fontId="3" fillId="8" borderId="6" xfId="0" applyNumberFormat="1" applyFont="1" applyFill="1" applyBorder="1" applyAlignment="1">
      <alignment horizontal="center" vertical="center" wrapText="1"/>
    </xf>
    <xf numFmtId="0" fontId="0" fillId="7" borderId="2" xfId="0" applyFill="1" applyBorder="1"/>
    <xf numFmtId="3" fontId="0" fillId="7" borderId="2" xfId="0" applyNumberFormat="1" applyFill="1" applyBorder="1"/>
    <xf numFmtId="3" fontId="0" fillId="8" borderId="2" xfId="0" applyNumberFormat="1" applyFill="1" applyBorder="1"/>
    <xf numFmtId="0" fontId="0" fillId="0" borderId="7" xfId="0" applyBorder="1"/>
    <xf numFmtId="0" fontId="3" fillId="5" borderId="2" xfId="0" quotePrefix="1" applyNumberFormat="1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7" xfId="0" quotePrefix="1" applyFont="1" applyBorder="1"/>
    <xf numFmtId="0" fontId="3" fillId="8" borderId="2" xfId="0" applyFont="1" applyFill="1" applyBorder="1"/>
    <xf numFmtId="0" fontId="11" fillId="8" borderId="2" xfId="0" applyFont="1" applyFill="1" applyBorder="1" applyAlignment="1">
      <alignment horizontal="center" vertical="center" wrapText="1"/>
    </xf>
    <xf numFmtId="49" fontId="0" fillId="0" borderId="2" xfId="0" quotePrefix="1" applyNumberFormat="1" applyFont="1" applyFill="1" applyBorder="1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left" vertical="center" wrapText="1"/>
    </xf>
    <xf numFmtId="0" fontId="2" fillId="3" borderId="0" xfId="0" applyNumberFormat="1" applyFont="1" applyFill="1" applyBorder="1" applyAlignment="1">
      <alignment horizontal="left" vertical="center"/>
    </xf>
    <xf numFmtId="0" fontId="4" fillId="4" borderId="2" xfId="0" applyNumberFormat="1" applyFont="1" applyFill="1" applyBorder="1" applyAlignment="1">
      <alignment horizontal="left" vertical="center" wrapText="1"/>
    </xf>
    <xf numFmtId="0" fontId="4" fillId="5" borderId="2" xfId="0" applyNumberFormat="1" applyFont="1" applyFill="1" applyBorder="1" applyAlignment="1">
      <alignment horizontal="left" vertical="center" wrapText="1"/>
    </xf>
    <xf numFmtId="0" fontId="4" fillId="6" borderId="2" xfId="0" applyNumberFormat="1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left" vertical="center"/>
    </xf>
    <xf numFmtId="0" fontId="4" fillId="4" borderId="0" xfId="0" applyNumberFormat="1" applyFont="1" applyFill="1" applyBorder="1" applyAlignment="1">
      <alignment horizontal="left" vertical="center" wrapText="1"/>
    </xf>
    <xf numFmtId="0" fontId="4" fillId="5" borderId="3" xfId="0" applyNumberFormat="1" applyFont="1" applyFill="1" applyBorder="1" applyAlignment="1">
      <alignment horizontal="center" vertical="center" wrapText="1"/>
    </xf>
    <xf numFmtId="0" fontId="4" fillId="5" borderId="4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.payroll@perusahaan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5"/>
  <sheetViews>
    <sheetView workbookViewId="0">
      <selection activeCell="F4" sqref="F4"/>
    </sheetView>
  </sheetViews>
  <sheetFormatPr defaultRowHeight="14.4"/>
  <cols>
    <col min="1" max="1" width="3.44140625" bestFit="1" customWidth="1"/>
    <col min="2" max="2" width="7" bestFit="1" customWidth="1"/>
    <col min="3" max="3" width="19.44140625" customWidth="1"/>
    <col min="4" max="4" width="39.5546875" customWidth="1"/>
    <col min="6" max="6" width="10.109375" customWidth="1"/>
    <col min="7" max="7" width="34.88671875" bestFit="1" customWidth="1"/>
    <col min="8" max="8" width="25.88671875" bestFit="1" customWidth="1"/>
  </cols>
  <sheetData>
    <row r="1" spans="1:8" ht="12" customHeight="1">
      <c r="A1" s="47" t="s">
        <v>0</v>
      </c>
      <c r="B1" s="47"/>
      <c r="C1" s="47"/>
      <c r="D1" s="47"/>
      <c r="E1" s="47"/>
      <c r="F1" s="47"/>
      <c r="G1" s="47"/>
      <c r="H1" s="47"/>
    </row>
    <row r="2" spans="1:8" ht="12" customHeight="1">
      <c r="A2" s="48" t="s">
        <v>1</v>
      </c>
      <c r="B2" s="48"/>
      <c r="C2" s="48"/>
      <c r="D2" s="48"/>
      <c r="E2" s="48"/>
      <c r="F2" s="48"/>
      <c r="G2" s="48"/>
      <c r="H2" s="48"/>
    </row>
    <row r="4" spans="1:8" ht="12" customHeight="1">
      <c r="A4" s="2" t="s">
        <v>2</v>
      </c>
      <c r="B4" s="2" t="s">
        <v>3</v>
      </c>
      <c r="C4" s="2" t="s">
        <v>4</v>
      </c>
      <c r="D4" s="2" t="s">
        <v>5</v>
      </c>
      <c r="F4" s="2" t="s">
        <v>6</v>
      </c>
      <c r="G4" s="2" t="s">
        <v>7</v>
      </c>
      <c r="H4" s="2" t="s">
        <v>5</v>
      </c>
    </row>
    <row r="5" spans="1:8" ht="12" customHeight="1">
      <c r="A5" s="3">
        <v>1</v>
      </c>
      <c r="B5" s="3" t="s">
        <v>8</v>
      </c>
      <c r="C5" s="3" t="s">
        <v>9</v>
      </c>
      <c r="D5" s="3" t="s">
        <v>10</v>
      </c>
      <c r="F5" s="3" t="s">
        <v>11</v>
      </c>
      <c r="G5" s="3" t="s">
        <v>12</v>
      </c>
      <c r="H5" s="3" t="s">
        <v>13</v>
      </c>
    </row>
    <row r="6" spans="1:8" ht="12" customHeight="1">
      <c r="A6" s="3">
        <v>2</v>
      </c>
      <c r="B6" s="3" t="s">
        <v>14</v>
      </c>
      <c r="C6" s="3" t="s">
        <v>15</v>
      </c>
      <c r="D6" s="3" t="s">
        <v>10</v>
      </c>
      <c r="F6" s="3" t="s">
        <v>16</v>
      </c>
      <c r="G6" s="3" t="s">
        <v>17</v>
      </c>
      <c r="H6" s="3" t="s">
        <v>18</v>
      </c>
    </row>
    <row r="7" spans="1:8" ht="12" customHeight="1">
      <c r="A7" s="3">
        <v>3</v>
      </c>
      <c r="B7" s="3" t="s">
        <v>19</v>
      </c>
      <c r="C7" s="3" t="s">
        <v>20</v>
      </c>
      <c r="D7" s="3" t="s">
        <v>21</v>
      </c>
      <c r="F7" s="3" t="s">
        <v>22</v>
      </c>
      <c r="G7" s="3" t="s">
        <v>23</v>
      </c>
      <c r="H7" s="3" t="s">
        <v>24</v>
      </c>
    </row>
    <row r="8" spans="1:8" ht="12" customHeight="1">
      <c r="A8" s="3">
        <v>4</v>
      </c>
      <c r="B8" s="3" t="s">
        <v>25</v>
      </c>
      <c r="C8" s="3" t="s">
        <v>26</v>
      </c>
      <c r="D8" s="3" t="s">
        <v>21</v>
      </c>
      <c r="F8" s="3" t="s">
        <v>27</v>
      </c>
      <c r="G8" s="3" t="s">
        <v>28</v>
      </c>
      <c r="H8" s="3" t="s">
        <v>29</v>
      </c>
    </row>
    <row r="9" spans="1:8" ht="12" customHeight="1">
      <c r="A9" s="3">
        <v>5</v>
      </c>
      <c r="B9" s="3" t="s">
        <v>30</v>
      </c>
      <c r="C9" s="3" t="s">
        <v>31</v>
      </c>
      <c r="D9" s="3" t="s">
        <v>32</v>
      </c>
      <c r="F9" s="3" t="s">
        <v>33</v>
      </c>
      <c r="G9" s="3" t="s">
        <v>34</v>
      </c>
      <c r="H9" s="3" t="s">
        <v>35</v>
      </c>
    </row>
    <row r="10" spans="1:8" ht="12" customHeight="1">
      <c r="A10" s="3">
        <v>6</v>
      </c>
      <c r="B10" s="3" t="s">
        <v>36</v>
      </c>
      <c r="C10" s="3" t="s">
        <v>37</v>
      </c>
      <c r="D10" s="3" t="s">
        <v>21</v>
      </c>
      <c r="F10" s="3" t="s">
        <v>38</v>
      </c>
      <c r="G10" s="3" t="s">
        <v>39</v>
      </c>
      <c r="H10" s="3" t="s">
        <v>40</v>
      </c>
    </row>
    <row r="11" spans="1:8" ht="12" customHeight="1">
      <c r="A11" s="3">
        <v>7</v>
      </c>
      <c r="B11" s="3" t="s">
        <v>41</v>
      </c>
      <c r="C11" s="3" t="s">
        <v>42</v>
      </c>
      <c r="D11" s="3" t="s">
        <v>21</v>
      </c>
    </row>
    <row r="12" spans="1:8" ht="12" customHeight="1">
      <c r="A12" s="3">
        <v>8</v>
      </c>
      <c r="B12" s="3" t="s">
        <v>43</v>
      </c>
      <c r="C12" s="3" t="s">
        <v>44</v>
      </c>
      <c r="D12" s="3" t="s">
        <v>45</v>
      </c>
    </row>
    <row r="13" spans="1:8" ht="12" customHeight="1">
      <c r="A13" s="3">
        <v>9</v>
      </c>
      <c r="B13" s="3" t="s">
        <v>46</v>
      </c>
      <c r="C13" s="3" t="s">
        <v>47</v>
      </c>
      <c r="D13" s="3" t="s">
        <v>48</v>
      </c>
    </row>
    <row r="14" spans="1:8" ht="12" customHeight="1">
      <c r="A14" s="3">
        <v>10</v>
      </c>
      <c r="B14" s="3" t="s">
        <v>49</v>
      </c>
      <c r="C14" s="3" t="s">
        <v>50</v>
      </c>
      <c r="D14" s="3" t="s">
        <v>51</v>
      </c>
    </row>
    <row r="15" spans="1:8" ht="12" customHeight="1">
      <c r="A15" s="3">
        <v>11</v>
      </c>
      <c r="B15" s="3" t="s">
        <v>52</v>
      </c>
      <c r="C15" s="3" t="s">
        <v>53</v>
      </c>
      <c r="D15" s="3" t="s">
        <v>54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20"/>
  <sheetViews>
    <sheetView workbookViewId="0">
      <selection activeCell="M18" sqref="M18"/>
    </sheetView>
  </sheetViews>
  <sheetFormatPr defaultRowHeight="14.4"/>
  <cols>
    <col min="1" max="1" width="7.109375" bestFit="1" customWidth="1"/>
    <col min="2" max="2" width="5.44140625" bestFit="1" customWidth="1"/>
    <col min="3" max="3" width="7.21875" bestFit="1" customWidth="1"/>
    <col min="4" max="4" width="11.88671875" customWidth="1"/>
    <col min="5" max="5" width="11.21875" customWidth="1"/>
    <col min="6" max="6" width="11.77734375" customWidth="1"/>
    <col min="7" max="7" width="11.88671875" customWidth="1"/>
    <col min="8" max="8" width="9.88671875" bestFit="1" customWidth="1"/>
    <col min="10" max="10" width="3.44140625" bestFit="1" customWidth="1"/>
    <col min="11" max="11" width="12.5546875" bestFit="1" customWidth="1"/>
    <col min="12" max="12" width="46.6640625" bestFit="1" customWidth="1"/>
    <col min="13" max="13" width="12.44140625" bestFit="1" customWidth="1"/>
    <col min="14" max="14" width="10.21875" customWidth="1"/>
    <col min="16" max="16" width="22.44140625" customWidth="1"/>
    <col min="17" max="17" width="25.88671875" customWidth="1"/>
    <col min="18" max="18" width="28.33203125" customWidth="1"/>
    <col min="19" max="19" width="26.21875" customWidth="1"/>
  </cols>
  <sheetData>
    <row r="1" spans="1:21" ht="12" customHeight="1">
      <c r="A1" s="47" t="s">
        <v>55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ht="12" customHeight="1">
      <c r="A2" s="49" t="s">
        <v>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4" spans="1:21" ht="12" customHeight="1">
      <c r="A4" s="50" t="s">
        <v>57</v>
      </c>
      <c r="B4" s="50"/>
      <c r="C4" s="50"/>
      <c r="D4" s="50"/>
      <c r="E4" s="50"/>
      <c r="F4" s="50"/>
      <c r="G4" s="50"/>
      <c r="H4" s="50"/>
      <c r="J4" s="51" t="s">
        <v>58</v>
      </c>
      <c r="K4" s="51"/>
      <c r="L4" s="51"/>
      <c r="M4" s="51"/>
      <c r="N4" s="51"/>
      <c r="P4" s="52" t="s">
        <v>59</v>
      </c>
      <c r="Q4" s="52"/>
      <c r="R4" s="52"/>
      <c r="S4" s="52"/>
    </row>
    <row r="5" spans="1:21" ht="12" customHeight="1">
      <c r="A5" s="2" t="s">
        <v>60</v>
      </c>
      <c r="B5" s="2" t="s">
        <v>61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67</v>
      </c>
      <c r="J5" s="6" t="s">
        <v>2</v>
      </c>
      <c r="K5" s="6" t="s">
        <v>68</v>
      </c>
      <c r="L5" s="6" t="s">
        <v>69</v>
      </c>
      <c r="M5" s="6" t="s">
        <v>70</v>
      </c>
      <c r="N5" s="6" t="s">
        <v>71</v>
      </c>
      <c r="P5" s="7" t="s">
        <v>68</v>
      </c>
      <c r="Q5" s="7" t="s">
        <v>72</v>
      </c>
      <c r="R5" s="7" t="s">
        <v>73</v>
      </c>
      <c r="S5" s="7" t="s">
        <v>5</v>
      </c>
    </row>
    <row r="6" spans="1:21" ht="12" customHeight="1">
      <c r="A6" s="3" t="s">
        <v>74</v>
      </c>
      <c r="B6" s="3" t="s">
        <v>75</v>
      </c>
      <c r="C6" s="3" t="s">
        <v>76</v>
      </c>
      <c r="D6" s="4">
        <v>10000000</v>
      </c>
      <c r="E6" s="4">
        <v>3500000</v>
      </c>
      <c r="F6" s="4">
        <v>11500000</v>
      </c>
      <c r="G6" s="16">
        <f>SUM(D6:F6)</f>
        <v>25000000</v>
      </c>
      <c r="H6" s="17" t="str">
        <f>IF(G6&gt;30000000,"lulus","tidak lulus")</f>
        <v>tidak lulus</v>
      </c>
      <c r="J6" s="3">
        <v>1</v>
      </c>
      <c r="K6" s="3" t="s">
        <v>77</v>
      </c>
      <c r="L6" s="3" t="s">
        <v>78</v>
      </c>
      <c r="M6" s="18">
        <f>SUM(G6:G10)</f>
        <v>149250000</v>
      </c>
      <c r="N6" s="3" t="s">
        <v>79</v>
      </c>
      <c r="P6" s="8" t="s">
        <v>77</v>
      </c>
      <c r="Q6" s="8" t="s">
        <v>80</v>
      </c>
      <c r="R6" s="8" t="s">
        <v>81</v>
      </c>
      <c r="S6" s="8" t="s">
        <v>82</v>
      </c>
    </row>
    <row r="7" spans="1:21" ht="12" customHeight="1">
      <c r="A7" s="3" t="s">
        <v>83</v>
      </c>
      <c r="B7" s="3" t="s">
        <v>75</v>
      </c>
      <c r="C7" s="3" t="s">
        <v>84</v>
      </c>
      <c r="D7" s="4">
        <v>12000000</v>
      </c>
      <c r="E7" s="4">
        <v>9000000</v>
      </c>
      <c r="F7" s="4">
        <v>12000000</v>
      </c>
      <c r="G7" s="16">
        <f t="shared" ref="G7:G10" si="0">SUM(D7:F7)</f>
        <v>33000000</v>
      </c>
      <c r="H7" s="17" t="str">
        <f t="shared" ref="H7:H10" si="1">IF(G7&gt;30000000,"lulus","tidak lulus")</f>
        <v>lulus</v>
      </c>
      <c r="J7" s="3">
        <v>2</v>
      </c>
      <c r="K7" s="3" t="s">
        <v>85</v>
      </c>
      <c r="L7" s="3" t="s">
        <v>86</v>
      </c>
      <c r="M7" s="18">
        <f>AVERAGE(G6:G10)</f>
        <v>29850000</v>
      </c>
      <c r="N7" s="3" t="s">
        <v>87</v>
      </c>
      <c r="P7" s="8" t="s">
        <v>85</v>
      </c>
      <c r="Q7" s="8" t="s">
        <v>88</v>
      </c>
      <c r="R7" s="8" t="s">
        <v>89</v>
      </c>
      <c r="S7" s="8" t="s">
        <v>90</v>
      </c>
    </row>
    <row r="8" spans="1:21" ht="12" customHeight="1">
      <c r="A8" s="3" t="s">
        <v>91</v>
      </c>
      <c r="B8" s="3" t="s">
        <v>92</v>
      </c>
      <c r="C8" s="3" t="s">
        <v>93</v>
      </c>
      <c r="D8" s="4">
        <v>5000000</v>
      </c>
      <c r="E8" s="4">
        <v>10000000</v>
      </c>
      <c r="F8" s="4">
        <v>8000000</v>
      </c>
      <c r="G8" s="16">
        <f t="shared" si="0"/>
        <v>23000000</v>
      </c>
      <c r="H8" s="17" t="str">
        <f t="shared" si="1"/>
        <v>tidak lulus</v>
      </c>
      <c r="J8" s="3">
        <v>3</v>
      </c>
      <c r="K8" s="3" t="s">
        <v>94</v>
      </c>
      <c r="L8" s="3" t="s">
        <v>95</v>
      </c>
      <c r="M8" s="18">
        <f>COUNT(G6:G10)</f>
        <v>5</v>
      </c>
      <c r="N8" s="3" t="s">
        <v>96</v>
      </c>
      <c r="P8" s="8" t="s">
        <v>97</v>
      </c>
      <c r="Q8" s="8" t="s">
        <v>98</v>
      </c>
      <c r="R8" s="8" t="s">
        <v>99</v>
      </c>
      <c r="S8" s="8" t="s">
        <v>100</v>
      </c>
    </row>
    <row r="9" spans="1:21" ht="12" customHeight="1">
      <c r="A9" s="3" t="s">
        <v>101</v>
      </c>
      <c r="B9" s="3" t="s">
        <v>92</v>
      </c>
      <c r="C9" s="3" t="s">
        <v>76</v>
      </c>
      <c r="D9" s="4">
        <v>7500000</v>
      </c>
      <c r="E9" s="4">
        <v>12000000</v>
      </c>
      <c r="F9" s="4">
        <v>9500000</v>
      </c>
      <c r="G9" s="16">
        <f t="shared" si="0"/>
        <v>29000000</v>
      </c>
      <c r="H9" s="17" t="str">
        <f t="shared" si="1"/>
        <v>tidak lulus</v>
      </c>
      <c r="J9" s="3">
        <v>4</v>
      </c>
      <c r="K9" s="3" t="s">
        <v>102</v>
      </c>
      <c r="L9" s="3" t="s">
        <v>103</v>
      </c>
      <c r="M9" s="18">
        <f>COUNTA(A6:A10)</f>
        <v>5</v>
      </c>
      <c r="N9" s="3" t="s">
        <v>104</v>
      </c>
      <c r="P9" s="8" t="s">
        <v>105</v>
      </c>
      <c r="Q9" s="8" t="s">
        <v>106</v>
      </c>
      <c r="R9" s="8" t="s">
        <v>107</v>
      </c>
      <c r="S9" s="8" t="s">
        <v>108</v>
      </c>
    </row>
    <row r="10" spans="1:21" ht="12" customHeight="1">
      <c r="A10" s="3" t="s">
        <v>109</v>
      </c>
      <c r="B10" s="3" t="s">
        <v>75</v>
      </c>
      <c r="C10" s="3" t="s">
        <v>93</v>
      </c>
      <c r="D10" s="4">
        <v>11000000</v>
      </c>
      <c r="E10" s="4">
        <v>13250000</v>
      </c>
      <c r="F10" s="4">
        <v>15000000</v>
      </c>
      <c r="G10" s="16">
        <f t="shared" si="0"/>
        <v>39250000</v>
      </c>
      <c r="H10" s="17" t="str">
        <f t="shared" si="1"/>
        <v>lulus</v>
      </c>
      <c r="J10" s="3">
        <v>5</v>
      </c>
      <c r="K10" s="3" t="s">
        <v>105</v>
      </c>
      <c r="L10" s="3" t="s">
        <v>110</v>
      </c>
      <c r="M10" s="18">
        <f>COUNTBLANK(I6:I10)</f>
        <v>5</v>
      </c>
      <c r="N10" s="3" t="s">
        <v>111</v>
      </c>
      <c r="P10" s="8" t="s">
        <v>112</v>
      </c>
      <c r="Q10" s="8" t="s">
        <v>113</v>
      </c>
      <c r="R10" s="8" t="s">
        <v>114</v>
      </c>
      <c r="S10" s="8" t="s">
        <v>115</v>
      </c>
    </row>
    <row r="11" spans="1:21" ht="12" customHeight="1">
      <c r="J11" s="3">
        <v>6</v>
      </c>
      <c r="K11" s="3" t="s">
        <v>116</v>
      </c>
      <c r="L11" s="3" t="s">
        <v>117</v>
      </c>
      <c r="M11" s="18">
        <f>MAX(G6:G10)</f>
        <v>39250000</v>
      </c>
      <c r="N11" s="3" t="s">
        <v>118</v>
      </c>
      <c r="P11" s="8" t="s">
        <v>119</v>
      </c>
      <c r="Q11" s="8" t="s">
        <v>120</v>
      </c>
      <c r="R11" s="8" t="s">
        <v>121</v>
      </c>
      <c r="S11" s="8" t="s">
        <v>122</v>
      </c>
    </row>
    <row r="12" spans="1:21" ht="12" customHeight="1">
      <c r="J12" s="3">
        <v>7</v>
      </c>
      <c r="K12" s="3" t="s">
        <v>123</v>
      </c>
      <c r="L12" s="3" t="s">
        <v>124</v>
      </c>
      <c r="M12" s="18">
        <f>MIN(G6:G10)</f>
        <v>23000000</v>
      </c>
      <c r="N12" s="3" t="s">
        <v>125</v>
      </c>
      <c r="P12" s="8" t="s">
        <v>126</v>
      </c>
      <c r="Q12" s="8" t="s">
        <v>127</v>
      </c>
      <c r="R12" s="8" t="s">
        <v>128</v>
      </c>
      <c r="S12" s="8" t="s">
        <v>129</v>
      </c>
    </row>
    <row r="13" spans="1:21" ht="12" customHeight="1">
      <c r="J13" s="3">
        <v>8</v>
      </c>
      <c r="K13" s="3" t="s">
        <v>130</v>
      </c>
      <c r="L13" s="3" t="s">
        <v>131</v>
      </c>
      <c r="M13" s="18">
        <f>LARGE(G6:G10,2)</f>
        <v>33000000</v>
      </c>
      <c r="N13" s="3" t="s">
        <v>132</v>
      </c>
      <c r="P13" s="8" t="s">
        <v>133</v>
      </c>
      <c r="Q13" s="8" t="s">
        <v>134</v>
      </c>
      <c r="R13" s="8" t="s">
        <v>135</v>
      </c>
      <c r="S13" s="8" t="s">
        <v>136</v>
      </c>
    </row>
    <row r="14" spans="1:21" ht="12" customHeight="1">
      <c r="J14" s="3">
        <v>9</v>
      </c>
      <c r="K14" s="3" t="s">
        <v>137</v>
      </c>
      <c r="L14" s="3" t="s">
        <v>138</v>
      </c>
      <c r="M14" s="18">
        <f>SMALL(G6:G10,2)</f>
        <v>25000000</v>
      </c>
      <c r="N14" s="3" t="s">
        <v>139</v>
      </c>
      <c r="P14" s="8" t="s">
        <v>140</v>
      </c>
      <c r="Q14" s="8" t="s">
        <v>141</v>
      </c>
      <c r="R14" s="8" t="s">
        <v>142</v>
      </c>
      <c r="S14" s="8" t="s">
        <v>143</v>
      </c>
    </row>
    <row r="15" spans="1:21" ht="12" customHeight="1">
      <c r="J15" s="3">
        <v>10</v>
      </c>
      <c r="K15" s="3" t="s">
        <v>144</v>
      </c>
      <c r="L15" s="3" t="s">
        <v>145</v>
      </c>
      <c r="M15" s="18">
        <f>SUMIF(B6:B10,"L",G6:G10)</f>
        <v>97250000</v>
      </c>
      <c r="N15" s="3" t="s">
        <v>146</v>
      </c>
    </row>
    <row r="16" spans="1:21" ht="12" customHeight="1">
      <c r="J16" s="3">
        <v>11</v>
      </c>
      <c r="K16" s="3" t="s">
        <v>147</v>
      </c>
      <c r="L16" s="3" t="s">
        <v>148</v>
      </c>
      <c r="M16" s="18">
        <f>COUNTIF(H6:H10,"Lulus")</f>
        <v>2</v>
      </c>
      <c r="N16" s="3" t="s">
        <v>149</v>
      </c>
    </row>
    <row r="17" spans="10:14" ht="12" customHeight="1">
      <c r="J17" s="3">
        <v>12</v>
      </c>
      <c r="K17" s="3" t="s">
        <v>150</v>
      </c>
      <c r="L17" s="3" t="s">
        <v>151</v>
      </c>
      <c r="M17" s="18">
        <f>SUMIFS(G6:G10,C6:C10,"HR",B6:B10,"P")</f>
        <v>29000000</v>
      </c>
      <c r="N17" s="3" t="s">
        <v>152</v>
      </c>
    </row>
    <row r="18" spans="10:14" ht="12" customHeight="1">
      <c r="J18" s="3">
        <v>13</v>
      </c>
      <c r="K18" s="3" t="s">
        <v>153</v>
      </c>
      <c r="L18" s="3" t="s">
        <v>154</v>
      </c>
      <c r="M18" s="18">
        <f>COUNTIFS(C6:C10,"Sales",B6:B10,"L")</f>
        <v>1</v>
      </c>
      <c r="N18" s="3" t="s">
        <v>155</v>
      </c>
    </row>
    <row r="19" spans="10:14" ht="12" customHeight="1">
      <c r="J19" s="3">
        <v>14</v>
      </c>
      <c r="K19" s="3" t="s">
        <v>156</v>
      </c>
      <c r="L19" s="3" t="s">
        <v>157</v>
      </c>
      <c r="M19" s="18">
        <f>AVERAGEIF(C6:C10,"HR",G6:G10)</f>
        <v>27000000</v>
      </c>
      <c r="N19" s="3" t="s">
        <v>158</v>
      </c>
    </row>
    <row r="20" spans="10:14" ht="12" customHeight="1">
      <c r="J20" s="3">
        <v>15</v>
      </c>
      <c r="K20" s="3" t="s">
        <v>159</v>
      </c>
      <c r="L20" s="3" t="s">
        <v>160</v>
      </c>
      <c r="M20" s="18">
        <f>AVERAGEIFS(G6:G10,B6:B10,"P",H6:H10,"Tidak Lulus")</f>
        <v>26000000</v>
      </c>
      <c r="N20" s="3" t="s">
        <v>161</v>
      </c>
    </row>
  </sheetData>
  <mergeCells count="5">
    <mergeCell ref="A1:U1"/>
    <mergeCell ref="A2:U2"/>
    <mergeCell ref="A4:H4"/>
    <mergeCell ref="J4:N4"/>
    <mergeCell ref="P4:S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17"/>
  <sheetViews>
    <sheetView workbookViewId="0">
      <selection activeCell="I9" sqref="I9"/>
    </sheetView>
  </sheetViews>
  <sheetFormatPr defaultRowHeight="14.4"/>
  <cols>
    <col min="1" max="1" width="16.109375" customWidth="1"/>
    <col min="2" max="2" width="28.33203125" customWidth="1"/>
    <col min="3" max="3" width="19.109375" bestFit="1" customWidth="1"/>
    <col min="4" max="4" width="7.88671875" bestFit="1" customWidth="1"/>
    <col min="6" max="6" width="3.44140625" bestFit="1" customWidth="1"/>
    <col min="7" max="7" width="13.5546875" bestFit="1" customWidth="1"/>
    <col min="8" max="8" width="28.109375" bestFit="1" customWidth="1"/>
    <col min="9" max="9" width="24.6640625" bestFit="1" customWidth="1"/>
    <col min="10" max="10" width="7.21875" bestFit="1" customWidth="1"/>
    <col min="12" max="12" width="23.77734375" customWidth="1"/>
    <col min="13" max="13" width="35.21875" customWidth="1"/>
    <col min="14" max="14" width="29.33203125" customWidth="1"/>
    <col min="15" max="15" width="29.21875" customWidth="1"/>
  </cols>
  <sheetData>
    <row r="1" spans="1:17" ht="12" customHeight="1">
      <c r="A1" s="47" t="s">
        <v>162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12" customHeight="1">
      <c r="A2" s="49" t="s">
        <v>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4" spans="1:17" ht="12" customHeight="1">
      <c r="A4" s="50" t="s">
        <v>57</v>
      </c>
      <c r="B4" s="50"/>
      <c r="C4" s="50"/>
      <c r="D4" s="50"/>
      <c r="F4" s="51" t="s">
        <v>58</v>
      </c>
      <c r="G4" s="51"/>
      <c r="H4" s="51"/>
      <c r="I4" s="51"/>
      <c r="J4" s="51"/>
      <c r="L4" s="52" t="s">
        <v>59</v>
      </c>
      <c r="M4" s="52"/>
      <c r="N4" s="52"/>
      <c r="O4" s="52"/>
    </row>
    <row r="5" spans="1:17" ht="12" customHeight="1">
      <c r="A5" s="2" t="s">
        <v>163</v>
      </c>
      <c r="B5" s="2" t="s">
        <v>164</v>
      </c>
      <c r="C5" s="2" t="s">
        <v>165</v>
      </c>
      <c r="D5" s="2" t="s">
        <v>166</v>
      </c>
      <c r="F5" s="6" t="s">
        <v>2</v>
      </c>
      <c r="G5" s="6" t="s">
        <v>68</v>
      </c>
      <c r="H5" s="6" t="s">
        <v>69</v>
      </c>
      <c r="I5" s="6" t="s">
        <v>70</v>
      </c>
      <c r="J5" s="6" t="s">
        <v>71</v>
      </c>
      <c r="L5" s="7" t="s">
        <v>68</v>
      </c>
      <c r="M5" s="7" t="s">
        <v>72</v>
      </c>
      <c r="N5" s="7" t="s">
        <v>73</v>
      </c>
      <c r="O5" s="7" t="s">
        <v>5</v>
      </c>
    </row>
    <row r="6" spans="1:17" ht="12" customHeight="1">
      <c r="A6" s="3" t="s">
        <v>167</v>
      </c>
      <c r="B6" s="3" t="s">
        <v>168</v>
      </c>
      <c r="C6" s="3" t="s">
        <v>169</v>
      </c>
      <c r="D6" s="3"/>
      <c r="F6" s="3">
        <v>1</v>
      </c>
      <c r="G6" s="3" t="s">
        <v>170</v>
      </c>
      <c r="H6" s="3" t="s">
        <v>171</v>
      </c>
      <c r="I6" s="20" t="str">
        <f>TRIM(B6)</f>
        <v>NaMa KEPala SekOLAH</v>
      </c>
      <c r="J6" s="3" t="s">
        <v>79</v>
      </c>
      <c r="L6" s="8" t="s">
        <v>170</v>
      </c>
      <c r="M6" s="8" t="s">
        <v>172</v>
      </c>
      <c r="N6" s="8" t="s">
        <v>173</v>
      </c>
      <c r="O6" s="8" t="s">
        <v>174</v>
      </c>
    </row>
    <row r="7" spans="1:17" ht="12" customHeight="1">
      <c r="A7" s="3" t="s">
        <v>175</v>
      </c>
      <c r="B7" s="3" t="s">
        <v>176</v>
      </c>
      <c r="C7" s="3" t="s">
        <v>177</v>
      </c>
      <c r="D7" s="3"/>
      <c r="F7" s="3">
        <v>2</v>
      </c>
      <c r="G7" s="3" t="s">
        <v>178</v>
      </c>
      <c r="H7" s="3" t="s">
        <v>179</v>
      </c>
      <c r="I7" s="20" t="str">
        <f>LOWER(B6)</f>
        <v>nama    kepala sekolah</v>
      </c>
      <c r="J7" s="3" t="s">
        <v>87</v>
      </c>
      <c r="L7" s="8" t="s">
        <v>180</v>
      </c>
      <c r="M7" s="8" t="s">
        <v>181</v>
      </c>
      <c r="N7" s="8" t="s">
        <v>182</v>
      </c>
      <c r="O7" s="8" t="s">
        <v>183</v>
      </c>
    </row>
    <row r="8" spans="1:17" ht="12" customHeight="1">
      <c r="A8" s="3" t="s">
        <v>184</v>
      </c>
      <c r="B8" s="3" t="s">
        <v>185</v>
      </c>
      <c r="C8" s="3" t="s">
        <v>177</v>
      </c>
      <c r="D8" s="3"/>
      <c r="F8" s="3">
        <v>3</v>
      </c>
      <c r="G8" s="3" t="s">
        <v>186</v>
      </c>
      <c r="H8" s="3" t="s">
        <v>187</v>
      </c>
      <c r="I8" s="20" t="str">
        <f>UPPER(B6)</f>
        <v>NAMA    KEPALA SEKOLAH</v>
      </c>
      <c r="J8" s="3" t="s">
        <v>96</v>
      </c>
      <c r="L8" s="8" t="s">
        <v>188</v>
      </c>
      <c r="M8" s="8" t="s">
        <v>189</v>
      </c>
      <c r="N8" s="8" t="s">
        <v>190</v>
      </c>
      <c r="O8" s="8" t="s">
        <v>191</v>
      </c>
    </row>
    <row r="9" spans="1:17" ht="12" customHeight="1">
      <c r="A9" s="3" t="s">
        <v>192</v>
      </c>
      <c r="B9" s="3" t="s">
        <v>193</v>
      </c>
      <c r="C9" s="3" t="s">
        <v>177</v>
      </c>
      <c r="D9" s="3"/>
      <c r="F9" s="3">
        <v>4</v>
      </c>
      <c r="G9" s="3" t="s">
        <v>194</v>
      </c>
      <c r="H9" s="3" t="s">
        <v>195</v>
      </c>
      <c r="I9" s="20" t="str">
        <f>PROPER(B6)</f>
        <v>Nama    Kepala Sekolah</v>
      </c>
      <c r="J9" s="3" t="s">
        <v>104</v>
      </c>
      <c r="L9" s="8" t="s">
        <v>196</v>
      </c>
      <c r="M9" s="8" t="s">
        <v>197</v>
      </c>
      <c r="N9" s="8" t="s">
        <v>198</v>
      </c>
      <c r="O9" s="8" t="s">
        <v>199</v>
      </c>
    </row>
    <row r="10" spans="1:17" ht="12" customHeight="1">
      <c r="A10" s="3" t="s">
        <v>200</v>
      </c>
      <c r="B10" s="3" t="s">
        <v>201</v>
      </c>
      <c r="C10" s="3" t="s">
        <v>202</v>
      </c>
      <c r="D10" s="3"/>
      <c r="F10" s="3">
        <v>5</v>
      </c>
      <c r="G10" s="3" t="s">
        <v>203</v>
      </c>
      <c r="H10" s="3" t="s">
        <v>204</v>
      </c>
      <c r="I10" s="20" t="str">
        <f>CONCATENATE(B7," ",B8," ",B9)</f>
        <v>Muhammad Irsad Khoiruddin</v>
      </c>
      <c r="J10" s="3" t="s">
        <v>111</v>
      </c>
      <c r="L10" s="8" t="s">
        <v>205</v>
      </c>
      <c r="M10" s="8" t="s">
        <v>206</v>
      </c>
      <c r="N10" s="8" t="s">
        <v>207</v>
      </c>
      <c r="O10" s="8" t="s">
        <v>208</v>
      </c>
    </row>
    <row r="11" spans="1:17" ht="12" customHeight="1">
      <c r="A11" s="3" t="s">
        <v>209</v>
      </c>
      <c r="B11" s="15" t="s">
        <v>210</v>
      </c>
      <c r="C11" s="3" t="s">
        <v>211</v>
      </c>
      <c r="D11" s="3"/>
      <c r="F11" s="3">
        <v>6</v>
      </c>
      <c r="G11" s="3" t="s">
        <v>212</v>
      </c>
      <c r="H11" s="3" t="s">
        <v>213</v>
      </c>
      <c r="I11" s="20" t="str">
        <f>_xlfn.TEXTJOIN(" ",TRUE,B7:B9)</f>
        <v>Muhammad Irsad Khoiruddin</v>
      </c>
      <c r="J11" s="3" t="s">
        <v>118</v>
      </c>
      <c r="L11" s="8" t="s">
        <v>214</v>
      </c>
      <c r="M11" s="8" t="s">
        <v>215</v>
      </c>
      <c r="N11" s="8" t="s">
        <v>216</v>
      </c>
      <c r="O11" s="8" t="s">
        <v>217</v>
      </c>
    </row>
    <row r="12" spans="1:17" ht="12" customHeight="1">
      <c r="A12" s="3" t="s">
        <v>218</v>
      </c>
      <c r="B12" s="9">
        <v>46149</v>
      </c>
      <c r="C12" s="3" t="s">
        <v>219</v>
      </c>
      <c r="D12" s="3"/>
      <c r="F12" s="3">
        <v>7</v>
      </c>
      <c r="G12" s="3" t="s">
        <v>196</v>
      </c>
      <c r="H12" s="3" t="s">
        <v>220</v>
      </c>
      <c r="I12" s="20" t="str">
        <f>SUBSTITUTE(B10,".","-")</f>
        <v>Divisi-HR-Jakarta</v>
      </c>
      <c r="J12" s="3" t="s">
        <v>125</v>
      </c>
      <c r="L12" s="8" t="s">
        <v>221</v>
      </c>
      <c r="M12" s="8" t="s">
        <v>222</v>
      </c>
      <c r="N12" s="8" t="s">
        <v>223</v>
      </c>
      <c r="O12" s="8" t="s">
        <v>224</v>
      </c>
    </row>
    <row r="13" spans="1:17" ht="12" customHeight="1">
      <c r="A13" s="3" t="s">
        <v>225</v>
      </c>
      <c r="B13" s="10">
        <v>1250000</v>
      </c>
      <c r="C13" s="3" t="s">
        <v>226</v>
      </c>
      <c r="D13" s="3"/>
      <c r="F13" s="3">
        <v>8</v>
      </c>
      <c r="G13" s="3" t="s">
        <v>227</v>
      </c>
      <c r="H13" s="3" t="s">
        <v>228</v>
      </c>
      <c r="I13" s="20">
        <f>SEARCH("@",B11)</f>
        <v>14</v>
      </c>
      <c r="J13" s="3" t="s">
        <v>132</v>
      </c>
    </row>
    <row r="14" spans="1:17" ht="12" customHeight="1">
      <c r="A14" s="3" t="s">
        <v>229</v>
      </c>
      <c r="B14" s="4" t="s">
        <v>230</v>
      </c>
      <c r="C14" s="3" t="s">
        <v>231</v>
      </c>
      <c r="D14" s="3"/>
      <c r="F14" s="3">
        <v>9</v>
      </c>
      <c r="G14" s="3" t="s">
        <v>232</v>
      </c>
      <c r="H14" s="3" t="s">
        <v>233</v>
      </c>
      <c r="I14" s="20">
        <f>FIND("payroll",B11)</f>
        <v>7</v>
      </c>
      <c r="J14" s="3" t="s">
        <v>139</v>
      </c>
    </row>
    <row r="15" spans="1:17" ht="12" customHeight="1">
      <c r="F15" s="3">
        <v>10</v>
      </c>
      <c r="G15" s="3" t="s">
        <v>234</v>
      </c>
      <c r="H15" s="3" t="s">
        <v>235</v>
      </c>
      <c r="I15" s="20" t="str">
        <f>TEXT(B12,"dd/mm/yyyy")</f>
        <v>07/05/2026</v>
      </c>
      <c r="J15" s="3" t="s">
        <v>146</v>
      </c>
    </row>
    <row r="16" spans="1:17" ht="12" customHeight="1">
      <c r="F16" s="3">
        <v>11</v>
      </c>
      <c r="G16" s="3" t="s">
        <v>236</v>
      </c>
      <c r="H16" s="3" t="s">
        <v>237</v>
      </c>
      <c r="I16" s="20" t="str">
        <f>"Rp "&amp;TEXT(B13,"#,##0")</f>
        <v>Rp 1250000,0</v>
      </c>
      <c r="J16" s="3" t="s">
        <v>149</v>
      </c>
    </row>
    <row r="17" spans="6:10" ht="12" customHeight="1">
      <c r="F17" s="3">
        <v>12</v>
      </c>
      <c r="G17" s="3" t="s">
        <v>221</v>
      </c>
      <c r="H17" s="3" t="s">
        <v>238</v>
      </c>
      <c r="I17" s="20">
        <f>VALUE(B14)</f>
        <v>125</v>
      </c>
      <c r="J17" s="3" t="s">
        <v>152</v>
      </c>
    </row>
  </sheetData>
  <mergeCells count="5">
    <mergeCell ref="A1:Q1"/>
    <mergeCell ref="A2:Q2"/>
    <mergeCell ref="A4:D4"/>
    <mergeCell ref="F4:J4"/>
    <mergeCell ref="L4:O4"/>
  </mergeCells>
  <hyperlinks>
    <hyperlink ref="B11" r:id="rId1" xr:uid="{759367B0-4FB0-445F-A23B-411BD1248C2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11"/>
  <sheetViews>
    <sheetView workbookViewId="0">
      <selection activeCell="N6" sqref="N6"/>
    </sheetView>
  </sheetViews>
  <sheetFormatPr defaultRowHeight="14.4"/>
  <cols>
    <col min="1" max="1" width="7.21875" bestFit="1" customWidth="1"/>
    <col min="2" max="2" width="15.33203125" customWidth="1"/>
    <col min="3" max="3" width="12.5546875" customWidth="1"/>
    <col min="4" max="4" width="11.33203125" bestFit="1" customWidth="1"/>
    <col min="5" max="5" width="21.6640625" bestFit="1" customWidth="1"/>
    <col min="7" max="7" width="14.88671875" bestFit="1" customWidth="1"/>
    <col min="8" max="8" width="18" bestFit="1" customWidth="1"/>
    <col min="9" max="9" width="7.88671875" bestFit="1" customWidth="1"/>
    <col min="10" max="10" width="14.21875" bestFit="1" customWidth="1"/>
    <col min="11" max="11" width="11.21875" bestFit="1" customWidth="1"/>
    <col min="12" max="12" width="14.5546875" bestFit="1" customWidth="1"/>
    <col min="13" max="13" width="22.44140625" customWidth="1"/>
    <col min="14" max="15" width="14.5546875" customWidth="1"/>
    <col min="16" max="16" width="16.5546875" bestFit="1" customWidth="1"/>
    <col min="17" max="17" width="23.21875" customWidth="1"/>
    <col min="18" max="18" width="29.6640625" customWidth="1"/>
    <col min="19" max="19" width="29" customWidth="1"/>
  </cols>
  <sheetData>
    <row r="1" spans="1:21" ht="12" customHeight="1">
      <c r="A1" s="47" t="s">
        <v>239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53"/>
      <c r="N1" s="53"/>
      <c r="O1" s="53"/>
      <c r="P1" s="47"/>
      <c r="Q1" s="47"/>
      <c r="R1" s="47"/>
      <c r="S1" s="47"/>
      <c r="T1" s="47"/>
      <c r="U1" s="47"/>
    </row>
    <row r="2" spans="1:21" ht="12" customHeight="1">
      <c r="A2" s="49" t="s">
        <v>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54"/>
      <c r="N2" s="54"/>
      <c r="O2" s="54"/>
      <c r="P2" s="49"/>
      <c r="Q2" s="49"/>
      <c r="R2" s="49"/>
      <c r="S2" s="49"/>
      <c r="T2" s="49"/>
      <c r="U2" s="49"/>
    </row>
    <row r="4" spans="1:21" ht="12" customHeight="1">
      <c r="A4" s="50" t="s">
        <v>57</v>
      </c>
      <c r="B4" s="50"/>
      <c r="C4" s="50"/>
      <c r="D4" s="50"/>
      <c r="E4" s="50"/>
      <c r="G4" s="51" t="s">
        <v>58</v>
      </c>
      <c r="H4" s="51"/>
      <c r="I4" s="51"/>
      <c r="J4" s="51"/>
      <c r="K4" s="51"/>
      <c r="L4" s="20"/>
      <c r="M4" s="24"/>
      <c r="N4" s="24"/>
      <c r="O4" s="25"/>
      <c r="P4" s="52" t="s">
        <v>59</v>
      </c>
      <c r="Q4" s="52"/>
      <c r="R4" s="52"/>
      <c r="S4" s="52"/>
    </row>
    <row r="5" spans="1:21" ht="12" customHeight="1">
      <c r="A5" s="2" t="s">
        <v>62</v>
      </c>
      <c r="B5" s="2" t="s">
        <v>240</v>
      </c>
      <c r="C5" s="2" t="s">
        <v>241</v>
      </c>
      <c r="D5" s="2" t="s">
        <v>242</v>
      </c>
      <c r="E5" s="2" t="s">
        <v>209</v>
      </c>
      <c r="G5" s="6" t="s">
        <v>240</v>
      </c>
      <c r="H5" s="6" t="s">
        <v>243</v>
      </c>
      <c r="I5" s="6" t="s">
        <v>244</v>
      </c>
      <c r="J5" s="6" t="s">
        <v>245</v>
      </c>
      <c r="K5" s="6" t="s">
        <v>246</v>
      </c>
      <c r="L5" s="6" t="s">
        <v>247</v>
      </c>
      <c r="M5" s="24" t="s">
        <v>665</v>
      </c>
      <c r="N5" s="24" t="s">
        <v>666</v>
      </c>
      <c r="O5" s="26"/>
      <c r="P5" s="7" t="s">
        <v>68</v>
      </c>
      <c r="Q5" s="7" t="s">
        <v>72</v>
      </c>
      <c r="R5" s="7" t="s">
        <v>73</v>
      </c>
      <c r="S5" s="7" t="s">
        <v>5</v>
      </c>
    </row>
    <row r="6" spans="1:21" ht="12" customHeight="1">
      <c r="A6" s="3" t="s">
        <v>76</v>
      </c>
      <c r="B6" s="3" t="s">
        <v>248</v>
      </c>
      <c r="C6" s="11">
        <v>1990</v>
      </c>
      <c r="D6" s="9" t="s">
        <v>249</v>
      </c>
      <c r="E6" s="32" t="s">
        <v>250</v>
      </c>
      <c r="G6" s="20" t="str">
        <f>B6</f>
        <v>Ruben</v>
      </c>
      <c r="H6" s="20" t="str">
        <f>A6&amp;"-"&amp;B6&amp;"-"&amp;C6</f>
        <v>HR-Ruben-1990</v>
      </c>
      <c r="I6" s="20">
        <f>LEN(B6)</f>
        <v>5</v>
      </c>
      <c r="J6" s="20" t="str">
        <f>LEFT(D6,3)</f>
        <v>123</v>
      </c>
      <c r="K6" s="20" t="str">
        <f>MID(D6,5,4)</f>
        <v>4560</v>
      </c>
      <c r="L6" s="33" t="str">
        <f>RIGHT(D6,2)</f>
        <v>01</v>
      </c>
      <c r="M6" s="19" t="str">
        <f>RIGHT(E6,LEN(E6)-SEARCH("@",E6))</f>
        <v>company.co.id</v>
      </c>
      <c r="N6" s="19" t="str">
        <f>LEFT(E6,SEARCH("@",E6)-1)</f>
        <v>ruben</v>
      </c>
      <c r="O6" s="27"/>
      <c r="P6" s="13" t="s">
        <v>251</v>
      </c>
      <c r="Q6" s="8" t="s">
        <v>252</v>
      </c>
      <c r="R6" s="8" t="s">
        <v>253</v>
      </c>
      <c r="S6" s="8" t="s">
        <v>254</v>
      </c>
    </row>
    <row r="7" spans="1:21" ht="12" customHeight="1">
      <c r="A7" s="3" t="s">
        <v>84</v>
      </c>
      <c r="B7" s="3" t="s">
        <v>255</v>
      </c>
      <c r="C7" s="11">
        <v>1994</v>
      </c>
      <c r="D7" s="9" t="s">
        <v>256</v>
      </c>
      <c r="E7" s="3" t="s">
        <v>257</v>
      </c>
      <c r="G7" s="20" t="str">
        <f>B7</f>
        <v>Disti</v>
      </c>
      <c r="H7" s="20" t="str">
        <f>A7&amp;"-"&amp;B7&amp;"-"&amp;C7</f>
        <v>Finance-Disti-1994</v>
      </c>
      <c r="I7" s="20">
        <f>LEN(B7)</f>
        <v>5</v>
      </c>
      <c r="J7" s="20" t="str">
        <f>LEFT(D7,3)</f>
        <v>288</v>
      </c>
      <c r="K7" s="20" t="str">
        <f>MID(D7,5,4)</f>
        <v>5670</v>
      </c>
      <c r="L7" s="33" t="str">
        <f>RIGHT(D7,2)</f>
        <v>02</v>
      </c>
      <c r="M7" s="19" t="str">
        <f t="shared" ref="M7:M9" si="0">RIGHT(E7,LEN(E7)-SEARCH("@",E7))</f>
        <v>company.co.id</v>
      </c>
      <c r="N7" s="19" t="str">
        <f t="shared" ref="N7:N9" si="1">LEFT(E7,SEARCH("@",E7)-1)</f>
        <v>disti</v>
      </c>
      <c r="O7" s="27"/>
      <c r="P7" s="13" t="s">
        <v>258</v>
      </c>
      <c r="Q7" s="8" t="s">
        <v>259</v>
      </c>
      <c r="R7" s="8" t="s">
        <v>260</v>
      </c>
      <c r="S7" s="8" t="s">
        <v>261</v>
      </c>
    </row>
    <row r="8" spans="1:21" ht="12" customHeight="1">
      <c r="A8" s="3" t="s">
        <v>93</v>
      </c>
      <c r="B8" s="3" t="s">
        <v>262</v>
      </c>
      <c r="C8" s="11">
        <v>1989</v>
      </c>
      <c r="D8" s="9" t="s">
        <v>263</v>
      </c>
      <c r="E8" s="3" t="s">
        <v>264</v>
      </c>
      <c r="G8" s="20" t="str">
        <f>B8</f>
        <v>Juned M.</v>
      </c>
      <c r="H8" s="20" t="str">
        <f>A8&amp;"-"&amp;B8&amp;"-"&amp;C8</f>
        <v>Sales-Juned M.-1989</v>
      </c>
      <c r="I8" s="20">
        <f>LEN(B8)</f>
        <v>8</v>
      </c>
      <c r="J8" s="20" t="str">
        <f>LEFT(D8,3)</f>
        <v>139</v>
      </c>
      <c r="K8" s="20" t="str">
        <f>MID(D8,5,4)</f>
        <v>8780</v>
      </c>
      <c r="L8" s="33" t="str">
        <f>RIGHT(D8,2)</f>
        <v>03</v>
      </c>
      <c r="M8" s="19" t="str">
        <f t="shared" si="0"/>
        <v>company.co.id</v>
      </c>
      <c r="N8" s="19" t="str">
        <f t="shared" si="1"/>
        <v>juned</v>
      </c>
      <c r="O8" s="27"/>
      <c r="P8" s="13" t="s">
        <v>265</v>
      </c>
      <c r="Q8" s="8" t="s">
        <v>266</v>
      </c>
      <c r="R8" s="8" t="s">
        <v>267</v>
      </c>
      <c r="S8" s="8" t="s">
        <v>268</v>
      </c>
    </row>
    <row r="9" spans="1:21" ht="12" customHeight="1">
      <c r="A9" s="3" t="s">
        <v>76</v>
      </c>
      <c r="B9" s="3" t="s">
        <v>269</v>
      </c>
      <c r="C9" s="11">
        <v>1997</v>
      </c>
      <c r="D9" s="9" t="s">
        <v>270</v>
      </c>
      <c r="E9" s="3" t="s">
        <v>271</v>
      </c>
      <c r="G9" s="20" t="str">
        <f>B9</f>
        <v>Aryanne</v>
      </c>
      <c r="H9" s="20" t="str">
        <f>A9&amp;"-"&amp;B9&amp;"-"&amp;C9</f>
        <v>HR-Aryanne-1997</v>
      </c>
      <c r="I9" s="20">
        <f>LEN(B9)</f>
        <v>7</v>
      </c>
      <c r="J9" s="20" t="str">
        <f>LEFT(D9,3)</f>
        <v>456</v>
      </c>
      <c r="K9" s="20" t="str">
        <f>MID(D9,5,4)</f>
        <v>1231</v>
      </c>
      <c r="L9" s="33" t="str">
        <f>RIGHT(D9,2)</f>
        <v>04</v>
      </c>
      <c r="M9" s="19" t="str">
        <f t="shared" si="0"/>
        <v>company.co.id</v>
      </c>
      <c r="N9" s="19" t="str">
        <f t="shared" si="1"/>
        <v>aryanne</v>
      </c>
      <c r="O9" s="27"/>
      <c r="P9" s="13" t="s">
        <v>272</v>
      </c>
      <c r="Q9" s="8" t="s">
        <v>273</v>
      </c>
      <c r="R9" s="8" t="s">
        <v>274</v>
      </c>
      <c r="S9" s="8" t="s">
        <v>275</v>
      </c>
    </row>
    <row r="10" spans="1:21" ht="12" customHeight="1">
      <c r="L10" s="12"/>
      <c r="M10" s="9"/>
      <c r="N10" s="12"/>
      <c r="O10" s="12"/>
      <c r="P10" s="8" t="s">
        <v>276</v>
      </c>
      <c r="Q10" s="8" t="s">
        <v>277</v>
      </c>
      <c r="R10" s="8" t="s">
        <v>278</v>
      </c>
      <c r="S10" s="8" t="s">
        <v>279</v>
      </c>
    </row>
    <row r="11" spans="1:21" ht="12" customHeight="1">
      <c r="L11" s="12"/>
      <c r="M11" s="12"/>
      <c r="N11" s="12"/>
      <c r="O11" s="12"/>
      <c r="P11" s="31" t="s">
        <v>280</v>
      </c>
      <c r="Q11" s="8" t="s">
        <v>281</v>
      </c>
      <c r="R11" s="8" t="s">
        <v>282</v>
      </c>
      <c r="S11" s="8" t="s">
        <v>283</v>
      </c>
    </row>
  </sheetData>
  <mergeCells count="5">
    <mergeCell ref="A1:U1"/>
    <mergeCell ref="A2:U2"/>
    <mergeCell ref="A4:E4"/>
    <mergeCell ref="G4:K4"/>
    <mergeCell ref="P4:S4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10"/>
  <sheetViews>
    <sheetView workbookViewId="0">
      <selection activeCell="M7" sqref="M7"/>
    </sheetView>
  </sheetViews>
  <sheetFormatPr defaultRowHeight="14.4"/>
  <cols>
    <col min="1" max="1" width="6" bestFit="1" customWidth="1"/>
    <col min="2" max="2" width="5.77734375" customWidth="1"/>
    <col min="3" max="3" width="11.44140625" customWidth="1"/>
    <col min="4" max="4" width="9.21875" bestFit="1" customWidth="1"/>
    <col min="5" max="6" width="5.33203125" bestFit="1" customWidth="1"/>
    <col min="7" max="7" width="9.44140625" bestFit="1" customWidth="1"/>
    <col min="9" max="9" width="11" bestFit="1" customWidth="1"/>
    <col min="10" max="10" width="6" bestFit="1" customWidth="1"/>
    <col min="11" max="11" width="10.77734375" bestFit="1" customWidth="1"/>
    <col min="12" max="12" width="16.6640625" customWidth="1"/>
    <col min="13" max="13" width="18" customWidth="1"/>
    <col min="15" max="15" width="8.109375" bestFit="1" customWidth="1"/>
    <col min="16" max="16" width="24.77734375" customWidth="1"/>
    <col min="17" max="17" width="34.88671875" customWidth="1"/>
    <col min="18" max="18" width="25.44140625" customWidth="1"/>
  </cols>
  <sheetData>
    <row r="1" spans="1:20" ht="12" customHeight="1">
      <c r="A1" s="47" t="s">
        <v>284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0" ht="12" customHeight="1">
      <c r="A2" s="49" t="s">
        <v>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</row>
    <row r="4" spans="1:20" ht="12" customHeight="1">
      <c r="A4" s="55" t="s">
        <v>57</v>
      </c>
      <c r="B4" s="55"/>
      <c r="C4" s="55"/>
      <c r="D4" s="55"/>
      <c r="E4" s="55"/>
      <c r="F4" s="55"/>
      <c r="G4" s="55"/>
      <c r="I4" s="51" t="s">
        <v>58</v>
      </c>
      <c r="J4" s="51"/>
      <c r="K4" s="51"/>
      <c r="L4" s="51"/>
      <c r="M4" s="51"/>
      <c r="O4" s="52" t="s">
        <v>59</v>
      </c>
      <c r="P4" s="52"/>
      <c r="Q4" s="52"/>
      <c r="R4" s="52"/>
    </row>
    <row r="5" spans="1:20" ht="12" customHeight="1">
      <c r="A5" s="2" t="s">
        <v>60</v>
      </c>
      <c r="B5" s="2" t="s">
        <v>285</v>
      </c>
      <c r="C5" s="2" t="s">
        <v>286</v>
      </c>
      <c r="D5" s="2" t="s">
        <v>62</v>
      </c>
      <c r="E5" s="2" t="s">
        <v>287</v>
      </c>
      <c r="F5" s="2" t="s">
        <v>287</v>
      </c>
      <c r="G5" s="2" t="s">
        <v>288</v>
      </c>
      <c r="I5" s="6" t="s">
        <v>289</v>
      </c>
      <c r="J5" s="6" t="s">
        <v>290</v>
      </c>
      <c r="K5" s="6" t="s">
        <v>291</v>
      </c>
      <c r="L5" s="6" t="s">
        <v>292</v>
      </c>
      <c r="M5" s="6" t="s">
        <v>293</v>
      </c>
      <c r="O5" s="7" t="s">
        <v>68</v>
      </c>
      <c r="P5" s="7" t="s">
        <v>72</v>
      </c>
      <c r="Q5" s="7" t="s">
        <v>73</v>
      </c>
      <c r="R5" s="7" t="s">
        <v>5</v>
      </c>
    </row>
    <row r="6" spans="1:20" ht="12" customHeight="1">
      <c r="A6" s="3" t="s">
        <v>294</v>
      </c>
      <c r="B6" s="3">
        <v>82</v>
      </c>
      <c r="C6" s="3">
        <v>95</v>
      </c>
      <c r="D6" s="3" t="s">
        <v>76</v>
      </c>
      <c r="E6" s="3" t="s">
        <v>295</v>
      </c>
      <c r="F6" s="3" t="s">
        <v>295</v>
      </c>
      <c r="G6" s="3" t="s">
        <v>296</v>
      </c>
      <c r="I6" s="20" t="str">
        <f>IF(B6&gt;=75,"Lulus","Tidak Lulus")</f>
        <v>Lulus</v>
      </c>
      <c r="J6" s="20" t="str">
        <f>_xlfn.IFS(B6&gt;=90,"A",B6&gt;=80,"B",B6&gt;=70,"C",TRUE,"D")</f>
        <v>B</v>
      </c>
      <c r="K6" s="20" t="str">
        <f>IF(AND(B6&gt;=80,C6&gt;=90),"Bonus","Tidak Bonus")</f>
        <v>Bonus</v>
      </c>
      <c r="L6" s="20" t="str">
        <f>IF(OR(D6="HR",D6="Finance"),"Admin/Support","Non Admin")</f>
        <v>Admin/Support</v>
      </c>
      <c r="M6" s="20" t="str">
        <f>IFERROR(VLOOKUP(E6,$F$6:$G$8,2,FALSE),"Kode tidak ada")</f>
        <v>Staff</v>
      </c>
      <c r="O6" s="8" t="s">
        <v>297</v>
      </c>
      <c r="P6" s="8" t="s">
        <v>298</v>
      </c>
      <c r="Q6" s="8" t="s">
        <v>299</v>
      </c>
      <c r="R6" s="8" t="s">
        <v>300</v>
      </c>
    </row>
    <row r="7" spans="1:20" ht="12" customHeight="1">
      <c r="A7" s="3" t="s">
        <v>301</v>
      </c>
      <c r="B7" s="3">
        <v>74</v>
      </c>
      <c r="C7" s="3">
        <v>88</v>
      </c>
      <c r="D7" s="3" t="s">
        <v>93</v>
      </c>
      <c r="E7" s="3" t="s">
        <v>302</v>
      </c>
      <c r="F7" s="3" t="s">
        <v>302</v>
      </c>
      <c r="G7" s="3" t="s">
        <v>303</v>
      </c>
      <c r="I7" s="20" t="str">
        <f>IF(B7&gt;=75,"Lulus","Tidak Lulus")</f>
        <v>Tidak Lulus</v>
      </c>
      <c r="J7" s="20" t="str">
        <f>_xlfn.IFS(B7&gt;=90,"A",B7&gt;=80,"B",B7&gt;=70,"C",TRUE,"D")</f>
        <v>C</v>
      </c>
      <c r="K7" s="20" t="str">
        <f>IF(AND(B7&gt;=80,C7&gt;=90),"Bonus","Tidak Bonus")</f>
        <v>Tidak Bonus</v>
      </c>
      <c r="L7" s="20" t="str">
        <f>IF(OR(D7="HR",D7="Finance"),"Admin/Support","Non Admin")</f>
        <v>Non Admin</v>
      </c>
      <c r="M7" s="20" t="str">
        <f>IFERROR(VLOOKUP(E7,$F$6:$G$8,2,FALSE),"Kode tidak ada")</f>
        <v>Supervisor</v>
      </c>
      <c r="O7" s="8" t="s">
        <v>304</v>
      </c>
      <c r="P7" s="8" t="s">
        <v>305</v>
      </c>
      <c r="Q7" s="8" t="s">
        <v>306</v>
      </c>
      <c r="R7" s="8" t="s">
        <v>307</v>
      </c>
    </row>
    <row r="8" spans="1:20" ht="12" customHeight="1">
      <c r="A8" s="3" t="s">
        <v>308</v>
      </c>
      <c r="B8" s="3">
        <v>91</v>
      </c>
      <c r="C8" s="3">
        <v>97</v>
      </c>
      <c r="D8" s="3" t="s">
        <v>84</v>
      </c>
      <c r="E8" s="3" t="s">
        <v>309</v>
      </c>
      <c r="F8" s="3" t="s">
        <v>309</v>
      </c>
      <c r="G8" s="3" t="s">
        <v>310</v>
      </c>
      <c r="I8" s="20" t="str">
        <f>IF(B8&gt;=75,"Lulus","Tidak Lulus")</f>
        <v>Lulus</v>
      </c>
      <c r="J8" s="20" t="str">
        <f>_xlfn.IFS(B8&gt;=90,"A",B8&gt;=80,"B",B8&gt;=70,"C",TRUE,"D")</f>
        <v>A</v>
      </c>
      <c r="K8" s="20" t="str">
        <f>IF(AND(B8&gt;=80,C8&gt;=90),"Bonus","Tidak Bonus")</f>
        <v>Bonus</v>
      </c>
      <c r="L8" s="20" t="str">
        <f>IF(OR(D8="HR",D8="Finance"),"Admin/Support","Non Admin")</f>
        <v>Admin/Support</v>
      </c>
      <c r="M8" s="20" t="str">
        <f>IFERROR(VLOOKUP(E8,$F$6:$G$8,2,FALSE),"Kode tidak ada")</f>
        <v>Manager</v>
      </c>
      <c r="O8" s="8" t="s">
        <v>311</v>
      </c>
      <c r="P8" s="8" t="s">
        <v>312</v>
      </c>
      <c r="Q8" s="8" t="s">
        <v>313</v>
      </c>
      <c r="R8" s="8" t="s">
        <v>314</v>
      </c>
    </row>
    <row r="9" spans="1:20" ht="12" customHeight="1">
      <c r="A9" s="3" t="s">
        <v>315</v>
      </c>
      <c r="B9" s="3">
        <v>67</v>
      </c>
      <c r="C9" s="3">
        <v>92</v>
      </c>
      <c r="D9" s="3" t="s">
        <v>316</v>
      </c>
      <c r="E9" s="3" t="s">
        <v>317</v>
      </c>
      <c r="F9" s="5"/>
      <c r="G9" s="5"/>
      <c r="I9" s="20" t="str">
        <f>IF(B9&gt;=75,"Lulus","Tidak Lulus")</f>
        <v>Tidak Lulus</v>
      </c>
      <c r="J9" s="20" t="str">
        <f>_xlfn.IFS(B9&gt;=90,"A",B9&gt;=80,"B",B9&gt;=70,"C",TRUE,"D")</f>
        <v>D</v>
      </c>
      <c r="K9" s="20" t="str">
        <f>IF(AND(B9&gt;=80,C9&gt;=90),"Bonus","Tidak Bonus")</f>
        <v>Tidak Bonus</v>
      </c>
      <c r="L9" s="20" t="str">
        <f>IF(OR(D9="HR",D9="Finance"),"Admin/Support","Non Admin")</f>
        <v>Non Admin</v>
      </c>
      <c r="M9" s="20" t="str">
        <f>IFERROR(VLOOKUP(E9,$F$6:$G$8,2,FALSE),"Kode tidak ada")</f>
        <v>Kode tidak ada</v>
      </c>
      <c r="O9" s="8" t="s">
        <v>318</v>
      </c>
      <c r="P9" s="8" t="s">
        <v>319</v>
      </c>
      <c r="Q9" s="8" t="s">
        <v>320</v>
      </c>
      <c r="R9" s="8" t="s">
        <v>321</v>
      </c>
    </row>
    <row r="10" spans="1:20" ht="12" customHeight="1">
      <c r="A10" s="3" t="s">
        <v>322</v>
      </c>
      <c r="B10" s="3">
        <v>85</v>
      </c>
      <c r="C10" s="3">
        <v>80</v>
      </c>
      <c r="D10" s="3" t="s">
        <v>76</v>
      </c>
      <c r="E10" s="3" t="s">
        <v>295</v>
      </c>
      <c r="F10" s="5"/>
      <c r="G10" s="5"/>
      <c r="I10" s="20" t="str">
        <f>IF(B10&gt;=75,"Lulus","Tidak Lulus")</f>
        <v>Lulus</v>
      </c>
      <c r="J10" s="20" t="str">
        <f>_xlfn.IFS(B10&gt;=90,"A",B10&gt;=80,"B",B10&gt;=70,"C",TRUE,"D")</f>
        <v>B</v>
      </c>
      <c r="K10" s="20" t="str">
        <f>IF(AND(B10&gt;=80,C10&gt;=90),"Bonus","Tidak Bonus")</f>
        <v>Tidak Bonus</v>
      </c>
      <c r="L10" s="20" t="str">
        <f>IF(OR(D10="HR",D10="Finance"),"Admin/Support","Non Admin")</f>
        <v>Admin/Support</v>
      </c>
      <c r="M10" s="20" t="str">
        <f>IFERROR(VLOOKUP(E10,$F$6:$G$8,2,FALSE),"Kode tidak ada")</f>
        <v>Staff</v>
      </c>
      <c r="O10" s="8" t="s">
        <v>323</v>
      </c>
      <c r="P10" s="8" t="s">
        <v>324</v>
      </c>
      <c r="Q10" s="8" t="s">
        <v>325</v>
      </c>
      <c r="R10" s="8" t="s">
        <v>326</v>
      </c>
    </row>
  </sheetData>
  <mergeCells count="5">
    <mergeCell ref="A1:T1"/>
    <mergeCell ref="A2:T2"/>
    <mergeCell ref="A4:G4"/>
    <mergeCell ref="I4:M4"/>
    <mergeCell ref="O4:R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9"/>
  <sheetViews>
    <sheetView workbookViewId="0">
      <selection activeCell="J19" sqref="J19"/>
    </sheetView>
  </sheetViews>
  <sheetFormatPr defaultRowHeight="14.4"/>
  <cols>
    <col min="1" max="1" width="15" bestFit="1" customWidth="1"/>
    <col min="2" max="2" width="15.109375" customWidth="1"/>
    <col min="3" max="3" width="14.109375" customWidth="1"/>
    <col min="4" max="4" width="9.88671875" bestFit="1" customWidth="1"/>
    <col min="5" max="5" width="15.33203125" customWidth="1"/>
    <col min="7" max="7" width="11.5546875" bestFit="1" customWidth="1"/>
    <col min="8" max="8" width="32.21875" bestFit="1" customWidth="1"/>
    <col min="9" max="9" width="19.33203125" customWidth="1"/>
    <col min="10" max="10" width="23.21875" customWidth="1"/>
    <col min="11" max="11" width="14.33203125" customWidth="1"/>
    <col min="13" max="13" width="16.109375" bestFit="1" customWidth="1"/>
    <col min="14" max="14" width="25" customWidth="1"/>
    <col min="15" max="15" width="30.6640625" customWidth="1"/>
    <col min="16" max="16" width="26" customWidth="1"/>
  </cols>
  <sheetData>
    <row r="1" spans="1:18" ht="12" customHeight="1">
      <c r="A1" s="47" t="s">
        <v>327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ht="12" customHeight="1">
      <c r="A2" s="49" t="s">
        <v>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4" spans="1:18" ht="12" customHeight="1">
      <c r="A4" s="50" t="s">
        <v>57</v>
      </c>
      <c r="B4" s="50"/>
      <c r="C4" s="50"/>
      <c r="D4" s="50"/>
      <c r="E4" s="50"/>
      <c r="G4" s="51" t="s">
        <v>58</v>
      </c>
      <c r="H4" s="51"/>
      <c r="I4" s="51"/>
      <c r="J4" s="51"/>
      <c r="K4" s="51"/>
      <c r="M4" s="52" t="s">
        <v>59</v>
      </c>
      <c r="N4" s="52"/>
      <c r="O4" s="52"/>
      <c r="P4" s="52"/>
    </row>
    <row r="5" spans="1:18" ht="12" customHeight="1">
      <c r="A5" s="2" t="s">
        <v>328</v>
      </c>
      <c r="B5" s="2" t="s">
        <v>329</v>
      </c>
      <c r="C5" s="2" t="s">
        <v>330</v>
      </c>
      <c r="D5" s="2" t="s">
        <v>331</v>
      </c>
      <c r="E5" s="2" t="s">
        <v>332</v>
      </c>
      <c r="G5" s="6" t="s">
        <v>328</v>
      </c>
      <c r="H5" s="6" t="s">
        <v>333</v>
      </c>
      <c r="I5" s="6" t="s">
        <v>334</v>
      </c>
      <c r="J5" s="6" t="s">
        <v>335</v>
      </c>
      <c r="K5" s="6" t="s">
        <v>336</v>
      </c>
      <c r="M5" s="7" t="s">
        <v>68</v>
      </c>
      <c r="N5" s="7" t="s">
        <v>72</v>
      </c>
      <c r="O5" s="7" t="s">
        <v>73</v>
      </c>
      <c r="P5" s="7" t="s">
        <v>5</v>
      </c>
    </row>
    <row r="6" spans="1:18" ht="12" customHeight="1">
      <c r="A6" s="3">
        <v>101</v>
      </c>
      <c r="B6" s="3" t="s">
        <v>294</v>
      </c>
      <c r="C6" s="3" t="s">
        <v>337</v>
      </c>
      <c r="D6" s="3" t="s">
        <v>338</v>
      </c>
      <c r="E6" s="3" t="s">
        <v>339</v>
      </c>
      <c r="G6" s="3">
        <v>106</v>
      </c>
      <c r="H6" s="20" t="str">
        <f t="shared" ref="H6:H15" si="0">IFERROR(VLOOKUP(G6,$A$6:$E$15,2,FALSE),"Tidak ada")</f>
        <v>Fiona</v>
      </c>
      <c r="I6" s="20" t="str">
        <f>IFERROR(_xlfn.XLOOKUP(G6,$A$6:$A$15,$D$6:$D$15),"Tidak ada")</f>
        <v>Palembang</v>
      </c>
      <c r="J6" s="20" t="str">
        <f t="shared" ref="J6:J15" si="1">IFERROR(INDEX($C$6:$C$15,MATCH(G6,$A$6:$A$15,0)),"Tidak ada")</f>
        <v>Perempuan</v>
      </c>
      <c r="K6" s="20">
        <f t="shared" ref="K6:K15" si="2">IFERROR(MATCH(G6,$A$6:$A$15,0),"Tidak ada")</f>
        <v>6</v>
      </c>
      <c r="M6" s="8" t="s">
        <v>340</v>
      </c>
      <c r="N6" s="8" t="s">
        <v>341</v>
      </c>
      <c r="O6" s="8" t="s">
        <v>342</v>
      </c>
      <c r="P6" s="8" t="s">
        <v>343</v>
      </c>
    </row>
    <row r="7" spans="1:18" ht="12" customHeight="1">
      <c r="A7" s="3">
        <v>102</v>
      </c>
      <c r="B7" s="3" t="s">
        <v>301</v>
      </c>
      <c r="C7" s="3" t="s">
        <v>337</v>
      </c>
      <c r="D7" s="3" t="s">
        <v>344</v>
      </c>
      <c r="E7" s="3" t="s">
        <v>345</v>
      </c>
      <c r="G7" s="3">
        <v>102</v>
      </c>
      <c r="H7" s="20" t="str">
        <f t="shared" si="0"/>
        <v>Budi</v>
      </c>
      <c r="I7" s="20" t="str">
        <f t="shared" ref="I7:I15" si="3">IFERROR(_xlfn.XLOOKUP(G7,$A$6:$A$15,$D$6:$D$15),"Tidak ada")</f>
        <v>Jakarta</v>
      </c>
      <c r="J7" s="20" t="str">
        <f t="shared" si="1"/>
        <v>Laki-laki</v>
      </c>
      <c r="K7" s="20">
        <f t="shared" si="2"/>
        <v>2</v>
      </c>
      <c r="M7" s="8" t="s">
        <v>346</v>
      </c>
      <c r="N7" s="8" t="s">
        <v>347</v>
      </c>
      <c r="O7" s="8" t="s">
        <v>348</v>
      </c>
      <c r="P7" s="8" t="s">
        <v>349</v>
      </c>
    </row>
    <row r="8" spans="1:18" ht="12" customHeight="1">
      <c r="A8" s="3">
        <v>103</v>
      </c>
      <c r="B8" s="3" t="s">
        <v>308</v>
      </c>
      <c r="C8" s="3" t="s">
        <v>350</v>
      </c>
      <c r="D8" s="3" t="s">
        <v>351</v>
      </c>
      <c r="E8" s="3" t="s">
        <v>339</v>
      </c>
      <c r="G8" s="3">
        <v>104</v>
      </c>
      <c r="H8" s="20" t="str">
        <f t="shared" si="0"/>
        <v>Dewi</v>
      </c>
      <c r="I8" s="20" t="str">
        <f t="shared" si="3"/>
        <v>Surabaya</v>
      </c>
      <c r="J8" s="20" t="str">
        <f t="shared" si="1"/>
        <v>Perempuan</v>
      </c>
      <c r="K8" s="20">
        <f t="shared" si="2"/>
        <v>4</v>
      </c>
      <c r="M8" s="8" t="s">
        <v>352</v>
      </c>
      <c r="N8" s="8" t="s">
        <v>353</v>
      </c>
      <c r="O8" s="8" t="s">
        <v>354</v>
      </c>
      <c r="P8" s="8" t="s">
        <v>355</v>
      </c>
    </row>
    <row r="9" spans="1:18" ht="12" customHeight="1">
      <c r="A9" s="3">
        <v>104</v>
      </c>
      <c r="B9" s="3" t="s">
        <v>315</v>
      </c>
      <c r="C9" s="3" t="s">
        <v>350</v>
      </c>
      <c r="D9" s="3" t="s">
        <v>356</v>
      </c>
      <c r="E9" s="3" t="s">
        <v>357</v>
      </c>
      <c r="G9" s="3">
        <v>105</v>
      </c>
      <c r="H9" s="20" t="str">
        <f t="shared" si="0"/>
        <v>Eko</v>
      </c>
      <c r="I9" s="20" t="str">
        <f t="shared" si="3"/>
        <v>Jakarta</v>
      </c>
      <c r="J9" s="20" t="str">
        <f t="shared" si="1"/>
        <v>Laki-laki</v>
      </c>
      <c r="K9" s="20">
        <f t="shared" si="2"/>
        <v>5</v>
      </c>
      <c r="M9" s="8" t="s">
        <v>358</v>
      </c>
      <c r="N9" s="8" t="s">
        <v>359</v>
      </c>
      <c r="O9" s="8" t="s">
        <v>360</v>
      </c>
      <c r="P9" s="8" t="s">
        <v>361</v>
      </c>
    </row>
    <row r="10" spans="1:18" ht="12" customHeight="1">
      <c r="A10" s="3">
        <v>105</v>
      </c>
      <c r="B10" s="3" t="s">
        <v>322</v>
      </c>
      <c r="C10" s="3" t="s">
        <v>337</v>
      </c>
      <c r="D10" s="3" t="s">
        <v>344</v>
      </c>
      <c r="E10" s="3" t="s">
        <v>345</v>
      </c>
      <c r="G10" s="3">
        <v>110</v>
      </c>
      <c r="H10" s="20" t="str">
        <f t="shared" si="0"/>
        <v>Juned</v>
      </c>
      <c r="I10" s="20" t="str">
        <f t="shared" si="3"/>
        <v>Bandung</v>
      </c>
      <c r="J10" s="20" t="str">
        <f t="shared" si="1"/>
        <v>Laki-laki</v>
      </c>
      <c r="K10" s="20">
        <f t="shared" si="2"/>
        <v>10</v>
      </c>
      <c r="M10" s="8" t="s">
        <v>362</v>
      </c>
      <c r="N10" s="8" t="s">
        <v>363</v>
      </c>
      <c r="O10" s="8" t="s">
        <v>364</v>
      </c>
      <c r="P10" s="8" t="s">
        <v>365</v>
      </c>
    </row>
    <row r="11" spans="1:18" ht="12" customHeight="1">
      <c r="A11" s="3">
        <v>106</v>
      </c>
      <c r="B11" s="3" t="s">
        <v>366</v>
      </c>
      <c r="C11" s="3" t="s">
        <v>350</v>
      </c>
      <c r="D11" s="3" t="s">
        <v>351</v>
      </c>
      <c r="E11" s="3" t="s">
        <v>339</v>
      </c>
      <c r="G11" s="3">
        <v>103</v>
      </c>
      <c r="H11" s="20" t="str">
        <f t="shared" si="0"/>
        <v>Clara</v>
      </c>
      <c r="I11" s="20" t="str">
        <f t="shared" si="3"/>
        <v>Palembang</v>
      </c>
      <c r="J11" s="20" t="str">
        <f t="shared" si="1"/>
        <v>Perempuan</v>
      </c>
      <c r="K11" s="20">
        <f t="shared" si="2"/>
        <v>3</v>
      </c>
      <c r="M11" s="8" t="s">
        <v>367</v>
      </c>
      <c r="N11" s="8" t="s">
        <v>368</v>
      </c>
      <c r="O11" s="8" t="s">
        <v>369</v>
      </c>
      <c r="P11" s="8" t="s">
        <v>370</v>
      </c>
    </row>
    <row r="12" spans="1:18" ht="12" customHeight="1">
      <c r="A12" s="3">
        <v>107</v>
      </c>
      <c r="B12" s="3" t="s">
        <v>371</v>
      </c>
      <c r="C12" s="3" t="s">
        <v>350</v>
      </c>
      <c r="D12" s="3" t="s">
        <v>356</v>
      </c>
      <c r="E12" s="3" t="s">
        <v>357</v>
      </c>
      <c r="G12" s="3">
        <v>108</v>
      </c>
      <c r="H12" s="20" t="str">
        <f t="shared" si="0"/>
        <v>Hesti</v>
      </c>
      <c r="I12" s="20" t="str">
        <f t="shared" si="3"/>
        <v>Bandung</v>
      </c>
      <c r="J12" s="20" t="str">
        <f t="shared" si="1"/>
        <v>Perempuan</v>
      </c>
      <c r="K12" s="20">
        <f t="shared" si="2"/>
        <v>8</v>
      </c>
      <c r="M12" s="5"/>
      <c r="N12" s="5"/>
      <c r="O12" s="5"/>
      <c r="P12" s="5"/>
    </row>
    <row r="13" spans="1:18" ht="12" customHeight="1">
      <c r="A13" s="3">
        <v>108</v>
      </c>
      <c r="B13" s="3" t="s">
        <v>372</v>
      </c>
      <c r="C13" s="3" t="s">
        <v>350</v>
      </c>
      <c r="D13" s="3" t="s">
        <v>338</v>
      </c>
      <c r="E13" s="3" t="s">
        <v>339</v>
      </c>
      <c r="G13" s="3">
        <v>109</v>
      </c>
      <c r="H13" s="20" t="str">
        <f t="shared" si="0"/>
        <v>Igna</v>
      </c>
      <c r="I13" s="20" t="str">
        <f t="shared" si="3"/>
        <v>Jakarta</v>
      </c>
      <c r="J13" s="20" t="str">
        <f t="shared" si="1"/>
        <v>Laki-laki</v>
      </c>
      <c r="K13" s="20">
        <f t="shared" si="2"/>
        <v>9</v>
      </c>
    </row>
    <row r="14" spans="1:18" ht="12" customHeight="1">
      <c r="A14" s="3">
        <v>109</v>
      </c>
      <c r="B14" s="3" t="s">
        <v>373</v>
      </c>
      <c r="C14" s="3" t="s">
        <v>337</v>
      </c>
      <c r="D14" s="3" t="s">
        <v>344</v>
      </c>
      <c r="E14" s="3" t="s">
        <v>345</v>
      </c>
      <c r="G14" s="3">
        <v>101</v>
      </c>
      <c r="H14" s="20" t="str">
        <f t="shared" si="0"/>
        <v>Andi</v>
      </c>
      <c r="I14" s="20" t="str">
        <f t="shared" si="3"/>
        <v>Bandung</v>
      </c>
      <c r="J14" s="20" t="str">
        <f t="shared" si="1"/>
        <v>Laki-laki</v>
      </c>
      <c r="K14" s="20">
        <f t="shared" si="2"/>
        <v>1</v>
      </c>
    </row>
    <row r="15" spans="1:18" ht="12" customHeight="1">
      <c r="A15" s="3">
        <v>110</v>
      </c>
      <c r="B15" s="3" t="s">
        <v>374</v>
      </c>
      <c r="C15" s="3" t="s">
        <v>337</v>
      </c>
      <c r="D15" s="3" t="s">
        <v>338</v>
      </c>
      <c r="E15" s="3" t="s">
        <v>339</v>
      </c>
      <c r="G15" s="3">
        <v>112</v>
      </c>
      <c r="H15" s="20" t="str">
        <f t="shared" si="0"/>
        <v>Tidak ada</v>
      </c>
      <c r="I15" s="20" t="str">
        <f t="shared" si="3"/>
        <v>Tidak ada</v>
      </c>
      <c r="J15" s="20" t="str">
        <f t="shared" si="1"/>
        <v>Tidak ada</v>
      </c>
      <c r="K15" s="20" t="str">
        <f t="shared" si="2"/>
        <v>Tidak ada</v>
      </c>
    </row>
    <row r="16" spans="1:18">
      <c r="A16" s="5"/>
      <c r="B16" s="5"/>
      <c r="C16" s="5"/>
      <c r="D16" s="5"/>
      <c r="E16" s="5"/>
      <c r="G16" s="5"/>
      <c r="H16" s="20"/>
      <c r="I16" s="20"/>
      <c r="J16" s="20"/>
      <c r="K16" s="20"/>
    </row>
    <row r="17" spans="1:11">
      <c r="A17" s="5"/>
      <c r="B17" s="5"/>
      <c r="C17" s="5"/>
      <c r="D17" s="5"/>
      <c r="E17" s="5"/>
      <c r="G17" s="5"/>
      <c r="H17" s="20"/>
      <c r="I17" s="20"/>
      <c r="J17" s="20"/>
      <c r="K17" s="20"/>
    </row>
    <row r="18" spans="1:11" ht="12" customHeight="1">
      <c r="A18" s="2" t="s">
        <v>375</v>
      </c>
      <c r="B18" s="2" t="s">
        <v>344</v>
      </c>
      <c r="C18" s="2" t="s">
        <v>338</v>
      </c>
      <c r="D18" s="2" t="s">
        <v>351</v>
      </c>
      <c r="E18" s="2" t="s">
        <v>356</v>
      </c>
      <c r="G18" s="6" t="s">
        <v>376</v>
      </c>
      <c r="H18" s="6" t="s">
        <v>362</v>
      </c>
      <c r="I18" s="6" t="s">
        <v>69</v>
      </c>
      <c r="J18" s="6" t="s">
        <v>70</v>
      </c>
      <c r="K18" s="5"/>
    </row>
    <row r="19" spans="1:11" ht="12" customHeight="1">
      <c r="A19" s="3" t="s">
        <v>332</v>
      </c>
      <c r="B19" s="3" t="s">
        <v>345</v>
      </c>
      <c r="C19" s="3" t="s">
        <v>339</v>
      </c>
      <c r="D19" s="3" t="s">
        <v>339</v>
      </c>
      <c r="E19" s="3" t="s">
        <v>357</v>
      </c>
      <c r="G19" s="3" t="s">
        <v>338</v>
      </c>
      <c r="H19" s="3" t="s">
        <v>377</v>
      </c>
      <c r="I19" s="3"/>
      <c r="J19" s="20" t="str">
        <f>HLOOKUP(G19,$A$18:$E$19,2,FALSE)</f>
        <v>2 Hari</v>
      </c>
      <c r="K19" s="5"/>
    </row>
  </sheetData>
  <mergeCells count="5">
    <mergeCell ref="A1:R1"/>
    <mergeCell ref="A2:R2"/>
    <mergeCell ref="A4:E4"/>
    <mergeCell ref="G4:K4"/>
    <mergeCell ref="M4:P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O23"/>
  <sheetViews>
    <sheetView workbookViewId="0">
      <selection activeCell="H6" sqref="H6"/>
    </sheetView>
  </sheetViews>
  <sheetFormatPr defaultRowHeight="14.4"/>
  <cols>
    <col min="1" max="1" width="13.33203125" bestFit="1" customWidth="1"/>
    <col min="2" max="2" width="15.21875" customWidth="1"/>
    <col min="4" max="4" width="19.77734375" customWidth="1"/>
    <col min="5" max="5" width="19.5546875" customWidth="1"/>
    <col min="6" max="6" width="21.109375" customWidth="1"/>
    <col min="7" max="7" width="29" bestFit="1" customWidth="1"/>
    <col min="8" max="8" width="11.44140625" customWidth="1"/>
    <col min="10" max="10" width="15" bestFit="1" customWidth="1"/>
    <col min="11" max="11" width="23.109375" customWidth="1"/>
    <col min="12" max="12" width="26.21875" customWidth="1"/>
    <col min="13" max="13" width="28.21875" customWidth="1"/>
  </cols>
  <sheetData>
    <row r="1" spans="1:15" ht="12" customHeight="1">
      <c r="A1" s="47" t="s">
        <v>378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12" customHeight="1">
      <c r="A2" s="49" t="s">
        <v>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4" spans="1:15" ht="12" customHeight="1">
      <c r="A4" s="50" t="s">
        <v>57</v>
      </c>
      <c r="B4" s="50"/>
      <c r="D4" s="51" t="s">
        <v>58</v>
      </c>
      <c r="E4" s="51"/>
      <c r="F4" s="51"/>
      <c r="G4" s="51"/>
      <c r="H4" s="51"/>
      <c r="J4" s="52" t="s">
        <v>59</v>
      </c>
      <c r="K4" s="52"/>
      <c r="L4" s="52"/>
      <c r="M4" s="52"/>
    </row>
    <row r="5" spans="1:15" ht="12" customHeight="1">
      <c r="A5" s="2" t="s">
        <v>379</v>
      </c>
      <c r="B5" s="2" t="s">
        <v>285</v>
      </c>
      <c r="D5" s="6" t="s">
        <v>380</v>
      </c>
      <c r="E5" s="6" t="s">
        <v>381</v>
      </c>
      <c r="F5" s="6" t="s">
        <v>382</v>
      </c>
      <c r="G5" s="6" t="s">
        <v>383</v>
      </c>
      <c r="H5" s="6" t="s">
        <v>384</v>
      </c>
      <c r="J5" s="7" t="s">
        <v>68</v>
      </c>
      <c r="K5" s="7" t="s">
        <v>72</v>
      </c>
      <c r="L5" s="7" t="s">
        <v>73</v>
      </c>
      <c r="M5" s="7" t="s">
        <v>5</v>
      </c>
    </row>
    <row r="6" spans="1:15" ht="12" customHeight="1">
      <c r="A6" s="3" t="s">
        <v>294</v>
      </c>
      <c r="B6" s="3">
        <v>57.26</v>
      </c>
      <c r="D6" s="20">
        <f t="shared" ref="D6:D15" si="0">ROUNDDOWN(B6,0)</f>
        <v>57</v>
      </c>
      <c r="E6" s="20">
        <f t="shared" ref="E6:E15" si="1">ROUNDUP(B6,0)</f>
        <v>58</v>
      </c>
      <c r="F6" s="20">
        <f t="shared" ref="F6:F15" si="2">ROUND(B6,0)</f>
        <v>57</v>
      </c>
      <c r="G6" s="20">
        <f t="shared" ref="G6:G15" si="3">RANK(B6,$B$6:$B$15,1)</f>
        <v>1</v>
      </c>
      <c r="H6" s="20">
        <f t="shared" ref="H6:H15" si="4">RANK(B6,$B$6:$B$15,0)</f>
        <v>10</v>
      </c>
      <c r="J6" s="8" t="s">
        <v>385</v>
      </c>
      <c r="K6" s="8" t="s">
        <v>386</v>
      </c>
      <c r="L6" s="8" t="s">
        <v>387</v>
      </c>
      <c r="M6" s="8" t="s">
        <v>388</v>
      </c>
    </row>
    <row r="7" spans="1:15" ht="12" customHeight="1">
      <c r="A7" s="3" t="s">
        <v>389</v>
      </c>
      <c r="B7" s="3">
        <v>84.15</v>
      </c>
      <c r="D7" s="20">
        <f t="shared" si="0"/>
        <v>84</v>
      </c>
      <c r="E7" s="20">
        <f t="shared" si="1"/>
        <v>85</v>
      </c>
      <c r="F7" s="20">
        <f t="shared" si="2"/>
        <v>84</v>
      </c>
      <c r="G7" s="20">
        <f t="shared" si="3"/>
        <v>8</v>
      </c>
      <c r="H7" s="20">
        <f t="shared" si="4"/>
        <v>3</v>
      </c>
      <c r="J7" s="8" t="s">
        <v>390</v>
      </c>
      <c r="K7" s="8" t="s">
        <v>391</v>
      </c>
      <c r="L7" s="8" t="s">
        <v>392</v>
      </c>
      <c r="M7" s="8" t="s">
        <v>393</v>
      </c>
    </row>
    <row r="8" spans="1:15" ht="12" customHeight="1">
      <c r="A8" s="3" t="s">
        <v>308</v>
      </c>
      <c r="B8" s="3">
        <v>75.89</v>
      </c>
      <c r="D8" s="20">
        <f t="shared" si="0"/>
        <v>75</v>
      </c>
      <c r="E8" s="20">
        <f t="shared" si="1"/>
        <v>76</v>
      </c>
      <c r="F8" s="20">
        <f t="shared" si="2"/>
        <v>76</v>
      </c>
      <c r="G8" s="20">
        <f t="shared" si="3"/>
        <v>6</v>
      </c>
      <c r="H8" s="20">
        <f t="shared" si="4"/>
        <v>5</v>
      </c>
      <c r="J8" s="8" t="s">
        <v>394</v>
      </c>
      <c r="K8" s="8" t="s">
        <v>395</v>
      </c>
      <c r="L8" s="8" t="s">
        <v>396</v>
      </c>
      <c r="M8" s="8" t="s">
        <v>397</v>
      </c>
    </row>
    <row r="9" spans="1:15" ht="12" customHeight="1">
      <c r="A9" s="3" t="s">
        <v>315</v>
      </c>
      <c r="B9" s="3">
        <v>91.29</v>
      </c>
      <c r="D9" s="20">
        <f t="shared" si="0"/>
        <v>91</v>
      </c>
      <c r="E9" s="20">
        <f t="shared" si="1"/>
        <v>92</v>
      </c>
      <c r="F9" s="20">
        <f t="shared" si="2"/>
        <v>91</v>
      </c>
      <c r="G9" s="20">
        <f t="shared" si="3"/>
        <v>9</v>
      </c>
      <c r="H9" s="20">
        <f t="shared" si="4"/>
        <v>2</v>
      </c>
      <c r="J9" s="8" t="s">
        <v>398</v>
      </c>
      <c r="K9" s="8" t="s">
        <v>399</v>
      </c>
      <c r="L9" s="8" t="s">
        <v>400</v>
      </c>
      <c r="M9" s="8" t="s">
        <v>401</v>
      </c>
    </row>
    <row r="10" spans="1:15" ht="12" customHeight="1">
      <c r="A10" s="3" t="s">
        <v>322</v>
      </c>
      <c r="B10" s="3">
        <v>64.489999999999995</v>
      </c>
      <c r="D10" s="20">
        <f t="shared" si="0"/>
        <v>64</v>
      </c>
      <c r="E10" s="20">
        <f t="shared" si="1"/>
        <v>65</v>
      </c>
      <c r="F10" s="20">
        <f t="shared" si="2"/>
        <v>64</v>
      </c>
      <c r="G10" s="20">
        <f t="shared" si="3"/>
        <v>4</v>
      </c>
      <c r="H10" s="20">
        <f t="shared" si="4"/>
        <v>7</v>
      </c>
      <c r="J10" s="8" t="s">
        <v>402</v>
      </c>
      <c r="K10" s="8" t="s">
        <v>403</v>
      </c>
      <c r="L10" s="8" t="s">
        <v>404</v>
      </c>
      <c r="M10" s="8" t="s">
        <v>405</v>
      </c>
    </row>
    <row r="11" spans="1:15" ht="12" customHeight="1">
      <c r="A11" s="3" t="s">
        <v>366</v>
      </c>
      <c r="B11" s="3">
        <v>59.55</v>
      </c>
      <c r="D11" s="20">
        <f t="shared" si="0"/>
        <v>59</v>
      </c>
      <c r="E11" s="20">
        <f t="shared" si="1"/>
        <v>60</v>
      </c>
      <c r="F11" s="20">
        <f t="shared" si="2"/>
        <v>60</v>
      </c>
      <c r="G11" s="20">
        <f t="shared" si="3"/>
        <v>2</v>
      </c>
      <c r="H11" s="20">
        <f t="shared" si="4"/>
        <v>9</v>
      </c>
      <c r="J11" s="8" t="s">
        <v>406</v>
      </c>
      <c r="K11" s="8" t="s">
        <v>407</v>
      </c>
      <c r="L11" s="8" t="s">
        <v>408</v>
      </c>
      <c r="M11" s="8" t="s">
        <v>409</v>
      </c>
    </row>
    <row r="12" spans="1:15" ht="12" customHeight="1">
      <c r="A12" s="3" t="s">
        <v>410</v>
      </c>
      <c r="B12" s="3">
        <v>67.42</v>
      </c>
      <c r="D12" s="20">
        <f t="shared" si="0"/>
        <v>67</v>
      </c>
      <c r="E12" s="20">
        <f t="shared" si="1"/>
        <v>68</v>
      </c>
      <c r="F12" s="20">
        <f t="shared" si="2"/>
        <v>67</v>
      </c>
      <c r="G12" s="20">
        <f t="shared" si="3"/>
        <v>5</v>
      </c>
      <c r="H12" s="20">
        <f t="shared" si="4"/>
        <v>6</v>
      </c>
    </row>
    <row r="13" spans="1:15" ht="12" customHeight="1">
      <c r="A13" s="3" t="s">
        <v>372</v>
      </c>
      <c r="B13" s="3">
        <v>98.05</v>
      </c>
      <c r="D13" s="20">
        <f t="shared" si="0"/>
        <v>98</v>
      </c>
      <c r="E13" s="20">
        <f t="shared" si="1"/>
        <v>99</v>
      </c>
      <c r="F13" s="20">
        <f t="shared" si="2"/>
        <v>98</v>
      </c>
      <c r="G13" s="20">
        <f t="shared" si="3"/>
        <v>10</v>
      </c>
      <c r="H13" s="20">
        <f t="shared" si="4"/>
        <v>1</v>
      </c>
    </row>
    <row r="14" spans="1:15" ht="12" customHeight="1">
      <c r="A14" s="3" t="s">
        <v>411</v>
      </c>
      <c r="B14" s="3">
        <v>63.45</v>
      </c>
      <c r="D14" s="20">
        <f t="shared" si="0"/>
        <v>63</v>
      </c>
      <c r="E14" s="20">
        <f t="shared" si="1"/>
        <v>64</v>
      </c>
      <c r="F14" s="20">
        <f t="shared" si="2"/>
        <v>63</v>
      </c>
      <c r="G14" s="20">
        <f t="shared" si="3"/>
        <v>3</v>
      </c>
      <c r="H14" s="20">
        <f t="shared" si="4"/>
        <v>8</v>
      </c>
    </row>
    <row r="15" spans="1:15" ht="12" customHeight="1">
      <c r="A15" s="3" t="s">
        <v>374</v>
      </c>
      <c r="B15" s="3">
        <v>79.13</v>
      </c>
      <c r="D15" s="20">
        <f t="shared" si="0"/>
        <v>79</v>
      </c>
      <c r="E15" s="20">
        <f t="shared" si="1"/>
        <v>80</v>
      </c>
      <c r="F15" s="20">
        <f t="shared" si="2"/>
        <v>79</v>
      </c>
      <c r="G15" s="20">
        <f t="shared" si="3"/>
        <v>7</v>
      </c>
      <c r="H15" s="20">
        <f t="shared" si="4"/>
        <v>4</v>
      </c>
    </row>
    <row r="16" spans="1:15">
      <c r="A16" s="5"/>
      <c r="B16" s="5"/>
    </row>
    <row r="17" spans="1:7">
      <c r="A17" s="5"/>
      <c r="B17" s="5"/>
    </row>
    <row r="18" spans="1:7" ht="12" customHeight="1">
      <c r="A18" s="2" t="s">
        <v>412</v>
      </c>
      <c r="B18" s="2" t="s">
        <v>413</v>
      </c>
      <c r="D18" s="6" t="s">
        <v>414</v>
      </c>
      <c r="E18" s="6" t="s">
        <v>415</v>
      </c>
      <c r="F18" s="6" t="s">
        <v>416</v>
      </c>
      <c r="G18" s="6" t="s">
        <v>5</v>
      </c>
    </row>
    <row r="19" spans="1:7" ht="12" customHeight="1">
      <c r="A19" s="3" t="s">
        <v>417</v>
      </c>
      <c r="B19" s="3">
        <v>1150</v>
      </c>
      <c r="D19" s="20">
        <f>FLOOR(B19,100)</f>
        <v>1100</v>
      </c>
      <c r="E19" s="20">
        <f>CEILING(B19,100)</f>
        <v>1200</v>
      </c>
      <c r="F19" s="20">
        <f>MROUND(B19,100)</f>
        <v>1200</v>
      </c>
      <c r="G19" s="5" t="s">
        <v>660</v>
      </c>
    </row>
    <row r="20" spans="1:7" ht="12" customHeight="1">
      <c r="A20" s="3" t="s">
        <v>418</v>
      </c>
      <c r="B20" s="3">
        <v>560</v>
      </c>
      <c r="D20" s="20">
        <f>FLOOR(B20,100)</f>
        <v>500</v>
      </c>
      <c r="E20" s="20">
        <f>CEILING(B20,100)</f>
        <v>600</v>
      </c>
      <c r="F20" s="20">
        <f>MROUND(B20,100)</f>
        <v>600</v>
      </c>
      <c r="G20" s="5" t="s">
        <v>661</v>
      </c>
    </row>
    <row r="21" spans="1:7" ht="12" customHeight="1">
      <c r="A21" s="3" t="s">
        <v>419</v>
      </c>
      <c r="B21" s="3">
        <v>86</v>
      </c>
      <c r="D21" s="20">
        <f>FLOOR(B21,100)</f>
        <v>0</v>
      </c>
      <c r="E21" s="20">
        <f>CEILING(B21,100)</f>
        <v>100</v>
      </c>
      <c r="F21" s="20">
        <f>MROUND(B21,100)</f>
        <v>100</v>
      </c>
      <c r="G21" s="5" t="s">
        <v>662</v>
      </c>
    </row>
    <row r="22" spans="1:7" ht="12" customHeight="1">
      <c r="A22" s="3" t="s">
        <v>420</v>
      </c>
      <c r="B22" s="3">
        <v>125</v>
      </c>
      <c r="D22" s="20">
        <f>FLOOR(B22,100)</f>
        <v>100</v>
      </c>
      <c r="E22" s="20">
        <f>CEILING(B22,100)</f>
        <v>200</v>
      </c>
      <c r="F22" s="20">
        <f>MROUND(B22,100)</f>
        <v>100</v>
      </c>
      <c r="G22" s="3"/>
    </row>
    <row r="23" spans="1:7" ht="12" customHeight="1">
      <c r="A23" s="3" t="s">
        <v>421</v>
      </c>
      <c r="B23" s="3">
        <v>968</v>
      </c>
      <c r="D23" s="20">
        <f>FLOOR(B23,100)</f>
        <v>900</v>
      </c>
      <c r="E23" s="20">
        <f>CEILING(B23,100)</f>
        <v>1000</v>
      </c>
      <c r="F23" s="20">
        <f>MROUND(B23,100)</f>
        <v>1000</v>
      </c>
      <c r="G23" s="3"/>
    </row>
  </sheetData>
  <mergeCells count="5">
    <mergeCell ref="A1:O1"/>
    <mergeCell ref="A2:O2"/>
    <mergeCell ref="A4:B4"/>
    <mergeCell ref="D4:H4"/>
    <mergeCell ref="J4:M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V15"/>
  <sheetViews>
    <sheetView workbookViewId="0">
      <selection activeCell="F17" sqref="F17"/>
    </sheetView>
  </sheetViews>
  <sheetFormatPr defaultRowHeight="14.4"/>
  <cols>
    <col min="1" max="1" width="12.33203125" bestFit="1" customWidth="1"/>
    <col min="2" max="2" width="12.21875" customWidth="1"/>
    <col min="3" max="3" width="13.77734375" customWidth="1"/>
    <col min="4" max="4" width="13.21875" customWidth="1"/>
    <col min="5" max="5" width="13.33203125" customWidth="1"/>
    <col min="6" max="7" width="12.33203125" customWidth="1"/>
    <col min="8" max="8" width="20.77734375" customWidth="1"/>
    <col min="9" max="9" width="6.77734375" bestFit="1" customWidth="1"/>
    <col min="10" max="10" width="14.109375" customWidth="1"/>
    <col min="11" max="11" width="15.6640625" bestFit="1" customWidth="1"/>
    <col min="12" max="12" width="11.44140625" customWidth="1"/>
    <col min="13" max="13" width="10.6640625" bestFit="1" customWidth="1"/>
    <col min="14" max="14" width="10.5546875" bestFit="1" customWidth="1"/>
    <col min="15" max="15" width="15.21875" customWidth="1"/>
    <col min="16" max="16" width="10.5546875" customWidth="1"/>
    <col min="17" max="17" width="20.88671875" customWidth="1"/>
    <col min="18" max="18" width="26.6640625" customWidth="1"/>
    <col min="19" max="19" width="28.21875" customWidth="1"/>
    <col min="20" max="20" width="29" customWidth="1"/>
  </cols>
  <sheetData>
    <row r="1" spans="1:22" ht="12" customHeight="1">
      <c r="A1" s="47" t="s">
        <v>422</v>
      </c>
      <c r="B1" s="47"/>
      <c r="C1" s="47"/>
      <c r="D1" s="47"/>
      <c r="E1" s="47"/>
      <c r="F1" s="47"/>
      <c r="G1" s="53"/>
      <c r="H1" s="47"/>
      <c r="I1" s="47"/>
      <c r="J1" s="47"/>
      <c r="K1" s="47"/>
      <c r="L1" s="47"/>
      <c r="M1" s="47"/>
      <c r="N1" s="47"/>
      <c r="O1" s="53"/>
      <c r="P1" s="53"/>
      <c r="Q1" s="47"/>
      <c r="R1" s="47"/>
      <c r="S1" s="47"/>
      <c r="T1" s="47"/>
      <c r="U1" s="47"/>
      <c r="V1" s="47"/>
    </row>
    <row r="2" spans="1:22" ht="12" customHeight="1">
      <c r="A2" s="49" t="s">
        <v>56</v>
      </c>
      <c r="B2" s="49"/>
      <c r="C2" s="49"/>
      <c r="D2" s="49"/>
      <c r="E2" s="49"/>
      <c r="F2" s="49"/>
      <c r="G2" s="54"/>
      <c r="H2" s="49"/>
      <c r="I2" s="49"/>
      <c r="J2" s="49"/>
      <c r="K2" s="49"/>
      <c r="L2" s="49"/>
      <c r="M2" s="49"/>
      <c r="N2" s="49"/>
      <c r="O2" s="54"/>
      <c r="P2" s="54"/>
      <c r="Q2" s="49"/>
      <c r="R2" s="49"/>
      <c r="S2" s="49"/>
      <c r="T2" s="49"/>
      <c r="U2" s="49"/>
      <c r="V2" s="49"/>
    </row>
    <row r="4" spans="1:22" ht="12" customHeight="1">
      <c r="A4" s="50" t="s">
        <v>57</v>
      </c>
      <c r="B4" s="50"/>
      <c r="C4" s="50"/>
      <c r="D4" s="50"/>
      <c r="E4" s="50"/>
      <c r="F4" s="50"/>
      <c r="G4" s="28"/>
      <c r="H4" s="56" t="s">
        <v>58</v>
      </c>
      <c r="I4" s="57"/>
      <c r="J4" s="57"/>
      <c r="K4" s="57"/>
      <c r="L4" s="57"/>
      <c r="M4" s="57"/>
      <c r="N4" s="57"/>
      <c r="O4" s="23"/>
      <c r="P4" s="12"/>
      <c r="Q4" s="52" t="s">
        <v>59</v>
      </c>
      <c r="R4" s="52"/>
      <c r="S4" s="52"/>
      <c r="T4" s="52"/>
    </row>
    <row r="5" spans="1:22" ht="12" customHeight="1">
      <c r="A5" s="2" t="s">
        <v>60</v>
      </c>
      <c r="B5" s="2" t="s">
        <v>423</v>
      </c>
      <c r="C5" s="2" t="s">
        <v>424</v>
      </c>
      <c r="D5" s="2" t="s">
        <v>425</v>
      </c>
      <c r="E5" s="2" t="s">
        <v>426</v>
      </c>
      <c r="F5" s="2" t="s">
        <v>427</v>
      </c>
      <c r="G5" s="29"/>
      <c r="H5" s="22" t="s">
        <v>663</v>
      </c>
      <c r="I5" s="6" t="s">
        <v>428</v>
      </c>
      <c r="J5" s="6" t="s">
        <v>429</v>
      </c>
      <c r="K5" s="6" t="s">
        <v>430</v>
      </c>
      <c r="L5" s="6" t="s">
        <v>431</v>
      </c>
      <c r="M5" s="6" t="s">
        <v>432</v>
      </c>
      <c r="N5" s="6" t="s">
        <v>433</v>
      </c>
      <c r="O5" s="24" t="s">
        <v>664</v>
      </c>
      <c r="Q5" s="7" t="s">
        <v>68</v>
      </c>
      <c r="R5" s="7" t="s">
        <v>72</v>
      </c>
      <c r="S5" s="7" t="s">
        <v>73</v>
      </c>
      <c r="T5" s="7" t="s">
        <v>5</v>
      </c>
    </row>
    <row r="6" spans="1:22" ht="12" customHeight="1">
      <c r="A6" s="3" t="s">
        <v>434</v>
      </c>
      <c r="B6" s="14">
        <v>33075</v>
      </c>
      <c r="C6" s="14">
        <v>46032</v>
      </c>
      <c r="D6" s="14">
        <v>46143</v>
      </c>
      <c r="E6" s="14">
        <v>46151</v>
      </c>
      <c r="F6" s="3">
        <v>5</v>
      </c>
      <c r="G6" s="30"/>
      <c r="H6" s="20" t="str">
        <f ca="1">DATEDIF(B6,TODAY(),"Y")&amp;" Tahun "&amp;DATEDIF(B6,TODAY(),"YM")&amp;" Bulan "&amp;DATEDIF(B6,TODAY(),"MD")&amp;" Hari"</f>
        <v>36 Tahun 0 Bulan 22 Hari</v>
      </c>
      <c r="I6" s="20">
        <f ca="1">DATEDIF(B6,TODAY(),"Y")</f>
        <v>36</v>
      </c>
      <c r="J6" s="20">
        <f>YEAR(B6)</f>
        <v>1990</v>
      </c>
      <c r="K6" s="20">
        <f>MONTH(B6)</f>
        <v>7</v>
      </c>
      <c r="L6" s="20">
        <f>DAY(B6)</f>
        <v>21</v>
      </c>
      <c r="M6" s="34">
        <f>EOMONTH(C6,0)</f>
        <v>46053</v>
      </c>
      <c r="N6" s="34">
        <f>WORKDAY(D6,F6)</f>
        <v>46150</v>
      </c>
      <c r="O6" s="20">
        <f>NETWORKDAYS(D6,E6)</f>
        <v>6</v>
      </c>
      <c r="P6" s="1"/>
      <c r="Q6" s="8" t="s">
        <v>435</v>
      </c>
      <c r="R6" s="8" t="s">
        <v>436</v>
      </c>
      <c r="S6" s="8" t="s">
        <v>437</v>
      </c>
      <c r="T6" s="8" t="s">
        <v>438</v>
      </c>
    </row>
    <row r="7" spans="1:22" ht="12" customHeight="1">
      <c r="A7" s="3" t="s">
        <v>439</v>
      </c>
      <c r="B7" s="14">
        <v>37059</v>
      </c>
      <c r="C7" s="14">
        <v>46056</v>
      </c>
      <c r="D7" s="14">
        <v>46147</v>
      </c>
      <c r="E7" s="14">
        <v>46156</v>
      </c>
      <c r="F7" s="3">
        <v>7</v>
      </c>
      <c r="G7" s="30"/>
      <c r="H7" s="20" t="str">
        <f t="shared" ref="H7:H10" ca="1" si="0">DATEDIF(B7,TODAY(),"Y")&amp;" Tahun "&amp;DATEDIF(B7,TODAY(),"YM")&amp;" Bulan "&amp;DATEDIF(B7,TODAY(),"MD")&amp;" Hari"</f>
        <v>25 Tahun 1 Bulan 26 Hari</v>
      </c>
      <c r="I7" s="20">
        <f t="shared" ref="I7:I10" ca="1" si="1">DATEDIF(B7,TODAY(),"Y")</f>
        <v>25</v>
      </c>
      <c r="J7" s="20">
        <f>YEAR(B7)</f>
        <v>2001</v>
      </c>
      <c r="K7" s="20">
        <f>MONTH(B7)</f>
        <v>6</v>
      </c>
      <c r="L7" s="20">
        <f>DAY(B7)</f>
        <v>17</v>
      </c>
      <c r="M7" s="34">
        <f>EOMONTH(C7,0)</f>
        <v>46081</v>
      </c>
      <c r="N7" s="34">
        <f>WORKDAY(D7,F7)</f>
        <v>46156</v>
      </c>
      <c r="O7" s="20">
        <f t="shared" ref="O7:O10" si="2">NETWORKDAYS(D7,E7)</f>
        <v>8</v>
      </c>
      <c r="P7" s="1"/>
      <c r="Q7" s="8" t="s">
        <v>440</v>
      </c>
      <c r="R7" s="8" t="s">
        <v>441</v>
      </c>
      <c r="S7" s="8" t="s">
        <v>442</v>
      </c>
      <c r="T7" s="8" t="s">
        <v>443</v>
      </c>
    </row>
    <row r="8" spans="1:22" ht="12" customHeight="1">
      <c r="A8" s="3" t="s">
        <v>444</v>
      </c>
      <c r="B8" s="14">
        <v>37131</v>
      </c>
      <c r="C8" s="14">
        <v>46068</v>
      </c>
      <c r="D8" s="14">
        <v>46150</v>
      </c>
      <c r="E8" s="14">
        <v>46162</v>
      </c>
      <c r="F8" s="3">
        <v>10</v>
      </c>
      <c r="G8" s="30"/>
      <c r="H8" s="20" t="str">
        <f t="shared" ca="1" si="0"/>
        <v>24 Tahun 11 Bulan 15 Hari</v>
      </c>
      <c r="I8" s="20">
        <f t="shared" ca="1" si="1"/>
        <v>24</v>
      </c>
      <c r="J8" s="20">
        <f>YEAR(B8)</f>
        <v>2001</v>
      </c>
      <c r="K8" s="20">
        <f>MONTH(B8)</f>
        <v>8</v>
      </c>
      <c r="L8" s="20">
        <f>DAY(B8)</f>
        <v>28</v>
      </c>
      <c r="M8" s="34">
        <f>EOMONTH(C8,0)</f>
        <v>46081</v>
      </c>
      <c r="N8" s="34">
        <f>WORKDAY(D8,F8)</f>
        <v>46164</v>
      </c>
      <c r="O8" s="20">
        <f t="shared" si="2"/>
        <v>9</v>
      </c>
      <c r="P8" s="1"/>
      <c r="Q8" s="8" t="s">
        <v>445</v>
      </c>
      <c r="R8" s="8" t="s">
        <v>446</v>
      </c>
      <c r="S8" s="8" t="s">
        <v>447</v>
      </c>
      <c r="T8" s="8" t="s">
        <v>448</v>
      </c>
    </row>
    <row r="9" spans="1:22" ht="12" customHeight="1">
      <c r="A9" s="3" t="s">
        <v>449</v>
      </c>
      <c r="B9" s="14">
        <v>36862</v>
      </c>
      <c r="C9" s="14">
        <v>46082</v>
      </c>
      <c r="D9" s="14">
        <v>46154</v>
      </c>
      <c r="E9" s="14">
        <v>46163</v>
      </c>
      <c r="F9" s="3">
        <v>3</v>
      </c>
      <c r="G9" s="30"/>
      <c r="H9" s="20" t="str">
        <f t="shared" ca="1" si="0"/>
        <v>25 Tahun 8 Bulan 10 Hari</v>
      </c>
      <c r="I9" s="20">
        <f t="shared" ca="1" si="1"/>
        <v>25</v>
      </c>
      <c r="J9" s="20">
        <f>YEAR(B9)</f>
        <v>2000</v>
      </c>
      <c r="K9" s="20">
        <f>MONTH(B9)</f>
        <v>12</v>
      </c>
      <c r="L9" s="20">
        <f>DAY(B9)</f>
        <v>2</v>
      </c>
      <c r="M9" s="34">
        <f>EOMONTH(C9,0)</f>
        <v>46112</v>
      </c>
      <c r="N9" s="34">
        <f>WORKDAY(D9,F9)</f>
        <v>46157</v>
      </c>
      <c r="O9" s="20">
        <f t="shared" si="2"/>
        <v>8</v>
      </c>
      <c r="P9" s="1"/>
      <c r="Q9" s="8" t="s">
        <v>450</v>
      </c>
      <c r="R9" s="8" t="s">
        <v>451</v>
      </c>
      <c r="S9" s="8" t="s">
        <v>452</v>
      </c>
      <c r="T9" s="8" t="s">
        <v>453</v>
      </c>
    </row>
    <row r="10" spans="1:22" ht="12" customHeight="1">
      <c r="A10" s="3" t="s">
        <v>454</v>
      </c>
      <c r="B10" s="14">
        <v>36608</v>
      </c>
      <c r="C10" s="14">
        <v>46119</v>
      </c>
      <c r="D10" s="14">
        <v>46157</v>
      </c>
      <c r="E10" s="14">
        <v>46172</v>
      </c>
      <c r="F10" s="3">
        <v>6</v>
      </c>
      <c r="G10" s="30"/>
      <c r="H10" s="20" t="str">
        <f t="shared" ca="1" si="0"/>
        <v>26 Tahun 4 Bulan 20 Hari</v>
      </c>
      <c r="I10" s="20">
        <f t="shared" ca="1" si="1"/>
        <v>26</v>
      </c>
      <c r="J10" s="20">
        <f>YEAR(B10)</f>
        <v>2000</v>
      </c>
      <c r="K10" s="20">
        <f>MONTH(B10)</f>
        <v>3</v>
      </c>
      <c r="L10" s="20">
        <f>DAY(B10)</f>
        <v>23</v>
      </c>
      <c r="M10" s="34">
        <f>EOMONTH(C10,0)</f>
        <v>46142</v>
      </c>
      <c r="N10" s="34">
        <f>WORKDAY(D10,F10)</f>
        <v>46167</v>
      </c>
      <c r="O10" s="20">
        <f t="shared" si="2"/>
        <v>11</v>
      </c>
      <c r="P10" s="1"/>
      <c r="Q10" s="8" t="s">
        <v>455</v>
      </c>
      <c r="R10" s="8" t="s">
        <v>456</v>
      </c>
      <c r="S10" s="8" t="s">
        <v>457</v>
      </c>
      <c r="T10" s="8" t="s">
        <v>458</v>
      </c>
    </row>
    <row r="11" spans="1:22" ht="12" customHeight="1">
      <c r="H11" s="20"/>
      <c r="I11" s="20"/>
      <c r="J11" s="20"/>
      <c r="K11" s="20"/>
      <c r="L11" s="20"/>
      <c r="M11" s="20"/>
      <c r="N11" s="20"/>
      <c r="O11" s="20"/>
      <c r="P11" s="12"/>
      <c r="Q11" s="8" t="s">
        <v>459</v>
      </c>
      <c r="R11" s="8" t="s">
        <v>460</v>
      </c>
      <c r="S11" s="8" t="s">
        <v>461</v>
      </c>
      <c r="T11" s="8" t="s">
        <v>462</v>
      </c>
    </row>
    <row r="12" spans="1:22">
      <c r="H12" s="20"/>
      <c r="I12" s="20"/>
      <c r="J12" s="20"/>
      <c r="K12" s="20"/>
      <c r="L12" s="20"/>
      <c r="M12" s="20"/>
      <c r="N12" s="20"/>
      <c r="O12" s="20"/>
      <c r="P12" s="12"/>
    </row>
    <row r="13" spans="1:22" ht="12" customHeight="1">
      <c r="H13" s="20"/>
      <c r="I13" s="6" t="s">
        <v>68</v>
      </c>
      <c r="J13" s="6" t="s">
        <v>69</v>
      </c>
      <c r="K13" s="6" t="s">
        <v>70</v>
      </c>
      <c r="L13" s="6" t="s">
        <v>71</v>
      </c>
      <c r="M13" s="5"/>
      <c r="N13" s="5"/>
      <c r="O13" s="5"/>
      <c r="P13" s="12"/>
    </row>
    <row r="14" spans="1:22" ht="12" customHeight="1">
      <c r="H14" s="20"/>
      <c r="I14" s="3" t="s">
        <v>463</v>
      </c>
      <c r="J14" s="3" t="s">
        <v>464</v>
      </c>
      <c r="K14" s="34">
        <f ca="1">TODAY()</f>
        <v>46246</v>
      </c>
      <c r="L14" s="3" t="s">
        <v>465</v>
      </c>
      <c r="M14" s="5"/>
      <c r="N14" s="5"/>
      <c r="O14" s="5"/>
      <c r="P14" s="12"/>
    </row>
    <row r="15" spans="1:22" ht="12" customHeight="1">
      <c r="H15" s="20"/>
      <c r="I15" s="3" t="s">
        <v>466</v>
      </c>
      <c r="J15" s="3" t="s">
        <v>467</v>
      </c>
      <c r="K15" s="35">
        <f ca="1">NOW()</f>
        <v>46246.46941041667</v>
      </c>
      <c r="L15" s="3" t="s">
        <v>468</v>
      </c>
      <c r="M15" s="5"/>
      <c r="N15" s="5"/>
      <c r="O15" s="5"/>
      <c r="P15" s="12"/>
    </row>
  </sheetData>
  <mergeCells count="5">
    <mergeCell ref="A1:V1"/>
    <mergeCell ref="A2:V2"/>
    <mergeCell ref="A4:F4"/>
    <mergeCell ref="Q4:T4"/>
    <mergeCell ref="H4:N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Q67"/>
  <sheetViews>
    <sheetView workbookViewId="0">
      <selection activeCell="G42" sqref="G42"/>
    </sheetView>
  </sheetViews>
  <sheetFormatPr defaultRowHeight="14.4"/>
  <cols>
    <col min="1" max="1" width="6" bestFit="1" customWidth="1"/>
    <col min="2" max="2" width="7.21875" bestFit="1" customWidth="1"/>
    <col min="3" max="3" width="8.44140625" bestFit="1" customWidth="1"/>
    <col min="4" max="4" width="8" customWidth="1"/>
    <col min="6" max="6" width="39" customWidth="1"/>
    <col min="7" max="7" width="27.77734375" customWidth="1"/>
    <col min="8" max="8" width="15.5546875" customWidth="1"/>
    <col min="9" max="9" width="15.44140625" customWidth="1"/>
    <col min="10" max="10" width="14" customWidth="1"/>
    <col min="11" max="11" width="12.77734375" customWidth="1"/>
    <col min="12" max="12" width="17.109375" customWidth="1"/>
    <col min="13" max="13" width="22.44140625" customWidth="1"/>
    <col min="14" max="14" width="26.44140625" customWidth="1"/>
    <col min="15" max="15" width="27" customWidth="1"/>
  </cols>
  <sheetData>
    <row r="1" spans="1:17" ht="12" customHeight="1">
      <c r="A1" s="47" t="s">
        <v>469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12" customHeight="1">
      <c r="A2" s="49" t="s">
        <v>470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4" spans="1:17" ht="12" customHeight="1">
      <c r="A4" s="50" t="s">
        <v>57</v>
      </c>
      <c r="B4" s="50"/>
      <c r="C4" s="50"/>
      <c r="D4" s="50"/>
      <c r="F4" s="51" t="s">
        <v>58</v>
      </c>
      <c r="G4" s="51"/>
      <c r="H4" s="51"/>
      <c r="I4" s="51"/>
      <c r="J4" s="51"/>
      <c r="L4" s="52" t="s">
        <v>59</v>
      </c>
      <c r="M4" s="52"/>
      <c r="N4" s="52"/>
      <c r="O4" s="52"/>
    </row>
    <row r="5" spans="1:17" ht="12" customHeight="1">
      <c r="A5" s="2" t="s">
        <v>60</v>
      </c>
      <c r="B5" s="2" t="s">
        <v>62</v>
      </c>
      <c r="C5" s="2" t="s">
        <v>375</v>
      </c>
      <c r="D5" s="2" t="s">
        <v>471</v>
      </c>
      <c r="F5" s="6" t="s">
        <v>472</v>
      </c>
      <c r="G5" s="6" t="s">
        <v>69</v>
      </c>
      <c r="H5" s="6" t="s">
        <v>473</v>
      </c>
      <c r="I5" s="3"/>
      <c r="J5" s="5"/>
      <c r="L5" s="7" t="s">
        <v>68</v>
      </c>
      <c r="M5" s="7" t="s">
        <v>72</v>
      </c>
      <c r="N5" s="7" t="s">
        <v>73</v>
      </c>
      <c r="O5" s="7" t="s">
        <v>5</v>
      </c>
    </row>
    <row r="6" spans="1:17" ht="12" customHeight="1">
      <c r="A6" s="3" t="s">
        <v>294</v>
      </c>
      <c r="B6" s="3" t="s">
        <v>76</v>
      </c>
      <c r="C6" s="3" t="s">
        <v>344</v>
      </c>
      <c r="D6" s="3">
        <v>12</v>
      </c>
      <c r="F6" s="3" t="s">
        <v>474</v>
      </c>
      <c r="G6" s="3" t="s">
        <v>475</v>
      </c>
      <c r="H6" s="20" t="str" cm="1">
        <f t="array" ref="H6:H8">_xlfn.UNIQUE(B6:B13)</f>
        <v>HR</v>
      </c>
      <c r="I6" s="3"/>
      <c r="J6" s="5"/>
      <c r="L6" s="8" t="s">
        <v>476</v>
      </c>
      <c r="M6" s="8" t="s">
        <v>477</v>
      </c>
      <c r="N6" s="8" t="s">
        <v>478</v>
      </c>
      <c r="O6" s="8" t="s">
        <v>479</v>
      </c>
    </row>
    <row r="7" spans="1:17" ht="12" customHeight="1">
      <c r="A7" s="3" t="s">
        <v>301</v>
      </c>
      <c r="B7" s="3" t="s">
        <v>93</v>
      </c>
      <c r="C7" s="3" t="s">
        <v>338</v>
      </c>
      <c r="D7" s="3">
        <v>18</v>
      </c>
      <c r="F7" s="3"/>
      <c r="G7" s="3"/>
      <c r="H7" s="20" t="str">
        <v>Sales</v>
      </c>
      <c r="I7" s="3"/>
      <c r="J7" s="5"/>
      <c r="L7" s="8" t="s">
        <v>480</v>
      </c>
      <c r="M7" s="8" t="s">
        <v>481</v>
      </c>
      <c r="N7" s="8" t="s">
        <v>482</v>
      </c>
      <c r="O7" s="8" t="s">
        <v>483</v>
      </c>
    </row>
    <row r="8" spans="1:17" ht="12" customHeight="1">
      <c r="A8" s="3" t="s">
        <v>308</v>
      </c>
      <c r="B8" s="3" t="s">
        <v>76</v>
      </c>
      <c r="C8" s="3" t="s">
        <v>338</v>
      </c>
      <c r="D8" s="3">
        <v>15</v>
      </c>
      <c r="F8" s="3"/>
      <c r="G8" s="3"/>
      <c r="H8" s="20" t="str">
        <v>Finance</v>
      </c>
      <c r="I8" s="3"/>
      <c r="J8" s="5"/>
      <c r="L8" s="8" t="s">
        <v>484</v>
      </c>
      <c r="M8" s="8" t="s">
        <v>485</v>
      </c>
      <c r="N8" s="8" t="s">
        <v>486</v>
      </c>
      <c r="O8" s="8" t="s">
        <v>487</v>
      </c>
    </row>
    <row r="9" spans="1:17" ht="12" customHeight="1">
      <c r="A9" s="3" t="s">
        <v>315</v>
      </c>
      <c r="B9" s="3" t="s">
        <v>84</v>
      </c>
      <c r="C9" s="3" t="s">
        <v>344</v>
      </c>
      <c r="D9" s="3">
        <v>22</v>
      </c>
      <c r="F9" s="3"/>
      <c r="G9" s="3"/>
      <c r="H9" s="19"/>
      <c r="I9" s="3"/>
      <c r="J9" s="5"/>
      <c r="L9" s="8" t="s">
        <v>488</v>
      </c>
      <c r="M9" s="8" t="s">
        <v>489</v>
      </c>
      <c r="N9" s="8" t="s">
        <v>490</v>
      </c>
      <c r="O9" s="8" t="s">
        <v>491</v>
      </c>
    </row>
    <row r="10" spans="1:17" ht="12" customHeight="1">
      <c r="A10" s="3" t="s">
        <v>322</v>
      </c>
      <c r="B10" s="3" t="s">
        <v>93</v>
      </c>
      <c r="C10" s="3" t="s">
        <v>356</v>
      </c>
      <c r="D10" s="3">
        <v>17</v>
      </c>
      <c r="F10" s="3"/>
      <c r="G10" s="3"/>
      <c r="H10" s="19"/>
      <c r="I10" s="3"/>
      <c r="J10" s="5"/>
      <c r="L10" s="8" t="s">
        <v>492</v>
      </c>
      <c r="M10" s="8" t="s">
        <v>493</v>
      </c>
      <c r="N10" s="8" t="s">
        <v>494</v>
      </c>
      <c r="O10" s="8" t="s">
        <v>495</v>
      </c>
    </row>
    <row r="11" spans="1:17" ht="12" customHeight="1">
      <c r="A11" s="3" t="s">
        <v>366</v>
      </c>
      <c r="B11" s="3" t="s">
        <v>76</v>
      </c>
      <c r="C11" s="3" t="s">
        <v>338</v>
      </c>
      <c r="D11" s="3">
        <v>20</v>
      </c>
      <c r="F11" s="6" t="s">
        <v>496</v>
      </c>
      <c r="G11" s="6" t="s">
        <v>69</v>
      </c>
      <c r="H11" s="21" t="s">
        <v>473</v>
      </c>
      <c r="I11" s="6" t="s">
        <v>5</v>
      </c>
      <c r="J11" s="5"/>
    </row>
    <row r="12" spans="1:17" ht="12" customHeight="1">
      <c r="A12" s="3" t="s">
        <v>371</v>
      </c>
      <c r="B12" s="3" t="s">
        <v>84</v>
      </c>
      <c r="C12" s="3" t="s">
        <v>344</v>
      </c>
      <c r="D12" s="3">
        <v>25</v>
      </c>
      <c r="F12" s="3" t="s">
        <v>497</v>
      </c>
      <c r="G12" s="3" t="s">
        <v>498</v>
      </c>
      <c r="H12" s="20" t="str" cm="1">
        <f t="array" ref="H12:H14">_xlfn._xlws.FILTER(A6:A13,B6:B13="HR")</f>
        <v>Andi</v>
      </c>
      <c r="I12" s="3" t="s">
        <v>499</v>
      </c>
      <c r="J12" s="5"/>
    </row>
    <row r="13" spans="1:17" ht="12" customHeight="1">
      <c r="A13" s="3" t="s">
        <v>372</v>
      </c>
      <c r="B13" s="3" t="s">
        <v>93</v>
      </c>
      <c r="C13" s="3" t="s">
        <v>338</v>
      </c>
      <c r="D13" s="3">
        <v>16</v>
      </c>
      <c r="F13" s="3"/>
      <c r="G13" s="3"/>
      <c r="H13" s="19" t="str">
        <v>Clara</v>
      </c>
      <c r="I13" s="3"/>
      <c r="J13" s="5"/>
    </row>
    <row r="14" spans="1:17" ht="12" customHeight="1">
      <c r="F14" s="3"/>
      <c r="G14" s="3"/>
      <c r="H14" s="19" t="str">
        <v>Fiona</v>
      </c>
      <c r="I14" s="3"/>
      <c r="J14" s="5"/>
    </row>
    <row r="15" spans="1:17" ht="12" customHeight="1">
      <c r="F15" s="3"/>
      <c r="G15" s="3"/>
      <c r="H15" s="19"/>
      <c r="I15" s="3"/>
      <c r="J15" s="5"/>
    </row>
    <row r="16" spans="1:17" ht="12" customHeight="1">
      <c r="F16" s="3"/>
      <c r="G16" s="3"/>
      <c r="H16" s="19"/>
      <c r="I16" s="3"/>
      <c r="J16" s="5"/>
    </row>
    <row r="17" spans="6:10" ht="12" customHeight="1">
      <c r="F17" s="3"/>
      <c r="G17" s="3"/>
      <c r="H17" s="19"/>
      <c r="I17" s="3"/>
      <c r="J17" s="5"/>
    </row>
    <row r="18" spans="6:10" ht="12" customHeight="1">
      <c r="F18" s="6" t="s">
        <v>500</v>
      </c>
      <c r="G18" s="6" t="s">
        <v>69</v>
      </c>
      <c r="H18" s="21" t="s">
        <v>473</v>
      </c>
      <c r="I18" s="3"/>
      <c r="J18" s="5"/>
    </row>
    <row r="19" spans="6:10" ht="12" customHeight="1">
      <c r="F19" s="3" t="s">
        <v>501</v>
      </c>
      <c r="G19" s="3" t="s">
        <v>502</v>
      </c>
      <c r="H19" s="19" t="str" cm="1">
        <f t="array" ref="H19:H26">_xlfn._xlws.SORT(A6:A13,1,1)</f>
        <v>Andi</v>
      </c>
      <c r="I19" s="3"/>
      <c r="J19" s="5"/>
    </row>
    <row r="20" spans="6:10" ht="12" customHeight="1">
      <c r="F20" s="3"/>
      <c r="G20" s="3"/>
      <c r="H20" s="19" t="str">
        <v>Budi</v>
      </c>
      <c r="I20" s="3"/>
      <c r="J20" s="5"/>
    </row>
    <row r="21" spans="6:10" ht="12" customHeight="1">
      <c r="F21" s="3"/>
      <c r="G21" s="3"/>
      <c r="H21" s="19" t="str">
        <v>Clara</v>
      </c>
      <c r="I21" s="3"/>
      <c r="J21" s="5"/>
    </row>
    <row r="22" spans="6:10" ht="12" customHeight="1">
      <c r="F22" s="3"/>
      <c r="G22" s="3"/>
      <c r="H22" s="19" t="str">
        <v>Dewi</v>
      </c>
      <c r="I22" s="3"/>
      <c r="J22" s="5"/>
    </row>
    <row r="23" spans="6:10" ht="12" customHeight="1">
      <c r="F23" s="3"/>
      <c r="G23" s="3"/>
      <c r="H23" s="19" t="str">
        <v>Eko</v>
      </c>
      <c r="I23" s="3"/>
      <c r="J23" s="5"/>
    </row>
    <row r="24" spans="6:10" ht="12" customHeight="1">
      <c r="F24" s="5"/>
      <c r="G24" s="5"/>
      <c r="H24" s="20" t="str">
        <v>Fiona</v>
      </c>
      <c r="I24" s="5"/>
      <c r="J24" s="5"/>
    </row>
    <row r="25" spans="6:10" ht="12" customHeight="1">
      <c r="F25" s="5"/>
      <c r="G25" s="5"/>
      <c r="H25" s="20" t="str">
        <v>Gina</v>
      </c>
      <c r="I25" s="5"/>
      <c r="J25" s="5"/>
    </row>
    <row r="26" spans="6:10" ht="12" customHeight="1">
      <c r="F26" s="5"/>
      <c r="G26" s="5"/>
      <c r="H26" s="20" t="str">
        <v>Hesti</v>
      </c>
      <c r="I26" s="5"/>
      <c r="J26" s="5"/>
    </row>
    <row r="27" spans="6:10" ht="12" customHeight="1">
      <c r="F27" s="6" t="s">
        <v>503</v>
      </c>
      <c r="G27" s="6" t="s">
        <v>69</v>
      </c>
      <c r="H27" s="45" t="s">
        <v>473</v>
      </c>
      <c r="I27" s="3"/>
      <c r="J27" s="5"/>
    </row>
    <row r="28" spans="6:10" ht="12" customHeight="1">
      <c r="F28" s="3" t="s">
        <v>504</v>
      </c>
      <c r="G28" s="3" t="s">
        <v>505</v>
      </c>
      <c r="H28" s="19" t="str" cm="1">
        <f t="array" ref="H28:H35">_xlfn.SORTBY(A6:A13,D6:D13,-1)</f>
        <v>Gina</v>
      </c>
      <c r="I28" s="3"/>
      <c r="J28" s="5"/>
    </row>
    <row r="29" spans="6:10" ht="12" customHeight="1">
      <c r="F29" s="3"/>
      <c r="G29" s="3"/>
      <c r="H29" s="19" t="str">
        <v>Dewi</v>
      </c>
      <c r="I29" s="3"/>
      <c r="J29" s="5"/>
    </row>
    <row r="30" spans="6:10" ht="12" customHeight="1">
      <c r="F30" s="3"/>
      <c r="G30" s="3"/>
      <c r="H30" s="19" t="str">
        <v>Fiona</v>
      </c>
      <c r="I30" s="3"/>
      <c r="J30" s="5"/>
    </row>
    <row r="31" spans="6:10" ht="12" customHeight="1">
      <c r="F31" s="3"/>
      <c r="G31" s="3"/>
      <c r="H31" s="19" t="str">
        <v>Budi</v>
      </c>
      <c r="I31" s="3"/>
      <c r="J31" s="5"/>
    </row>
    <row r="32" spans="6:10" ht="12" customHeight="1">
      <c r="F32" s="3"/>
      <c r="G32" s="3"/>
      <c r="H32" s="19" t="str">
        <v>Eko</v>
      </c>
      <c r="I32" s="3"/>
      <c r="J32" s="5"/>
    </row>
    <row r="33" spans="6:14" ht="12" customHeight="1">
      <c r="F33" s="3"/>
      <c r="G33" s="3"/>
      <c r="H33" s="19" t="str">
        <v>Hesti</v>
      </c>
      <c r="I33" s="3"/>
      <c r="J33" s="5"/>
    </row>
    <row r="34" spans="6:14" ht="12" customHeight="1">
      <c r="F34" s="5"/>
      <c r="G34" s="5"/>
      <c r="H34" s="20" t="str">
        <v>Clara</v>
      </c>
      <c r="I34" s="5"/>
      <c r="J34" s="5"/>
    </row>
    <row r="35" spans="6:14" ht="12" customHeight="1">
      <c r="F35" s="5"/>
      <c r="G35" s="5"/>
      <c r="H35" s="20" t="str">
        <v>Andi</v>
      </c>
      <c r="I35" s="5"/>
      <c r="J35" s="5"/>
    </row>
    <row r="36" spans="6:14" ht="12" customHeight="1">
      <c r="F36" s="6" t="s">
        <v>506</v>
      </c>
      <c r="G36" s="6" t="s">
        <v>69</v>
      </c>
      <c r="H36" s="21" t="s">
        <v>667</v>
      </c>
      <c r="I36" s="36" t="s">
        <v>668</v>
      </c>
      <c r="J36" s="36" t="s">
        <v>669</v>
      </c>
      <c r="K36" s="36" t="s">
        <v>670</v>
      </c>
      <c r="L36" s="12"/>
      <c r="M36" s="12"/>
      <c r="N36" s="12"/>
    </row>
    <row r="37" spans="6:14" ht="12" customHeight="1">
      <c r="F37" s="3" t="s">
        <v>507</v>
      </c>
      <c r="G37" s="46" t="s">
        <v>677</v>
      </c>
      <c r="H37" s="19" cm="1">
        <f t="array" ref="H37:H46">_xlfn.SEQUENCE(10)</f>
        <v>1</v>
      </c>
      <c r="I37" s="19" cm="1">
        <f t="array" ref="I37:I41">_xlfn.SEQUENCE(5,1,10)</f>
        <v>10</v>
      </c>
      <c r="J37" s="20" cm="1">
        <f t="array" ref="J37:J41">_xlfn.SEQUENCE(5,1,10,2)</f>
        <v>10</v>
      </c>
      <c r="K37" s="20" cm="1">
        <f t="array" ref="K37:N39">_xlfn.SEQUENCE(3,4)</f>
        <v>1</v>
      </c>
      <c r="L37" s="20">
        <v>2</v>
      </c>
      <c r="M37" s="20">
        <v>3</v>
      </c>
      <c r="N37" s="20">
        <v>4</v>
      </c>
    </row>
    <row r="38" spans="6:14" ht="12" customHeight="1">
      <c r="F38" s="5"/>
      <c r="G38" s="5" t="s">
        <v>678</v>
      </c>
      <c r="H38" s="20">
        <v>2</v>
      </c>
      <c r="I38" s="20">
        <v>11</v>
      </c>
      <c r="J38" s="20">
        <v>12</v>
      </c>
      <c r="K38" s="20">
        <v>5</v>
      </c>
      <c r="L38" s="20">
        <v>6</v>
      </c>
      <c r="M38" s="20">
        <v>7</v>
      </c>
      <c r="N38" s="20">
        <v>8</v>
      </c>
    </row>
    <row r="39" spans="6:14" ht="12" customHeight="1">
      <c r="F39" s="5"/>
      <c r="G39" s="5" t="s">
        <v>679</v>
      </c>
      <c r="H39" s="20">
        <v>3</v>
      </c>
      <c r="I39" s="20">
        <v>12</v>
      </c>
      <c r="J39" s="20">
        <v>14</v>
      </c>
      <c r="K39" s="20">
        <v>9</v>
      </c>
      <c r="L39" s="20">
        <v>10</v>
      </c>
      <c r="M39" s="20">
        <v>11</v>
      </c>
      <c r="N39" s="20">
        <v>12</v>
      </c>
    </row>
    <row r="40" spans="6:14" ht="12" customHeight="1">
      <c r="F40" s="5"/>
      <c r="G40" s="5" t="s">
        <v>680</v>
      </c>
      <c r="H40" s="20">
        <v>4</v>
      </c>
      <c r="I40" s="20">
        <v>13</v>
      </c>
      <c r="J40" s="20">
        <v>16</v>
      </c>
      <c r="K40" s="20"/>
      <c r="L40" s="20"/>
      <c r="M40" s="20"/>
      <c r="N40" s="20"/>
    </row>
    <row r="41" spans="6:14" ht="12" customHeight="1">
      <c r="F41" s="5"/>
      <c r="G41" s="5"/>
      <c r="H41" s="20">
        <v>5</v>
      </c>
      <c r="I41" s="20">
        <v>14</v>
      </c>
      <c r="J41" s="20">
        <v>18</v>
      </c>
      <c r="K41" s="20"/>
      <c r="L41" s="20"/>
      <c r="M41" s="20"/>
      <c r="N41" s="20"/>
    </row>
    <row r="42" spans="6:14">
      <c r="F42" s="5"/>
      <c r="G42" s="5"/>
      <c r="H42" s="20">
        <v>6</v>
      </c>
      <c r="I42" s="20"/>
      <c r="J42" s="20"/>
      <c r="K42" s="20"/>
      <c r="L42" s="20"/>
      <c r="M42" s="20"/>
      <c r="N42" s="20"/>
    </row>
    <row r="43" spans="6:14">
      <c r="F43" s="5"/>
      <c r="G43" s="5"/>
      <c r="H43" s="20">
        <v>7</v>
      </c>
      <c r="I43" s="20"/>
      <c r="J43" s="20"/>
      <c r="K43" s="20"/>
      <c r="L43" s="20"/>
      <c r="M43" s="20"/>
      <c r="N43" s="20"/>
    </row>
    <row r="44" spans="6:14">
      <c r="F44" s="5"/>
      <c r="G44" s="5"/>
      <c r="H44" s="20">
        <v>8</v>
      </c>
      <c r="I44" s="20"/>
      <c r="J44" s="20"/>
      <c r="K44" s="20"/>
      <c r="L44" s="20"/>
      <c r="M44" s="20"/>
      <c r="N44" s="20"/>
    </row>
    <row r="45" spans="6:14">
      <c r="F45" s="5"/>
      <c r="G45" s="5"/>
      <c r="H45" s="20">
        <v>9</v>
      </c>
      <c r="I45" s="20"/>
      <c r="J45" s="20"/>
      <c r="K45" s="20"/>
      <c r="L45" s="20"/>
      <c r="M45" s="20"/>
      <c r="N45" s="20"/>
    </row>
    <row r="46" spans="6:14">
      <c r="F46" s="5"/>
      <c r="G46" s="5"/>
      <c r="H46" s="20">
        <v>10</v>
      </c>
      <c r="I46" s="20"/>
      <c r="J46" s="20"/>
      <c r="K46" s="20"/>
      <c r="L46" s="20"/>
      <c r="M46" s="20"/>
      <c r="N46" s="20"/>
    </row>
    <row r="47" spans="6:14">
      <c r="F47" s="41" t="s">
        <v>671</v>
      </c>
      <c r="G47" s="6" t="s">
        <v>69</v>
      </c>
      <c r="H47" s="21" t="s">
        <v>673</v>
      </c>
      <c r="I47" s="44" t="s">
        <v>674</v>
      </c>
    </row>
    <row r="48" spans="6:14">
      <c r="F48" s="42" t="s">
        <v>672</v>
      </c>
      <c r="G48" s="43" t="s">
        <v>676</v>
      </c>
      <c r="H48" s="20" cm="1">
        <f t="array" ref="H48:H67">_xlfn.SEQUENCE(COUNTA(I47:I67)-1)</f>
        <v>1</v>
      </c>
      <c r="I48" s="40" t="s">
        <v>294</v>
      </c>
    </row>
    <row r="49" spans="6:9">
      <c r="F49" s="42" t="s">
        <v>675</v>
      </c>
      <c r="G49" s="40"/>
      <c r="H49" s="20">
        <v>2</v>
      </c>
      <c r="I49" s="40" t="s">
        <v>301</v>
      </c>
    </row>
    <row r="50" spans="6:9">
      <c r="F50" s="5"/>
      <c r="G50" s="40"/>
      <c r="H50" s="20">
        <v>3</v>
      </c>
      <c r="I50" s="40" t="s">
        <v>308</v>
      </c>
    </row>
    <row r="51" spans="6:9">
      <c r="F51" s="5"/>
      <c r="G51" s="40"/>
      <c r="H51" s="20">
        <v>4</v>
      </c>
      <c r="I51" s="40" t="s">
        <v>315</v>
      </c>
    </row>
    <row r="52" spans="6:9">
      <c r="F52" s="5"/>
      <c r="G52" s="40"/>
      <c r="H52" s="20">
        <v>5</v>
      </c>
      <c r="I52" s="40" t="s">
        <v>322</v>
      </c>
    </row>
    <row r="53" spans="6:9">
      <c r="F53" s="5"/>
      <c r="G53" s="40"/>
      <c r="H53" s="20">
        <v>6</v>
      </c>
      <c r="I53" s="40" t="s">
        <v>366</v>
      </c>
    </row>
    <row r="54" spans="6:9">
      <c r="F54" s="5"/>
      <c r="G54" s="40"/>
      <c r="H54" s="20">
        <v>7</v>
      </c>
      <c r="I54" s="40" t="s">
        <v>371</v>
      </c>
    </row>
    <row r="55" spans="6:9">
      <c r="F55" s="5"/>
      <c r="G55" s="40"/>
      <c r="H55" s="20">
        <v>8</v>
      </c>
      <c r="I55" s="40" t="s">
        <v>372</v>
      </c>
    </row>
    <row r="56" spans="6:9">
      <c r="F56" s="5"/>
      <c r="G56" s="40"/>
      <c r="H56" s="20">
        <v>9</v>
      </c>
      <c r="I56" s="40" t="s">
        <v>373</v>
      </c>
    </row>
    <row r="57" spans="6:9">
      <c r="F57" s="5"/>
      <c r="G57" s="40"/>
      <c r="H57" s="20">
        <v>10</v>
      </c>
      <c r="I57" s="40" t="s">
        <v>374</v>
      </c>
    </row>
    <row r="58" spans="6:9">
      <c r="F58" s="5"/>
      <c r="G58" s="40"/>
      <c r="H58" s="20">
        <v>11</v>
      </c>
      <c r="I58" s="40" t="s">
        <v>294</v>
      </c>
    </row>
    <row r="59" spans="6:9">
      <c r="F59" s="5"/>
      <c r="G59" s="40"/>
      <c r="H59" s="20">
        <v>12</v>
      </c>
      <c r="I59" s="40" t="s">
        <v>301</v>
      </c>
    </row>
    <row r="60" spans="6:9">
      <c r="F60" s="5"/>
      <c r="G60" s="40"/>
      <c r="H60" s="20">
        <v>13</v>
      </c>
      <c r="I60" s="40" t="s">
        <v>308</v>
      </c>
    </row>
    <row r="61" spans="6:9">
      <c r="F61" s="5"/>
      <c r="G61" s="40"/>
      <c r="H61" s="20">
        <v>14</v>
      </c>
      <c r="I61" s="40" t="s">
        <v>315</v>
      </c>
    </row>
    <row r="62" spans="6:9">
      <c r="F62" s="5"/>
      <c r="G62" s="40"/>
      <c r="H62" s="20">
        <v>15</v>
      </c>
      <c r="I62" s="40" t="s">
        <v>322</v>
      </c>
    </row>
    <row r="63" spans="6:9">
      <c r="F63" s="5"/>
      <c r="G63" s="40"/>
      <c r="H63" s="20">
        <v>16</v>
      </c>
      <c r="I63" s="40" t="s">
        <v>366</v>
      </c>
    </row>
    <row r="64" spans="6:9">
      <c r="F64" s="5"/>
      <c r="G64" s="40"/>
      <c r="H64" s="20">
        <v>17</v>
      </c>
      <c r="I64" s="40" t="s">
        <v>371</v>
      </c>
    </row>
    <row r="65" spans="6:9">
      <c r="F65" s="5"/>
      <c r="G65" s="40"/>
      <c r="H65" s="20">
        <v>18</v>
      </c>
      <c r="I65" s="40" t="s">
        <v>372</v>
      </c>
    </row>
    <row r="66" spans="6:9">
      <c r="F66" s="5"/>
      <c r="G66" s="40"/>
      <c r="H66" s="20">
        <v>19</v>
      </c>
      <c r="I66" s="40" t="s">
        <v>373</v>
      </c>
    </row>
    <row r="67" spans="6:9">
      <c r="F67" s="5"/>
      <c r="G67" s="40"/>
      <c r="H67" s="20">
        <v>20</v>
      </c>
      <c r="I67" s="40" t="s">
        <v>374</v>
      </c>
    </row>
  </sheetData>
  <mergeCells count="5">
    <mergeCell ref="A1:Q1"/>
    <mergeCell ref="A2:Q2"/>
    <mergeCell ref="A4:D4"/>
    <mergeCell ref="F4:J4"/>
    <mergeCell ref="L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13"/>
  <sheetViews>
    <sheetView workbookViewId="0">
      <selection activeCell="C6" sqref="C6"/>
    </sheetView>
  </sheetViews>
  <sheetFormatPr defaultRowHeight="14.4"/>
  <cols>
    <col min="1" max="1" width="12.6640625" bestFit="1" customWidth="1"/>
    <col min="2" max="2" width="16.33203125" customWidth="1"/>
    <col min="3" max="3" width="15.109375" customWidth="1"/>
    <col min="5" max="5" width="3.44140625" bestFit="1" customWidth="1"/>
    <col min="6" max="6" width="14.109375" bestFit="1" customWidth="1"/>
    <col min="7" max="7" width="20.77734375" bestFit="1" customWidth="1"/>
    <col min="8" max="8" width="12" bestFit="1" customWidth="1"/>
    <col min="9" max="9" width="10.88671875" customWidth="1"/>
    <col min="11" max="11" width="14.109375" bestFit="1" customWidth="1"/>
    <col min="12" max="12" width="26.44140625" customWidth="1"/>
    <col min="13" max="13" width="28.109375" customWidth="1"/>
    <col min="14" max="14" width="32.5546875" customWidth="1"/>
  </cols>
  <sheetData>
    <row r="1" spans="1:16" ht="12" customHeight="1">
      <c r="A1" s="47" t="s">
        <v>508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16" ht="12" customHeight="1">
      <c r="A2" s="49" t="s">
        <v>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4" spans="1:16" ht="12" customHeight="1">
      <c r="A4" s="50" t="s">
        <v>57</v>
      </c>
      <c r="B4" s="50"/>
      <c r="C4" s="50"/>
      <c r="E4" s="51" t="s">
        <v>58</v>
      </c>
      <c r="F4" s="51"/>
      <c r="G4" s="51"/>
      <c r="H4" s="51"/>
      <c r="I4" s="51"/>
      <c r="K4" s="52" t="s">
        <v>59</v>
      </c>
      <c r="L4" s="52"/>
      <c r="M4" s="52"/>
      <c r="N4" s="52"/>
    </row>
    <row r="5" spans="1:16" ht="12" customHeight="1">
      <c r="A5" s="2" t="s">
        <v>509</v>
      </c>
      <c r="B5" s="2" t="s">
        <v>510</v>
      </c>
      <c r="C5" s="2" t="s">
        <v>511</v>
      </c>
      <c r="E5" s="6" t="s">
        <v>2</v>
      </c>
      <c r="F5" s="6" t="s">
        <v>68</v>
      </c>
      <c r="G5" s="6" t="s">
        <v>69</v>
      </c>
      <c r="H5" s="6" t="s">
        <v>70</v>
      </c>
      <c r="I5" s="6" t="s">
        <v>71</v>
      </c>
      <c r="K5" s="7" t="s">
        <v>68</v>
      </c>
      <c r="L5" s="7" t="s">
        <v>72</v>
      </c>
      <c r="M5" s="7" t="s">
        <v>73</v>
      </c>
      <c r="N5" s="7" t="s">
        <v>5</v>
      </c>
    </row>
    <row r="6" spans="1:16" ht="12" customHeight="1">
      <c r="A6" s="3" t="s">
        <v>512</v>
      </c>
      <c r="B6" s="37">
        <f t="shared" ref="B6:B13" ca="1" si="0">RANDBETWEEN(60,100)</f>
        <v>65</v>
      </c>
      <c r="C6" s="37">
        <f>ROW()</f>
        <v>6</v>
      </c>
      <c r="E6" s="3">
        <v>1</v>
      </c>
      <c r="F6" s="3" t="s">
        <v>513</v>
      </c>
      <c r="G6" s="3" t="s">
        <v>514</v>
      </c>
      <c r="H6" s="20">
        <f ca="1">RAND()</f>
        <v>0.26056115591654183</v>
      </c>
      <c r="I6" s="3" t="s">
        <v>79</v>
      </c>
      <c r="K6" s="8" t="s">
        <v>513</v>
      </c>
      <c r="L6" s="8" t="s">
        <v>515</v>
      </c>
      <c r="M6" s="8" t="s">
        <v>516</v>
      </c>
      <c r="N6" s="8" t="s">
        <v>517</v>
      </c>
    </row>
    <row r="7" spans="1:16" ht="12" customHeight="1">
      <c r="A7" s="3" t="s">
        <v>518</v>
      </c>
      <c r="B7" s="37">
        <f t="shared" ca="1" si="0"/>
        <v>95</v>
      </c>
      <c r="C7" s="37">
        <f>ROW()</f>
        <v>7</v>
      </c>
      <c r="E7" s="3">
        <v>2</v>
      </c>
      <c r="F7" s="3" t="s">
        <v>519</v>
      </c>
      <c r="G7" s="3" t="s">
        <v>520</v>
      </c>
      <c r="H7" s="20">
        <f ca="1">RANDBETWEEN(1,100)</f>
        <v>9</v>
      </c>
      <c r="I7" s="3" t="s">
        <v>87</v>
      </c>
      <c r="K7" s="8" t="s">
        <v>519</v>
      </c>
      <c r="L7" s="8" t="s">
        <v>521</v>
      </c>
      <c r="M7" s="8" t="s">
        <v>522</v>
      </c>
      <c r="N7" s="8" t="s">
        <v>523</v>
      </c>
    </row>
    <row r="8" spans="1:16" ht="12" customHeight="1">
      <c r="A8" s="3" t="s">
        <v>524</v>
      </c>
      <c r="B8" s="37">
        <f t="shared" ca="1" si="0"/>
        <v>62</v>
      </c>
      <c r="C8" s="37">
        <f>ROW()</f>
        <v>8</v>
      </c>
      <c r="E8" s="3">
        <v>3</v>
      </c>
      <c r="F8" s="3" t="s">
        <v>525</v>
      </c>
      <c r="G8" s="3" t="s">
        <v>526</v>
      </c>
      <c r="H8" s="20">
        <f>ROW(A6)</f>
        <v>6</v>
      </c>
      <c r="I8" s="3" t="s">
        <v>96</v>
      </c>
      <c r="K8" s="8" t="s">
        <v>525</v>
      </c>
      <c r="L8" s="8" t="s">
        <v>527</v>
      </c>
      <c r="M8" s="8" t="s">
        <v>528</v>
      </c>
      <c r="N8" s="8" t="s">
        <v>529</v>
      </c>
    </row>
    <row r="9" spans="1:16" ht="12" customHeight="1">
      <c r="A9" s="3" t="s">
        <v>530</v>
      </c>
      <c r="B9" s="37">
        <f t="shared" ca="1" si="0"/>
        <v>65</v>
      </c>
      <c r="C9" s="37">
        <f>ROW()</f>
        <v>9</v>
      </c>
    </row>
    <row r="10" spans="1:16" ht="12" customHeight="1">
      <c r="A10" s="3" t="s">
        <v>531</v>
      </c>
      <c r="B10" s="37">
        <f t="shared" ca="1" si="0"/>
        <v>63</v>
      </c>
      <c r="C10" s="37">
        <f>ROW()</f>
        <v>10</v>
      </c>
    </row>
    <row r="11" spans="1:16" ht="12" customHeight="1">
      <c r="A11" s="3" t="s">
        <v>532</v>
      </c>
      <c r="B11" s="37">
        <f t="shared" ca="1" si="0"/>
        <v>97</v>
      </c>
      <c r="C11" s="37">
        <f>ROW()</f>
        <v>11</v>
      </c>
    </row>
    <row r="12" spans="1:16" ht="12" customHeight="1">
      <c r="A12" s="3" t="s">
        <v>533</v>
      </c>
      <c r="B12" s="37">
        <f t="shared" ca="1" si="0"/>
        <v>69</v>
      </c>
      <c r="C12" s="37">
        <f>ROW()</f>
        <v>12</v>
      </c>
    </row>
    <row r="13" spans="1:16" ht="12" customHeight="1">
      <c r="A13" s="3" t="s">
        <v>534</v>
      </c>
      <c r="B13" s="37">
        <f t="shared" ca="1" si="0"/>
        <v>73</v>
      </c>
      <c r="C13" s="37">
        <f>ROW()</f>
        <v>13</v>
      </c>
    </row>
  </sheetData>
  <mergeCells count="5">
    <mergeCell ref="A1:P1"/>
    <mergeCell ref="A2:P2"/>
    <mergeCell ref="A4:C4"/>
    <mergeCell ref="E4:I4"/>
    <mergeCell ref="K4:N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S23"/>
  <sheetViews>
    <sheetView workbookViewId="0">
      <selection activeCell="D6" sqref="D6"/>
    </sheetView>
  </sheetViews>
  <sheetFormatPr defaultRowHeight="14.4"/>
  <cols>
    <col min="1" max="1" width="11" customWidth="1"/>
    <col min="2" max="2" width="8.77734375" customWidth="1"/>
    <col min="3" max="3" width="6.5546875" bestFit="1" customWidth="1"/>
    <col min="4" max="4" width="7.5546875" bestFit="1" customWidth="1"/>
    <col min="5" max="5" width="9.33203125" customWidth="1"/>
    <col min="6" max="6" width="6.44140625" bestFit="1" customWidth="1"/>
    <col min="8" max="8" width="13.109375" bestFit="1" customWidth="1"/>
    <col min="9" max="9" width="28.109375" bestFit="1" customWidth="1"/>
    <col min="10" max="10" width="8.33203125" bestFit="1" customWidth="1"/>
    <col min="11" max="11" width="32.109375" bestFit="1" customWidth="1"/>
    <col min="12" max="12" width="10.33203125" customWidth="1"/>
    <col min="14" max="14" width="17.109375" customWidth="1"/>
    <col min="15" max="15" width="31.5546875" customWidth="1"/>
    <col min="16" max="16" width="35.6640625" customWidth="1"/>
    <col min="17" max="17" width="32.5546875" customWidth="1"/>
  </cols>
  <sheetData>
    <row r="1" spans="1:19" ht="12" customHeight="1">
      <c r="A1" s="47" t="s">
        <v>535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ht="12" customHeight="1">
      <c r="A2" s="49" t="s">
        <v>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4" spans="1:19" ht="12" customHeight="1">
      <c r="A4" s="50" t="s">
        <v>57</v>
      </c>
      <c r="B4" s="50"/>
      <c r="C4" s="50"/>
      <c r="D4" s="50"/>
      <c r="E4" s="50"/>
      <c r="F4" s="50"/>
      <c r="H4" s="51" t="s">
        <v>58</v>
      </c>
      <c r="I4" s="51"/>
      <c r="J4" s="51"/>
      <c r="K4" s="51"/>
      <c r="L4" s="51"/>
      <c r="N4" s="52" t="s">
        <v>59</v>
      </c>
      <c r="O4" s="52"/>
      <c r="P4" s="52"/>
      <c r="Q4" s="52"/>
    </row>
    <row r="5" spans="1:19" ht="12" customHeight="1">
      <c r="A5" s="2" t="s">
        <v>536</v>
      </c>
      <c r="B5" s="2" t="s">
        <v>537</v>
      </c>
      <c r="C5" s="2" t="s">
        <v>538</v>
      </c>
      <c r="D5" s="2" t="s">
        <v>471</v>
      </c>
      <c r="E5" s="2" t="s">
        <v>539</v>
      </c>
      <c r="F5" s="2" t="s">
        <v>67</v>
      </c>
      <c r="H5" s="6" t="s">
        <v>68</v>
      </c>
      <c r="I5" s="6" t="s">
        <v>69</v>
      </c>
      <c r="J5" s="6" t="s">
        <v>70</v>
      </c>
      <c r="K5" s="6" t="s">
        <v>540</v>
      </c>
      <c r="L5" s="6" t="s">
        <v>71</v>
      </c>
      <c r="N5" s="7" t="s">
        <v>68</v>
      </c>
      <c r="O5" s="7" t="s">
        <v>72</v>
      </c>
      <c r="P5" s="7" t="s">
        <v>73</v>
      </c>
      <c r="Q5" s="7" t="s">
        <v>5</v>
      </c>
    </row>
    <row r="6" spans="1:19" ht="12" customHeight="1">
      <c r="A6" s="3" t="s">
        <v>541</v>
      </c>
      <c r="B6" s="3">
        <v>10</v>
      </c>
      <c r="C6" s="4">
        <v>15000</v>
      </c>
      <c r="D6" s="38">
        <f t="shared" ref="D6:D11" si="0">B6*C6</f>
        <v>150000</v>
      </c>
      <c r="E6" s="3" t="s">
        <v>542</v>
      </c>
      <c r="F6" s="3" t="s">
        <v>543</v>
      </c>
      <c r="H6" s="3" t="s">
        <v>544</v>
      </c>
      <c r="I6" s="3" t="s">
        <v>545</v>
      </c>
      <c r="J6" s="39">
        <f>SUMPRODUCT(B6:B11,C6:C11)</f>
        <v>951500</v>
      </c>
      <c r="K6" s="3" t="s">
        <v>546</v>
      </c>
      <c r="L6" s="3" t="s">
        <v>547</v>
      </c>
      <c r="N6" s="8" t="s">
        <v>544</v>
      </c>
      <c r="O6" s="8" t="s">
        <v>548</v>
      </c>
      <c r="P6" s="8" t="s">
        <v>549</v>
      </c>
      <c r="Q6" s="8" t="s">
        <v>550</v>
      </c>
    </row>
    <row r="7" spans="1:19" ht="12" customHeight="1">
      <c r="A7" s="3" t="s">
        <v>551</v>
      </c>
      <c r="B7" s="3">
        <v>12</v>
      </c>
      <c r="C7" s="4">
        <v>12000</v>
      </c>
      <c r="D7" s="38">
        <f t="shared" si="0"/>
        <v>144000</v>
      </c>
      <c r="E7" s="3" t="s">
        <v>552</v>
      </c>
      <c r="F7" s="3" t="s">
        <v>553</v>
      </c>
      <c r="H7" s="3" t="s">
        <v>554</v>
      </c>
      <c r="I7" s="3" t="s">
        <v>555</v>
      </c>
      <c r="J7" s="39">
        <f>SUBTOTAL(9,D6:D11)</f>
        <v>951500</v>
      </c>
      <c r="K7" s="3" t="s">
        <v>556</v>
      </c>
      <c r="L7" s="3" t="s">
        <v>557</v>
      </c>
      <c r="N7" s="8" t="s">
        <v>554</v>
      </c>
      <c r="O7" s="8" t="s">
        <v>558</v>
      </c>
      <c r="P7" s="8" t="s">
        <v>559</v>
      </c>
      <c r="Q7" s="8" t="s">
        <v>560</v>
      </c>
    </row>
    <row r="8" spans="1:19" ht="12" customHeight="1">
      <c r="A8" s="3" t="s">
        <v>561</v>
      </c>
      <c r="B8" s="3">
        <v>8</v>
      </c>
      <c r="C8" s="4">
        <v>20000</v>
      </c>
      <c r="D8" s="38">
        <f t="shared" si="0"/>
        <v>160000</v>
      </c>
      <c r="E8" s="3" t="s">
        <v>542</v>
      </c>
      <c r="F8" s="3" t="s">
        <v>543</v>
      </c>
      <c r="H8" s="3" t="s">
        <v>562</v>
      </c>
      <c r="I8" s="3" t="s">
        <v>563</v>
      </c>
      <c r="J8" s="39">
        <f>_xlfn.AGGREGATE(14,4,D6:D11,2)</f>
        <v>165000</v>
      </c>
      <c r="K8" s="3" t="s">
        <v>564</v>
      </c>
      <c r="L8" s="3" t="s">
        <v>565</v>
      </c>
      <c r="N8" s="8" t="s">
        <v>562</v>
      </c>
      <c r="O8" s="8" t="s">
        <v>566</v>
      </c>
      <c r="P8" s="8" t="s">
        <v>567</v>
      </c>
      <c r="Q8" s="8" t="s">
        <v>568</v>
      </c>
    </row>
    <row r="9" spans="1:19" ht="12" customHeight="1">
      <c r="A9" s="3" t="s">
        <v>569</v>
      </c>
      <c r="B9" s="3">
        <v>15</v>
      </c>
      <c r="C9" s="4">
        <v>11000</v>
      </c>
      <c r="D9" s="38">
        <f t="shared" si="0"/>
        <v>165000</v>
      </c>
      <c r="E9" s="3" t="s">
        <v>570</v>
      </c>
      <c r="F9" s="3" t="s">
        <v>553</v>
      </c>
      <c r="H9" s="3" t="s">
        <v>571</v>
      </c>
      <c r="I9" s="3" t="s">
        <v>572</v>
      </c>
      <c r="J9" s="39">
        <f>DGET(A5:F11,"Omset",A14:B15)</f>
        <v>165000</v>
      </c>
      <c r="K9" s="3" t="s">
        <v>573</v>
      </c>
      <c r="L9" s="3" t="s">
        <v>574</v>
      </c>
      <c r="N9" s="8" t="s">
        <v>571</v>
      </c>
      <c r="O9" s="8" t="s">
        <v>575</v>
      </c>
      <c r="P9" s="8" t="s">
        <v>576</v>
      </c>
      <c r="Q9" s="8" t="s">
        <v>577</v>
      </c>
    </row>
    <row r="10" spans="1:19" ht="12" customHeight="1">
      <c r="A10" s="3" t="s">
        <v>578</v>
      </c>
      <c r="B10" s="3">
        <v>9</v>
      </c>
      <c r="C10" s="4">
        <v>17500</v>
      </c>
      <c r="D10" s="38">
        <f t="shared" si="0"/>
        <v>157500</v>
      </c>
      <c r="E10" s="3" t="s">
        <v>542</v>
      </c>
      <c r="F10" s="3" t="s">
        <v>543</v>
      </c>
    </row>
    <row r="11" spans="1:19" ht="12" customHeight="1">
      <c r="A11" s="3" t="s">
        <v>579</v>
      </c>
      <c r="B11" s="3">
        <v>7</v>
      </c>
      <c r="C11" s="4">
        <v>25000</v>
      </c>
      <c r="D11" s="38">
        <f t="shared" si="0"/>
        <v>175000</v>
      </c>
      <c r="E11" s="3" t="s">
        <v>552</v>
      </c>
      <c r="F11" s="3" t="s">
        <v>543</v>
      </c>
    </row>
    <row r="14" spans="1:19" ht="12" customHeight="1">
      <c r="A14" s="2" t="s">
        <v>67</v>
      </c>
      <c r="B14" s="2" t="s">
        <v>539</v>
      </c>
    </row>
    <row r="15" spans="1:19" ht="12" customHeight="1">
      <c r="A15" s="3" t="s">
        <v>553</v>
      </c>
      <c r="B15" s="3" t="s">
        <v>570</v>
      </c>
    </row>
    <row r="18" spans="1:2" ht="12" customHeight="1">
      <c r="A18" s="2" t="s">
        <v>580</v>
      </c>
      <c r="B18" s="2" t="s">
        <v>5</v>
      </c>
    </row>
    <row r="19" spans="1:2">
      <c r="A19" s="3">
        <v>10</v>
      </c>
      <c r="B19" s="3" t="s">
        <v>581</v>
      </c>
    </row>
    <row r="20" spans="1:2">
      <c r="A20" s="3">
        <v>20</v>
      </c>
      <c r="B20" s="3" t="s">
        <v>581</v>
      </c>
    </row>
    <row r="21" spans="1:2">
      <c r="A21" s="3">
        <v>30</v>
      </c>
      <c r="B21" s="3" t="s">
        <v>581</v>
      </c>
    </row>
    <row r="22" spans="1:2">
      <c r="A22" s="3">
        <v>40</v>
      </c>
      <c r="B22" s="3" t="s">
        <v>581</v>
      </c>
    </row>
    <row r="23" spans="1:2">
      <c r="A23" s="3">
        <v>50</v>
      </c>
      <c r="B23" s="3" t="s">
        <v>581</v>
      </c>
    </row>
  </sheetData>
  <mergeCells count="5">
    <mergeCell ref="A1:S1"/>
    <mergeCell ref="A2:S2"/>
    <mergeCell ref="A4:F4"/>
    <mergeCell ref="H4:L4"/>
    <mergeCell ref="N4:Q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19"/>
  <sheetViews>
    <sheetView topLeftCell="F1" workbookViewId="0">
      <selection activeCell="I31" sqref="I31"/>
    </sheetView>
  </sheetViews>
  <sheetFormatPr defaultRowHeight="14.4"/>
  <cols>
    <col min="1" max="1" width="9.6640625" customWidth="1"/>
    <col min="2" max="2" width="35.109375" bestFit="1" customWidth="1"/>
    <col min="3" max="3" width="15.77734375" bestFit="1" customWidth="1"/>
    <col min="4" max="4" width="17.44140625" customWidth="1"/>
    <col min="5" max="5" width="25" bestFit="1" customWidth="1"/>
    <col min="6" max="6" width="25.88671875" bestFit="1" customWidth="1"/>
    <col min="8" max="8" width="16.5546875" bestFit="1" customWidth="1"/>
    <col min="9" max="9" width="98.6640625" bestFit="1" customWidth="1"/>
    <col min="10" max="10" width="14.44140625" bestFit="1" customWidth="1"/>
    <col min="11" max="11" width="33.77734375" bestFit="1" customWidth="1"/>
    <col min="12" max="12" width="7.21875" bestFit="1" customWidth="1"/>
    <col min="14" max="14" width="17.109375" customWidth="1"/>
    <col min="15" max="15" width="26" customWidth="1"/>
    <col min="16" max="17" width="32.109375" customWidth="1"/>
  </cols>
  <sheetData>
    <row r="1" spans="1:19" ht="12" customHeight="1">
      <c r="A1" s="47" t="s">
        <v>582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ht="12" customHeight="1">
      <c r="A2" s="49" t="s">
        <v>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4" spans="1:19" ht="12" customHeight="1">
      <c r="A4" s="50" t="s">
        <v>57</v>
      </c>
      <c r="B4" s="50"/>
      <c r="C4" s="50"/>
      <c r="D4" s="50"/>
      <c r="E4" s="50"/>
      <c r="F4" s="50"/>
      <c r="H4" s="51" t="s">
        <v>58</v>
      </c>
      <c r="I4" s="51"/>
      <c r="J4" s="51"/>
      <c r="K4" s="51"/>
      <c r="L4" s="51"/>
      <c r="N4" s="52" t="s">
        <v>59</v>
      </c>
      <c r="O4" s="52"/>
      <c r="P4" s="52"/>
      <c r="Q4" s="52"/>
    </row>
    <row r="5" spans="1:19" ht="12" customHeight="1">
      <c r="A5" s="2" t="s">
        <v>2</v>
      </c>
      <c r="B5" s="2" t="s">
        <v>583</v>
      </c>
      <c r="C5" s="2" t="s">
        <v>584</v>
      </c>
      <c r="D5" s="2" t="s">
        <v>585</v>
      </c>
      <c r="E5" s="2" t="s">
        <v>586</v>
      </c>
      <c r="F5" s="2" t="s">
        <v>587</v>
      </c>
      <c r="H5" s="6" t="s">
        <v>583</v>
      </c>
      <c r="I5" s="6" t="s">
        <v>69</v>
      </c>
      <c r="J5" s="6" t="s">
        <v>70</v>
      </c>
      <c r="K5" s="6" t="s">
        <v>588</v>
      </c>
      <c r="L5" s="6" t="s">
        <v>71</v>
      </c>
      <c r="N5" s="7" t="s">
        <v>68</v>
      </c>
      <c r="O5" s="7" t="s">
        <v>72</v>
      </c>
      <c r="P5" s="7" t="s">
        <v>73</v>
      </c>
      <c r="Q5" s="7" t="s">
        <v>5</v>
      </c>
    </row>
    <row r="6" spans="1:19" ht="12" customHeight="1">
      <c r="A6" s="3">
        <v>1</v>
      </c>
      <c r="B6" s="3" t="s">
        <v>589</v>
      </c>
      <c r="C6" s="3" t="s">
        <v>507</v>
      </c>
      <c r="D6" s="3">
        <v>25</v>
      </c>
      <c r="E6" s="3" t="s">
        <v>590</v>
      </c>
      <c r="F6" s="3" t="s">
        <v>591</v>
      </c>
      <c r="H6" s="3" t="s">
        <v>592</v>
      </c>
      <c r="I6" s="3" t="s">
        <v>593</v>
      </c>
      <c r="J6" s="20" t="str">
        <f>"INV-"&amp;TEXT(D6,"0000")</f>
        <v>INV-0025</v>
      </c>
      <c r="K6" s="3" t="s">
        <v>594</v>
      </c>
      <c r="L6" s="3" t="s">
        <v>547</v>
      </c>
      <c r="N6" s="8" t="s">
        <v>595</v>
      </c>
      <c r="O6" s="8" t="s">
        <v>596</v>
      </c>
      <c r="P6" s="8" t="s">
        <v>597</v>
      </c>
      <c r="Q6" s="8" t="s">
        <v>598</v>
      </c>
    </row>
    <row r="7" spans="1:19" ht="12" customHeight="1">
      <c r="A7" s="3">
        <v>2</v>
      </c>
      <c r="B7" s="3" t="s">
        <v>599</v>
      </c>
      <c r="C7" s="3" t="s">
        <v>600</v>
      </c>
      <c r="D7" s="3" t="s">
        <v>601</v>
      </c>
      <c r="E7" s="3" t="s">
        <v>602</v>
      </c>
      <c r="F7" s="3" t="s">
        <v>603</v>
      </c>
      <c r="H7" s="3" t="s">
        <v>604</v>
      </c>
      <c r="I7" s="3" t="s">
        <v>605</v>
      </c>
      <c r="J7" s="20" t="str">
        <f>IFERROR(_xlfn.XLOOKUP(D7,$A$15:$A$19,$B$15:$B$19),"Tidak ditemukan")</f>
        <v>Clara</v>
      </c>
      <c r="K7" s="3" t="s">
        <v>606</v>
      </c>
      <c r="L7" s="3" t="s">
        <v>557</v>
      </c>
      <c r="N7" s="8" t="s">
        <v>607</v>
      </c>
      <c r="O7" s="8" t="s">
        <v>608</v>
      </c>
      <c r="P7" s="8" t="s">
        <v>609</v>
      </c>
      <c r="Q7" s="8" t="s">
        <v>610</v>
      </c>
    </row>
    <row r="8" spans="1:19" ht="12" customHeight="1">
      <c r="A8" s="3">
        <v>3</v>
      </c>
      <c r="B8" s="3" t="s">
        <v>611</v>
      </c>
      <c r="C8" s="3" t="s">
        <v>612</v>
      </c>
      <c r="D8" s="3" t="s">
        <v>613</v>
      </c>
      <c r="E8" s="3" t="s">
        <v>291</v>
      </c>
      <c r="F8" s="3" t="s">
        <v>614</v>
      </c>
      <c r="H8" s="3" t="s">
        <v>615</v>
      </c>
      <c r="I8" s="3" t="s">
        <v>616</v>
      </c>
      <c r="J8" s="20" t="str">
        <f>IF(AND(82&gt;=80,93&gt;=90),"Bonus","Tidak Bonus")</f>
        <v>Bonus</v>
      </c>
      <c r="K8" s="3" t="s">
        <v>617</v>
      </c>
      <c r="L8" s="3" t="s">
        <v>565</v>
      </c>
      <c r="N8" s="8" t="s">
        <v>618</v>
      </c>
      <c r="O8" s="8" t="s">
        <v>619</v>
      </c>
      <c r="P8" s="8" t="s">
        <v>620</v>
      </c>
      <c r="Q8" s="8" t="s">
        <v>621</v>
      </c>
    </row>
    <row r="9" spans="1:19" ht="12" customHeight="1">
      <c r="A9" s="3">
        <v>4</v>
      </c>
      <c r="B9" s="3" t="s">
        <v>622</v>
      </c>
      <c r="C9" s="3" t="s">
        <v>62</v>
      </c>
      <c r="D9" s="3" t="s">
        <v>76</v>
      </c>
      <c r="E9" s="3" t="s">
        <v>623</v>
      </c>
      <c r="F9" s="3" t="s">
        <v>624</v>
      </c>
      <c r="H9" s="3" t="s">
        <v>292</v>
      </c>
      <c r="I9" s="3" t="s">
        <v>625</v>
      </c>
      <c r="J9" s="20" t="str">
        <f>IF(OR(D9="HR",D9="Finance"),"Admin/Support","Non Admin")</f>
        <v>Admin/Support</v>
      </c>
      <c r="K9" s="3" t="s">
        <v>626</v>
      </c>
      <c r="L9" s="3" t="s">
        <v>574</v>
      </c>
      <c r="N9" s="8" t="s">
        <v>627</v>
      </c>
      <c r="O9" s="8" t="s">
        <v>628</v>
      </c>
      <c r="P9" s="8" t="s">
        <v>629</v>
      </c>
      <c r="Q9" s="8" t="s">
        <v>630</v>
      </c>
    </row>
    <row r="10" spans="1:19" ht="12" customHeight="1">
      <c r="A10" s="3">
        <v>5</v>
      </c>
      <c r="B10" s="3" t="s">
        <v>631</v>
      </c>
      <c r="C10" s="3" t="s">
        <v>632</v>
      </c>
      <c r="D10" s="14">
        <v>46149</v>
      </c>
      <c r="E10" s="3" t="s">
        <v>633</v>
      </c>
      <c r="F10" s="3" t="s">
        <v>634</v>
      </c>
      <c r="H10" s="3" t="s">
        <v>635</v>
      </c>
      <c r="I10" s="3" t="s">
        <v>636</v>
      </c>
      <c r="J10" s="34">
        <f>WORKDAY(D10,7)</f>
        <v>46160</v>
      </c>
      <c r="K10" s="3" t="s">
        <v>637</v>
      </c>
      <c r="L10" s="3" t="s">
        <v>638</v>
      </c>
      <c r="N10" s="8" t="s">
        <v>455</v>
      </c>
      <c r="O10" s="8" t="s">
        <v>639</v>
      </c>
      <c r="P10" s="8" t="s">
        <v>640</v>
      </c>
      <c r="Q10" s="8" t="s">
        <v>641</v>
      </c>
    </row>
    <row r="11" spans="1:19" ht="12" customHeight="1">
      <c r="A11" s="3">
        <v>6</v>
      </c>
      <c r="B11" s="3" t="s">
        <v>642</v>
      </c>
      <c r="C11" s="3" t="s">
        <v>643</v>
      </c>
      <c r="D11" s="9" t="s">
        <v>644</v>
      </c>
      <c r="E11" s="3" t="s">
        <v>645</v>
      </c>
      <c r="F11" s="3" t="s">
        <v>646</v>
      </c>
      <c r="H11" s="3" t="s">
        <v>647</v>
      </c>
      <c r="I11" s="3" t="s">
        <v>648</v>
      </c>
      <c r="J11" s="39">
        <f>SUMIFS($F$15:$F$19,$E$15:$E$19,"Barat",$D$15:$D$19,"&gt;="&amp;DATE(2026,5,1),$D$15:$D$19,"&lt;="&amp;DATE(2026,5,31))</f>
        <v>4550000</v>
      </c>
      <c r="K11" s="3" t="s">
        <v>649</v>
      </c>
      <c r="L11" s="3" t="s">
        <v>650</v>
      </c>
      <c r="N11" s="8" t="s">
        <v>651</v>
      </c>
      <c r="O11" s="8" t="s">
        <v>652</v>
      </c>
      <c r="P11" s="8" t="s">
        <v>653</v>
      </c>
      <c r="Q11" s="8" t="s">
        <v>654</v>
      </c>
    </row>
    <row r="14" spans="1:19" ht="12" customHeight="1">
      <c r="A14" s="2" t="s">
        <v>600</v>
      </c>
      <c r="B14" s="2" t="s">
        <v>60</v>
      </c>
      <c r="D14" s="2" t="s">
        <v>218</v>
      </c>
      <c r="E14" s="2" t="s">
        <v>539</v>
      </c>
      <c r="F14" s="2" t="s">
        <v>655</v>
      </c>
    </row>
    <row r="15" spans="1:19" ht="12" customHeight="1">
      <c r="A15" s="3" t="s">
        <v>656</v>
      </c>
      <c r="B15" s="3" t="s">
        <v>294</v>
      </c>
      <c r="D15" s="14">
        <v>46143</v>
      </c>
      <c r="E15" s="3" t="s">
        <v>542</v>
      </c>
      <c r="F15" s="4">
        <v>1500000</v>
      </c>
    </row>
    <row r="16" spans="1:19" ht="12" customHeight="1">
      <c r="A16" s="3" t="s">
        <v>657</v>
      </c>
      <c r="B16" s="3" t="s">
        <v>301</v>
      </c>
      <c r="D16" s="14">
        <v>46145</v>
      </c>
      <c r="E16" s="3" t="s">
        <v>552</v>
      </c>
      <c r="F16" s="4">
        <v>1000000</v>
      </c>
    </row>
    <row r="17" spans="1:6" ht="12" customHeight="1">
      <c r="A17" s="3" t="s">
        <v>601</v>
      </c>
      <c r="B17" s="3" t="s">
        <v>308</v>
      </c>
      <c r="D17" s="14">
        <v>46149</v>
      </c>
      <c r="E17" s="3" t="s">
        <v>542</v>
      </c>
      <c r="F17" s="4">
        <v>1750000</v>
      </c>
    </row>
    <row r="18" spans="1:6" ht="12" customHeight="1">
      <c r="A18" s="3" t="s">
        <v>658</v>
      </c>
      <c r="B18" s="3" t="s">
        <v>315</v>
      </c>
      <c r="D18" s="14">
        <v>46153</v>
      </c>
      <c r="E18" s="3" t="s">
        <v>542</v>
      </c>
      <c r="F18" s="4">
        <v>1300000</v>
      </c>
    </row>
    <row r="19" spans="1:6" ht="12" customHeight="1">
      <c r="A19" s="3" t="s">
        <v>659</v>
      </c>
      <c r="B19" s="3" t="s">
        <v>322</v>
      </c>
      <c r="D19" s="14">
        <v>46175</v>
      </c>
      <c r="E19" s="3" t="s">
        <v>542</v>
      </c>
      <c r="F19" s="4">
        <v>2000000</v>
      </c>
    </row>
  </sheetData>
  <mergeCells count="5">
    <mergeCell ref="A1:S1"/>
    <mergeCell ref="A2:S2"/>
    <mergeCell ref="A4:F4"/>
    <mergeCell ref="H4:L4"/>
    <mergeCell ref="N4:Q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1719-CB63-46F3-A816-41B18DE1FB47}">
  <sheetPr codeName="Sheet13"/>
  <dimension ref="A1:E78"/>
  <sheetViews>
    <sheetView tabSelected="1" workbookViewId="0">
      <selection activeCell="C8" sqref="C8"/>
    </sheetView>
  </sheetViews>
  <sheetFormatPr defaultRowHeight="14.4"/>
  <cols>
    <col min="1" max="1" width="3.44140625" bestFit="1" customWidth="1"/>
    <col min="2" max="2" width="32.6640625" bestFit="1" customWidth="1"/>
    <col min="3" max="3" width="74.88671875" bestFit="1" customWidth="1"/>
    <col min="4" max="4" width="48.5546875" bestFit="1" customWidth="1"/>
    <col min="5" max="5" width="55.5546875" bestFit="1" customWidth="1"/>
  </cols>
  <sheetData>
    <row r="1" spans="1:5">
      <c r="A1" s="58" t="s">
        <v>2</v>
      </c>
      <c r="B1" s="59" t="s">
        <v>724</v>
      </c>
      <c r="C1" s="59" t="s">
        <v>725</v>
      </c>
      <c r="D1" s="59" t="s">
        <v>726</v>
      </c>
      <c r="E1" s="59" t="s">
        <v>727</v>
      </c>
    </row>
    <row r="2" spans="1:5">
      <c r="A2" s="60">
        <v>1</v>
      </c>
      <c r="B2" s="61" t="s">
        <v>728</v>
      </c>
      <c r="C2" s="61" t="s">
        <v>729</v>
      </c>
      <c r="D2" s="61" t="s">
        <v>730</v>
      </c>
      <c r="E2" s="61" t="s">
        <v>731</v>
      </c>
    </row>
    <row r="3" spans="1:5">
      <c r="A3" s="60">
        <v>2</v>
      </c>
      <c r="B3" s="61" t="s">
        <v>728</v>
      </c>
      <c r="C3" s="61" t="s">
        <v>732</v>
      </c>
      <c r="D3" s="61" t="s">
        <v>733</v>
      </c>
      <c r="E3" s="61" t="s">
        <v>734</v>
      </c>
    </row>
    <row r="4" spans="1:5">
      <c r="A4" s="60">
        <v>3</v>
      </c>
      <c r="B4" s="61" t="s">
        <v>728</v>
      </c>
      <c r="C4" s="61" t="s">
        <v>735</v>
      </c>
      <c r="D4" s="62" t="s">
        <v>736</v>
      </c>
      <c r="E4" s="61" t="s">
        <v>737</v>
      </c>
    </row>
    <row r="5" spans="1:5">
      <c r="A5" s="60">
        <v>4</v>
      </c>
      <c r="B5" s="61" t="s">
        <v>728</v>
      </c>
      <c r="C5" s="61" t="s">
        <v>738</v>
      </c>
      <c r="D5" s="62" t="s">
        <v>739</v>
      </c>
      <c r="E5" s="61" t="s">
        <v>740</v>
      </c>
    </row>
    <row r="6" spans="1:5">
      <c r="A6" s="60">
        <v>5</v>
      </c>
      <c r="B6" s="61" t="s">
        <v>728</v>
      </c>
      <c r="C6" s="61" t="s">
        <v>707</v>
      </c>
      <c r="D6" s="61" t="s">
        <v>741</v>
      </c>
      <c r="E6" s="61" t="s">
        <v>742</v>
      </c>
    </row>
    <row r="7" spans="1:5">
      <c r="A7" s="60">
        <v>6</v>
      </c>
      <c r="B7" s="61" t="s">
        <v>728</v>
      </c>
      <c r="C7" s="61" t="s">
        <v>743</v>
      </c>
      <c r="D7" s="62" t="s">
        <v>744</v>
      </c>
      <c r="E7" s="61" t="s">
        <v>745</v>
      </c>
    </row>
    <row r="8" spans="1:5">
      <c r="A8" s="60">
        <v>7</v>
      </c>
      <c r="B8" s="61" t="s">
        <v>728</v>
      </c>
      <c r="C8" s="61" t="s">
        <v>702</v>
      </c>
      <c r="D8" s="62" t="s">
        <v>746</v>
      </c>
      <c r="E8" s="61" t="s">
        <v>747</v>
      </c>
    </row>
    <row r="9" spans="1:5">
      <c r="A9" s="60">
        <v>8</v>
      </c>
      <c r="B9" s="61" t="s">
        <v>748</v>
      </c>
      <c r="C9" s="61" t="s">
        <v>749</v>
      </c>
      <c r="D9" s="62" t="s">
        <v>684</v>
      </c>
      <c r="E9" s="61" t="s">
        <v>750</v>
      </c>
    </row>
    <row r="10" spans="1:5">
      <c r="A10" s="60">
        <v>9</v>
      </c>
      <c r="B10" s="61" t="s">
        <v>748</v>
      </c>
      <c r="C10" s="61" t="s">
        <v>751</v>
      </c>
      <c r="D10" s="62" t="s">
        <v>685</v>
      </c>
      <c r="E10" s="61" t="s">
        <v>752</v>
      </c>
    </row>
    <row r="11" spans="1:5">
      <c r="A11" s="60">
        <v>10</v>
      </c>
      <c r="B11" s="61" t="s">
        <v>748</v>
      </c>
      <c r="C11" s="61" t="s">
        <v>753</v>
      </c>
      <c r="D11" s="62" t="s">
        <v>686</v>
      </c>
      <c r="E11" s="61" t="s">
        <v>754</v>
      </c>
    </row>
    <row r="12" spans="1:5">
      <c r="A12" s="60">
        <v>11</v>
      </c>
      <c r="B12" s="61" t="s">
        <v>748</v>
      </c>
      <c r="C12" s="61" t="s">
        <v>755</v>
      </c>
      <c r="D12" s="61" t="s">
        <v>756</v>
      </c>
      <c r="E12" s="61" t="s">
        <v>757</v>
      </c>
    </row>
    <row r="13" spans="1:5">
      <c r="A13" s="60">
        <v>12</v>
      </c>
      <c r="B13" s="61" t="s">
        <v>748</v>
      </c>
      <c r="C13" s="61" t="s">
        <v>758</v>
      </c>
      <c r="D13" s="61" t="s">
        <v>759</v>
      </c>
      <c r="E13" s="61" t="s">
        <v>760</v>
      </c>
    </row>
    <row r="14" spans="1:5">
      <c r="A14" s="60">
        <v>13</v>
      </c>
      <c r="B14" s="61" t="s">
        <v>761</v>
      </c>
      <c r="C14" s="61" t="s">
        <v>762</v>
      </c>
      <c r="D14" s="62" t="s">
        <v>687</v>
      </c>
      <c r="E14" s="61" t="s">
        <v>763</v>
      </c>
    </row>
    <row r="15" spans="1:5">
      <c r="A15" s="60">
        <v>14</v>
      </c>
      <c r="B15" s="61" t="s">
        <v>761</v>
      </c>
      <c r="C15" s="61" t="s">
        <v>764</v>
      </c>
      <c r="D15" s="61" t="s">
        <v>688</v>
      </c>
      <c r="E15" s="61" t="s">
        <v>765</v>
      </c>
    </row>
    <row r="16" spans="1:5">
      <c r="A16" s="60">
        <v>15</v>
      </c>
      <c r="B16" s="61" t="s">
        <v>761</v>
      </c>
      <c r="C16" s="61" t="s">
        <v>766</v>
      </c>
      <c r="D16" s="62" t="s">
        <v>767</v>
      </c>
      <c r="E16" s="61" t="s">
        <v>768</v>
      </c>
    </row>
    <row r="17" spans="1:5">
      <c r="A17" s="60">
        <v>16</v>
      </c>
      <c r="B17" s="61" t="s">
        <v>761</v>
      </c>
      <c r="C17" s="61" t="s">
        <v>769</v>
      </c>
      <c r="D17" s="61" t="s">
        <v>770</v>
      </c>
      <c r="E17" s="61" t="s">
        <v>771</v>
      </c>
    </row>
    <row r="18" spans="1:5">
      <c r="A18" s="60">
        <v>17</v>
      </c>
      <c r="B18" s="61" t="s">
        <v>772</v>
      </c>
      <c r="C18" s="61" t="s">
        <v>773</v>
      </c>
      <c r="D18" s="62" t="s">
        <v>689</v>
      </c>
      <c r="E18" s="61" t="s">
        <v>774</v>
      </c>
    </row>
    <row r="19" spans="1:5">
      <c r="A19" s="60">
        <v>18</v>
      </c>
      <c r="B19" s="61" t="s">
        <v>772</v>
      </c>
      <c r="C19" s="61" t="s">
        <v>775</v>
      </c>
      <c r="D19" s="61" t="s">
        <v>776</v>
      </c>
      <c r="E19" s="61" t="s">
        <v>777</v>
      </c>
    </row>
    <row r="20" spans="1:5">
      <c r="A20" s="60">
        <v>19</v>
      </c>
      <c r="B20" s="61" t="s">
        <v>772</v>
      </c>
      <c r="C20" s="61" t="s">
        <v>778</v>
      </c>
      <c r="D20" s="61" t="s">
        <v>779</v>
      </c>
      <c r="E20" s="61" t="s">
        <v>780</v>
      </c>
    </row>
    <row r="21" spans="1:5">
      <c r="A21" s="60">
        <v>20</v>
      </c>
      <c r="B21" s="61" t="s">
        <v>772</v>
      </c>
      <c r="C21" s="61" t="s">
        <v>781</v>
      </c>
      <c r="D21" s="61" t="s">
        <v>782</v>
      </c>
      <c r="E21" s="61" t="s">
        <v>783</v>
      </c>
    </row>
    <row r="22" spans="1:5">
      <c r="A22" s="60">
        <v>21</v>
      </c>
      <c r="B22" s="61" t="s">
        <v>784</v>
      </c>
      <c r="C22" s="61" t="s">
        <v>785</v>
      </c>
      <c r="D22" s="62" t="s">
        <v>690</v>
      </c>
      <c r="E22" s="61" t="s">
        <v>786</v>
      </c>
    </row>
    <row r="23" spans="1:5">
      <c r="A23" s="60">
        <v>22</v>
      </c>
      <c r="B23" s="61" t="s">
        <v>784</v>
      </c>
      <c r="C23" s="61" t="s">
        <v>787</v>
      </c>
      <c r="D23" s="62" t="s">
        <v>691</v>
      </c>
      <c r="E23" s="61" t="s">
        <v>788</v>
      </c>
    </row>
    <row r="24" spans="1:5">
      <c r="A24" s="60">
        <v>23</v>
      </c>
      <c r="B24" s="61" t="s">
        <v>784</v>
      </c>
      <c r="C24" s="61" t="s">
        <v>789</v>
      </c>
      <c r="D24" s="62" t="s">
        <v>692</v>
      </c>
      <c r="E24" s="61" t="s">
        <v>790</v>
      </c>
    </row>
    <row r="25" spans="1:5">
      <c r="A25" s="60">
        <v>24</v>
      </c>
      <c r="B25" s="61" t="s">
        <v>784</v>
      </c>
      <c r="C25" s="61" t="s">
        <v>791</v>
      </c>
      <c r="D25" s="61" t="s">
        <v>792</v>
      </c>
      <c r="E25" s="61" t="s">
        <v>793</v>
      </c>
    </row>
    <row r="26" spans="1:5">
      <c r="A26" s="60">
        <v>25</v>
      </c>
      <c r="B26" s="61" t="s">
        <v>784</v>
      </c>
      <c r="C26" s="61" t="s">
        <v>794</v>
      </c>
      <c r="D26" s="61" t="s">
        <v>795</v>
      </c>
      <c r="E26" s="61" t="s">
        <v>796</v>
      </c>
    </row>
    <row r="27" spans="1:5">
      <c r="A27" s="60">
        <v>26</v>
      </c>
      <c r="B27" s="61" t="s">
        <v>693</v>
      </c>
      <c r="C27" s="61" t="s">
        <v>695</v>
      </c>
      <c r="D27" s="62" t="s">
        <v>694</v>
      </c>
      <c r="E27" s="61" t="s">
        <v>797</v>
      </c>
    </row>
    <row r="28" spans="1:5">
      <c r="A28" s="60">
        <v>27</v>
      </c>
      <c r="B28" s="61" t="s">
        <v>693</v>
      </c>
      <c r="C28" s="61" t="s">
        <v>697</v>
      </c>
      <c r="D28" s="62" t="s">
        <v>696</v>
      </c>
      <c r="E28" s="61" t="s">
        <v>798</v>
      </c>
    </row>
    <row r="29" spans="1:5">
      <c r="A29" s="60">
        <v>28</v>
      </c>
      <c r="B29" s="61" t="s">
        <v>693</v>
      </c>
      <c r="C29" s="61" t="s">
        <v>699</v>
      </c>
      <c r="D29" s="62" t="s">
        <v>698</v>
      </c>
      <c r="E29" s="61" t="s">
        <v>799</v>
      </c>
    </row>
    <row r="30" spans="1:5">
      <c r="A30" s="60">
        <v>29</v>
      </c>
      <c r="B30" s="61" t="s">
        <v>693</v>
      </c>
      <c r="C30" s="61" t="s">
        <v>701</v>
      </c>
      <c r="D30" s="62" t="s">
        <v>700</v>
      </c>
      <c r="E30" s="61" t="s">
        <v>800</v>
      </c>
    </row>
    <row r="31" spans="1:5">
      <c r="A31" s="60">
        <v>30</v>
      </c>
      <c r="B31" s="61" t="s">
        <v>693</v>
      </c>
      <c r="C31" s="61" t="s">
        <v>702</v>
      </c>
      <c r="D31" s="62" t="s">
        <v>683</v>
      </c>
      <c r="E31" s="61" t="s">
        <v>801</v>
      </c>
    </row>
    <row r="32" spans="1:5">
      <c r="A32" s="60">
        <v>31</v>
      </c>
      <c r="B32" s="61" t="s">
        <v>693</v>
      </c>
      <c r="C32" s="61" t="s">
        <v>703</v>
      </c>
      <c r="D32" s="62" t="s">
        <v>682</v>
      </c>
      <c r="E32" s="61" t="s">
        <v>802</v>
      </c>
    </row>
    <row r="33" spans="1:5">
      <c r="A33" s="60">
        <v>32</v>
      </c>
      <c r="B33" s="61" t="s">
        <v>693</v>
      </c>
      <c r="C33" s="61" t="s">
        <v>706</v>
      </c>
      <c r="D33" s="62" t="s">
        <v>705</v>
      </c>
      <c r="E33" s="61" t="s">
        <v>803</v>
      </c>
    </row>
    <row r="34" spans="1:5">
      <c r="A34" s="60">
        <v>33</v>
      </c>
      <c r="B34" s="61" t="s">
        <v>693</v>
      </c>
      <c r="C34" s="61" t="s">
        <v>707</v>
      </c>
      <c r="D34" s="62" t="s">
        <v>681</v>
      </c>
      <c r="E34" s="61" t="s">
        <v>804</v>
      </c>
    </row>
    <row r="35" spans="1:5">
      <c r="A35" s="60">
        <v>34</v>
      </c>
      <c r="B35" s="61" t="s">
        <v>693</v>
      </c>
      <c r="C35" s="61" t="s">
        <v>805</v>
      </c>
      <c r="D35" s="62" t="s">
        <v>708</v>
      </c>
      <c r="E35" s="61" t="s">
        <v>806</v>
      </c>
    </row>
    <row r="36" spans="1:5">
      <c r="A36" s="60">
        <v>35</v>
      </c>
      <c r="B36" s="61" t="s">
        <v>693</v>
      </c>
      <c r="C36" s="61" t="s">
        <v>807</v>
      </c>
      <c r="D36" s="62" t="s">
        <v>709</v>
      </c>
      <c r="E36" s="61" t="s">
        <v>808</v>
      </c>
    </row>
    <row r="37" spans="1:5">
      <c r="A37" s="60">
        <v>36</v>
      </c>
      <c r="B37" s="61" t="s">
        <v>693</v>
      </c>
      <c r="C37" s="61" t="s">
        <v>711</v>
      </c>
      <c r="D37" s="62" t="s">
        <v>710</v>
      </c>
      <c r="E37" s="61" t="s">
        <v>809</v>
      </c>
    </row>
    <row r="38" spans="1:5">
      <c r="A38" s="60">
        <v>37</v>
      </c>
      <c r="B38" s="61" t="s">
        <v>693</v>
      </c>
      <c r="C38" s="61" t="s">
        <v>810</v>
      </c>
      <c r="D38" s="62" t="s">
        <v>712</v>
      </c>
      <c r="E38" s="61" t="s">
        <v>811</v>
      </c>
    </row>
    <row r="39" spans="1:5">
      <c r="A39" s="60">
        <v>38</v>
      </c>
      <c r="B39" s="61" t="s">
        <v>693</v>
      </c>
      <c r="C39" s="61" t="s">
        <v>714</v>
      </c>
      <c r="D39" s="62" t="s">
        <v>713</v>
      </c>
      <c r="E39" s="61" t="s">
        <v>812</v>
      </c>
    </row>
    <row r="40" spans="1:5">
      <c r="A40" s="60">
        <v>39</v>
      </c>
      <c r="B40" s="61" t="s">
        <v>813</v>
      </c>
      <c r="C40" s="61" t="s">
        <v>814</v>
      </c>
      <c r="D40" s="62" t="s">
        <v>815</v>
      </c>
      <c r="E40" s="61" t="s">
        <v>816</v>
      </c>
    </row>
    <row r="41" spans="1:5">
      <c r="A41" s="60">
        <v>40</v>
      </c>
      <c r="B41" s="61" t="s">
        <v>813</v>
      </c>
      <c r="C41" s="61" t="s">
        <v>817</v>
      </c>
      <c r="D41" s="61" t="s">
        <v>818</v>
      </c>
      <c r="E41" s="61" t="s">
        <v>819</v>
      </c>
    </row>
    <row r="42" spans="1:5">
      <c r="A42" s="60">
        <v>41</v>
      </c>
      <c r="B42" s="61" t="s">
        <v>813</v>
      </c>
      <c r="C42" s="61" t="s">
        <v>820</v>
      </c>
      <c r="D42" s="61" t="s">
        <v>821</v>
      </c>
      <c r="E42" s="61" t="s">
        <v>822</v>
      </c>
    </row>
    <row r="43" spans="1:5">
      <c r="A43" s="60">
        <v>42</v>
      </c>
      <c r="B43" s="61" t="s">
        <v>823</v>
      </c>
      <c r="C43" s="61" t="s">
        <v>824</v>
      </c>
      <c r="D43" s="62" t="s">
        <v>825</v>
      </c>
      <c r="E43" s="61" t="s">
        <v>826</v>
      </c>
    </row>
    <row r="44" spans="1:5">
      <c r="A44" s="60">
        <v>43</v>
      </c>
      <c r="B44" s="61" t="s">
        <v>823</v>
      </c>
      <c r="C44" s="61" t="s">
        <v>827</v>
      </c>
      <c r="D44" s="61" t="s">
        <v>828</v>
      </c>
      <c r="E44" s="61" t="s">
        <v>829</v>
      </c>
    </row>
    <row r="45" spans="1:5">
      <c r="A45" s="60">
        <v>44</v>
      </c>
      <c r="B45" s="61" t="s">
        <v>823</v>
      </c>
      <c r="C45" s="61" t="s">
        <v>830</v>
      </c>
      <c r="D45" s="61" t="s">
        <v>831</v>
      </c>
      <c r="E45" s="61" t="s">
        <v>832</v>
      </c>
    </row>
    <row r="46" spans="1:5">
      <c r="A46" s="60">
        <v>45</v>
      </c>
      <c r="B46" s="61" t="s">
        <v>823</v>
      </c>
      <c r="C46" s="61" t="s">
        <v>833</v>
      </c>
      <c r="D46" s="61" t="s">
        <v>834</v>
      </c>
      <c r="E46" s="61" t="s">
        <v>835</v>
      </c>
    </row>
    <row r="47" spans="1:5">
      <c r="A47" s="60">
        <v>46</v>
      </c>
      <c r="B47" s="61" t="s">
        <v>823</v>
      </c>
      <c r="C47" s="61" t="s">
        <v>836</v>
      </c>
      <c r="D47" s="62" t="s">
        <v>715</v>
      </c>
      <c r="E47" s="61" t="s">
        <v>837</v>
      </c>
    </row>
    <row r="48" spans="1:5">
      <c r="A48" s="60">
        <v>47</v>
      </c>
      <c r="B48" s="61" t="s">
        <v>823</v>
      </c>
      <c r="C48" s="61" t="s">
        <v>838</v>
      </c>
      <c r="D48" s="62" t="s">
        <v>716</v>
      </c>
      <c r="E48" s="61" t="s">
        <v>839</v>
      </c>
    </row>
    <row r="49" spans="1:5">
      <c r="A49" s="60">
        <v>48</v>
      </c>
      <c r="B49" s="61" t="s">
        <v>823</v>
      </c>
      <c r="C49" s="61" t="s">
        <v>840</v>
      </c>
      <c r="D49" s="62" t="s">
        <v>841</v>
      </c>
      <c r="E49" s="61" t="s">
        <v>842</v>
      </c>
    </row>
    <row r="50" spans="1:5">
      <c r="A50" s="60">
        <v>49</v>
      </c>
      <c r="B50" s="61" t="s">
        <v>704</v>
      </c>
      <c r="C50" s="61" t="s">
        <v>843</v>
      </c>
      <c r="D50" s="62" t="s">
        <v>844</v>
      </c>
      <c r="E50" s="61" t="s">
        <v>845</v>
      </c>
    </row>
    <row r="51" spans="1:5">
      <c r="A51" s="60">
        <v>50</v>
      </c>
      <c r="B51" s="61" t="s">
        <v>704</v>
      </c>
      <c r="C51" s="61" t="s">
        <v>846</v>
      </c>
      <c r="D51" s="62" t="s">
        <v>717</v>
      </c>
      <c r="E51" s="61" t="s">
        <v>847</v>
      </c>
    </row>
    <row r="52" spans="1:5">
      <c r="A52" s="60">
        <v>51</v>
      </c>
      <c r="B52" s="61" t="s">
        <v>704</v>
      </c>
      <c r="C52" s="61" t="s">
        <v>848</v>
      </c>
      <c r="D52" s="62" t="s">
        <v>718</v>
      </c>
      <c r="E52" s="61" t="s">
        <v>849</v>
      </c>
    </row>
    <row r="53" spans="1:5">
      <c r="A53" s="60">
        <v>52</v>
      </c>
      <c r="B53" s="61" t="s">
        <v>704</v>
      </c>
      <c r="C53" s="61" t="s">
        <v>850</v>
      </c>
      <c r="D53" s="62" t="s">
        <v>851</v>
      </c>
      <c r="E53" s="61" t="s">
        <v>852</v>
      </c>
    </row>
    <row r="54" spans="1:5">
      <c r="A54" s="60">
        <v>53</v>
      </c>
      <c r="B54" s="61" t="s">
        <v>704</v>
      </c>
      <c r="C54" s="61" t="s">
        <v>853</v>
      </c>
      <c r="D54" s="62" t="s">
        <v>719</v>
      </c>
      <c r="E54" s="61" t="s">
        <v>854</v>
      </c>
    </row>
    <row r="55" spans="1:5">
      <c r="A55" s="60">
        <v>54</v>
      </c>
      <c r="B55" s="61" t="s">
        <v>704</v>
      </c>
      <c r="C55" s="61" t="s">
        <v>855</v>
      </c>
      <c r="D55" s="62" t="s">
        <v>720</v>
      </c>
      <c r="E55" s="61" t="s">
        <v>856</v>
      </c>
    </row>
    <row r="56" spans="1:5">
      <c r="A56" s="60">
        <v>55</v>
      </c>
      <c r="B56" s="61" t="s">
        <v>857</v>
      </c>
      <c r="C56" s="61" t="s">
        <v>858</v>
      </c>
      <c r="D56" s="62" t="s">
        <v>859</v>
      </c>
      <c r="E56" s="61" t="s">
        <v>860</v>
      </c>
    </row>
    <row r="57" spans="1:5">
      <c r="A57" s="60">
        <v>56</v>
      </c>
      <c r="B57" s="61" t="s">
        <v>861</v>
      </c>
      <c r="C57" s="61" t="s">
        <v>862</v>
      </c>
      <c r="D57" s="62" t="s">
        <v>863</v>
      </c>
      <c r="E57" s="61" t="s">
        <v>864</v>
      </c>
    </row>
    <row r="58" spans="1:5">
      <c r="A58" s="60">
        <v>57</v>
      </c>
      <c r="B58" s="61" t="s">
        <v>861</v>
      </c>
      <c r="C58" s="61" t="s">
        <v>865</v>
      </c>
      <c r="D58" s="62" t="s">
        <v>721</v>
      </c>
      <c r="E58" s="61" t="s">
        <v>866</v>
      </c>
    </row>
    <row r="59" spans="1:5">
      <c r="A59" s="60">
        <v>58</v>
      </c>
      <c r="B59" s="61" t="s">
        <v>861</v>
      </c>
      <c r="C59" s="61" t="s">
        <v>867</v>
      </c>
      <c r="D59" s="62" t="s">
        <v>868</v>
      </c>
      <c r="E59" s="61" t="s">
        <v>869</v>
      </c>
    </row>
    <row r="60" spans="1:5">
      <c r="A60" s="60">
        <v>59</v>
      </c>
      <c r="B60" s="61" t="s">
        <v>870</v>
      </c>
      <c r="C60" s="61" t="s">
        <v>871</v>
      </c>
      <c r="D60" s="62" t="s">
        <v>722</v>
      </c>
      <c r="E60" s="61" t="s">
        <v>872</v>
      </c>
    </row>
    <row r="61" spans="1:5">
      <c r="A61" s="60">
        <v>60</v>
      </c>
      <c r="B61" s="61" t="s">
        <v>870</v>
      </c>
      <c r="C61" s="61" t="s">
        <v>873</v>
      </c>
      <c r="D61" s="61" t="s">
        <v>874</v>
      </c>
      <c r="E61" s="61" t="s">
        <v>875</v>
      </c>
    </row>
    <row r="62" spans="1:5">
      <c r="A62" s="60">
        <v>61</v>
      </c>
      <c r="B62" s="61" t="s">
        <v>870</v>
      </c>
      <c r="C62" s="61" t="s">
        <v>876</v>
      </c>
      <c r="D62" s="62" t="s">
        <v>723</v>
      </c>
      <c r="E62" s="61" t="s">
        <v>877</v>
      </c>
    </row>
    <row r="63" spans="1:5">
      <c r="A63" s="60">
        <v>62</v>
      </c>
      <c r="B63" s="61" t="s">
        <v>878</v>
      </c>
      <c r="C63" s="61" t="s">
        <v>879</v>
      </c>
      <c r="D63" s="61" t="s">
        <v>880</v>
      </c>
      <c r="E63" s="61" t="s">
        <v>881</v>
      </c>
    </row>
    <row r="64" spans="1:5">
      <c r="A64" s="60">
        <v>63</v>
      </c>
      <c r="B64" s="61" t="s">
        <v>878</v>
      </c>
      <c r="C64" s="61" t="s">
        <v>882</v>
      </c>
      <c r="D64" s="63" t="s">
        <v>883</v>
      </c>
      <c r="E64" s="61" t="s">
        <v>884</v>
      </c>
    </row>
    <row r="65" spans="1:5">
      <c r="A65" s="60">
        <v>64</v>
      </c>
      <c r="B65" s="61" t="s">
        <v>885</v>
      </c>
      <c r="C65" s="61" t="s">
        <v>886</v>
      </c>
      <c r="D65" s="61" t="s">
        <v>887</v>
      </c>
      <c r="E65" s="61" t="s">
        <v>888</v>
      </c>
    </row>
    <row r="66" spans="1:5">
      <c r="A66" s="60">
        <v>65</v>
      </c>
      <c r="B66" s="61" t="s">
        <v>885</v>
      </c>
      <c r="C66" s="61" t="s">
        <v>889</v>
      </c>
      <c r="D66" s="61" t="s">
        <v>890</v>
      </c>
      <c r="E66" s="61" t="s">
        <v>891</v>
      </c>
    </row>
    <row r="67" spans="1:5">
      <c r="A67" s="60">
        <v>66</v>
      </c>
      <c r="B67" s="61" t="s">
        <v>885</v>
      </c>
      <c r="C67" s="61" t="s">
        <v>892</v>
      </c>
      <c r="D67" s="61" t="s">
        <v>893</v>
      </c>
      <c r="E67" s="61" t="s">
        <v>894</v>
      </c>
    </row>
    <row r="68" spans="1:5">
      <c r="A68" s="60">
        <v>67</v>
      </c>
      <c r="B68" s="61" t="s">
        <v>885</v>
      </c>
      <c r="C68" s="61" t="s">
        <v>895</v>
      </c>
      <c r="D68" s="61" t="s">
        <v>896</v>
      </c>
      <c r="E68" s="61" t="s">
        <v>897</v>
      </c>
    </row>
    <row r="69" spans="1:5">
      <c r="A69" s="60">
        <v>68</v>
      </c>
      <c r="B69" s="61" t="s">
        <v>885</v>
      </c>
      <c r="C69" s="61" t="s">
        <v>898</v>
      </c>
      <c r="D69" s="61" t="s">
        <v>899</v>
      </c>
      <c r="E69" s="61" t="s">
        <v>900</v>
      </c>
    </row>
    <row r="70" spans="1:5">
      <c r="A70" s="60">
        <v>69</v>
      </c>
      <c r="B70" s="61" t="s">
        <v>901</v>
      </c>
      <c r="C70" s="61" t="s">
        <v>902</v>
      </c>
      <c r="D70" s="62" t="s">
        <v>903</v>
      </c>
      <c r="E70" s="61" t="s">
        <v>904</v>
      </c>
    </row>
    <row r="71" spans="1:5">
      <c r="A71" s="60">
        <v>70</v>
      </c>
      <c r="B71" s="61" t="s">
        <v>901</v>
      </c>
      <c r="C71" s="61" t="s">
        <v>905</v>
      </c>
      <c r="D71" s="61" t="s">
        <v>906</v>
      </c>
      <c r="E71" s="61" t="s">
        <v>907</v>
      </c>
    </row>
    <row r="72" spans="1:5">
      <c r="A72" s="60">
        <v>71</v>
      </c>
      <c r="B72" s="61" t="s">
        <v>901</v>
      </c>
      <c r="C72" s="61" t="s">
        <v>908</v>
      </c>
      <c r="D72" s="61" t="s">
        <v>909</v>
      </c>
      <c r="E72" s="61" t="s">
        <v>910</v>
      </c>
    </row>
    <row r="73" spans="1:5">
      <c r="A73" s="60">
        <v>72</v>
      </c>
      <c r="B73" s="61" t="s">
        <v>901</v>
      </c>
      <c r="C73" s="61" t="s">
        <v>911</v>
      </c>
      <c r="D73" s="61" t="s">
        <v>912</v>
      </c>
      <c r="E73" s="61" t="s">
        <v>913</v>
      </c>
    </row>
    <row r="74" spans="1:5">
      <c r="A74" s="60">
        <v>73</v>
      </c>
      <c r="B74" s="61" t="s">
        <v>901</v>
      </c>
      <c r="C74" s="61" t="s">
        <v>914</v>
      </c>
      <c r="D74" s="62" t="s">
        <v>915</v>
      </c>
      <c r="E74" s="61" t="s">
        <v>916</v>
      </c>
    </row>
    <row r="75" spans="1:5">
      <c r="A75" s="60">
        <v>74</v>
      </c>
      <c r="B75" s="61" t="s">
        <v>901</v>
      </c>
      <c r="C75" s="61" t="s">
        <v>917</v>
      </c>
      <c r="D75" s="62" t="s">
        <v>918</v>
      </c>
      <c r="E75" s="61" t="s">
        <v>919</v>
      </c>
    </row>
    <row r="76" spans="1:5">
      <c r="A76" s="60">
        <v>75</v>
      </c>
      <c r="B76" s="61" t="s">
        <v>901</v>
      </c>
      <c r="C76" s="61" t="s">
        <v>920</v>
      </c>
      <c r="D76" s="62" t="s">
        <v>921</v>
      </c>
      <c r="E76" s="61" t="s">
        <v>922</v>
      </c>
    </row>
    <row r="77" spans="1:5">
      <c r="A77" s="60">
        <v>76</v>
      </c>
      <c r="B77" s="61" t="s">
        <v>901</v>
      </c>
      <c r="C77" s="61" t="s">
        <v>923</v>
      </c>
      <c r="D77" s="61" t="s">
        <v>924</v>
      </c>
      <c r="E77" s="61" t="s">
        <v>925</v>
      </c>
    </row>
    <row r="78" spans="1:5">
      <c r="A78" s="60">
        <v>77</v>
      </c>
      <c r="B78" s="61" t="s">
        <v>901</v>
      </c>
      <c r="C78" s="61" t="s">
        <v>926</v>
      </c>
      <c r="D78" s="61" t="s">
        <v>927</v>
      </c>
      <c r="E78" s="61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Bag. 1</vt:lpstr>
      <vt:lpstr>Bag. 2</vt:lpstr>
      <vt:lpstr>Bag. 3</vt:lpstr>
      <vt:lpstr>Bag. 4</vt:lpstr>
      <vt:lpstr>Bag. 5</vt:lpstr>
      <vt:lpstr>Bag. 6</vt:lpstr>
      <vt:lpstr>Bag. 7</vt:lpstr>
      <vt:lpstr>Bag. 8</vt:lpstr>
      <vt:lpstr>Bag. 9</vt:lpstr>
      <vt:lpstr>Bag. 10</vt:lpstr>
      <vt:lpstr>Bag. 11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xaviaro 836</dc:creator>
  <cp:lastModifiedBy>xaviaro 836</cp:lastModifiedBy>
  <dcterms:created xsi:type="dcterms:W3CDTF">2026-05-07T16:19:27Z</dcterms:created>
  <dcterms:modified xsi:type="dcterms:W3CDTF">2026-08-12T04:16:55Z</dcterms:modified>
</cp:coreProperties>
</file>
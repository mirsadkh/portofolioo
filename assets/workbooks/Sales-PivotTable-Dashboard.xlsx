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MyBook Hype AMD\OneDrive\Desktop\OneDrive\Documents\belajar\tamplate\"/>
    </mc:Choice>
  </mc:AlternateContent>
  <xr:revisionPtr revIDLastSave="0" documentId="13_ncr:1_{2FDED313-1EA0-4DAB-96F3-645A0FB6E6B0}" xr6:coauthVersionLast="47" xr6:coauthVersionMax="47" xr10:uidLastSave="{00000000-0000-0000-0000-000000000000}"/>
  <bookViews>
    <workbookView xWindow="-108" yWindow="-108" windowWidth="23256" windowHeight="12456" activeTab="3" xr2:uid="{00000000-000D-0000-FFFF-FFFF00000000}"/>
  </bookViews>
  <sheets>
    <sheet name="Data Penjualan" sheetId="1" r:id="rId1"/>
    <sheet name="Latihan" sheetId="2" r:id="rId2"/>
    <sheet name="pivot" sheetId="5" r:id="rId3"/>
    <sheet name="dasboard" sheetId="7" r:id="rId4"/>
    <sheet name="Rancangan Dashboard" sheetId="3" r:id="rId5"/>
    <sheet name="Catatan" sheetId="4" r:id="rId6"/>
  </sheets>
  <definedNames>
    <definedName name="_xlnm._FilterDatabase" localSheetId="0" hidden="1">'Data Penjualan'!$A$1:$K$301</definedName>
    <definedName name="Pemotong_Jenis_Penjualan">#N/A</definedName>
    <definedName name="Pemotong_Kategori">#N/A</definedName>
    <definedName name="Pemotong_Metode_Pembayaran">#N/A</definedName>
  </definedNames>
  <calcPr calcId="191029"/>
  <pivotCaches>
    <pivotCache cacheId="0" r:id="rId7"/>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5" i="5" l="1"/>
  <c r="J6" i="7"/>
  <c r="G6" i="7"/>
  <c r="D6" i="7"/>
  <c r="A6" i="7"/>
  <c r="A9" i="7" l="1"/>
</calcChain>
</file>

<file path=xl/sharedStrings.xml><?xml version="1.0" encoding="utf-8"?>
<sst xmlns="http://schemas.openxmlformats.org/spreadsheetml/2006/main" count="1771" uniqueCount="474">
  <si>
    <t>Tanggal</t>
  </si>
  <si>
    <t>No Invoice</t>
  </si>
  <si>
    <t>Produk</t>
  </si>
  <si>
    <t>Kategori</t>
  </si>
  <si>
    <t>Jenis Penjualan</t>
  </si>
  <si>
    <t>Metode Pembayaran</t>
  </si>
  <si>
    <t>Qty</t>
  </si>
  <si>
    <t>Harga Jual</t>
  </si>
  <si>
    <t>Harga Modal</t>
  </si>
  <si>
    <t>Omzet</t>
  </si>
  <si>
    <t>Profit</t>
  </si>
  <si>
    <t>INV-0001</t>
  </si>
  <si>
    <t>Americano</t>
  </si>
  <si>
    <t>Minuman</t>
  </si>
  <si>
    <t>Delivery</t>
  </si>
  <si>
    <t>Debit</t>
  </si>
  <si>
    <t>INV-0002</t>
  </si>
  <si>
    <t>Matcha Latte</t>
  </si>
  <si>
    <t>Cash</t>
  </si>
  <si>
    <t>INV-0003</t>
  </si>
  <si>
    <t>Kue Soes</t>
  </si>
  <si>
    <t>Bakery</t>
  </si>
  <si>
    <t>E-Wallet</t>
  </si>
  <si>
    <t>INV-0004</t>
  </si>
  <si>
    <t>Kopi Susu</t>
  </si>
  <si>
    <t>Dine In</t>
  </si>
  <si>
    <t>QRIS</t>
  </si>
  <si>
    <t>INV-0005</t>
  </si>
  <si>
    <t>Roti Keju</t>
  </si>
  <si>
    <t>INV-0006</t>
  </si>
  <si>
    <t>INV-0007</t>
  </si>
  <si>
    <t>Teh Manis</t>
  </si>
  <si>
    <t>INV-0008</t>
  </si>
  <si>
    <t>INV-0009</t>
  </si>
  <si>
    <t>INV-0010</t>
  </si>
  <si>
    <t>INV-0011</t>
  </si>
  <si>
    <t>INV-0012</t>
  </si>
  <si>
    <t>INV-0013</t>
  </si>
  <si>
    <t>INV-0014</t>
  </si>
  <si>
    <t>INV-0015</t>
  </si>
  <si>
    <t>Brownies</t>
  </si>
  <si>
    <t>Pastry</t>
  </si>
  <si>
    <t>INV-0016</t>
  </si>
  <si>
    <t>INV-0017</t>
  </si>
  <si>
    <t>Roti Sosis</t>
  </si>
  <si>
    <t>INV-0018</t>
  </si>
  <si>
    <t>Take Away</t>
  </si>
  <si>
    <t>INV-0019</t>
  </si>
  <si>
    <t>Croissant</t>
  </si>
  <si>
    <t>INV-0020</t>
  </si>
  <si>
    <t>Donat</t>
  </si>
  <si>
    <t>INV-0021</t>
  </si>
  <si>
    <t>INV-0022</t>
  </si>
  <si>
    <t>INV-0023</t>
  </si>
  <si>
    <t>INV-0024</t>
  </si>
  <si>
    <t>INV-0025</t>
  </si>
  <si>
    <t>INV-0026</t>
  </si>
  <si>
    <t>INV-0027</t>
  </si>
  <si>
    <t>INV-0028</t>
  </si>
  <si>
    <t>INV-0029</t>
  </si>
  <si>
    <t>Roti Cokelat</t>
  </si>
  <si>
    <t>INV-0030</t>
  </si>
  <si>
    <t>INV-0031</t>
  </si>
  <si>
    <t>INV-0032</t>
  </si>
  <si>
    <t>INV-0033</t>
  </si>
  <si>
    <t>INV-0034</t>
  </si>
  <si>
    <t>INV-0035</t>
  </si>
  <si>
    <t>INV-0036</t>
  </si>
  <si>
    <t>INV-0037</t>
  </si>
  <si>
    <t>INV-0038</t>
  </si>
  <si>
    <t>Cappuccino</t>
  </si>
  <si>
    <t>INV-0039</t>
  </si>
  <si>
    <t>INV-0040</t>
  </si>
  <si>
    <t>INV-0041</t>
  </si>
  <si>
    <t>INV-0042</t>
  </si>
  <si>
    <t>INV-0043</t>
  </si>
  <si>
    <t>INV-0044</t>
  </si>
  <si>
    <t>INV-0045</t>
  </si>
  <si>
    <t>INV-0046</t>
  </si>
  <si>
    <t>INV-0047</t>
  </si>
  <si>
    <t>INV-0048</t>
  </si>
  <si>
    <t>INV-0049</t>
  </si>
  <si>
    <t>INV-0050</t>
  </si>
  <si>
    <t>INV-0051</t>
  </si>
  <si>
    <t>INV-0052</t>
  </si>
  <si>
    <t>INV-0053</t>
  </si>
  <si>
    <t>INV-0054</t>
  </si>
  <si>
    <t>INV-0055</t>
  </si>
  <si>
    <t>INV-0056</t>
  </si>
  <si>
    <t>INV-0057</t>
  </si>
  <si>
    <t>INV-0058</t>
  </si>
  <si>
    <t>INV-0059</t>
  </si>
  <si>
    <t>INV-0060</t>
  </si>
  <si>
    <t>INV-0061</t>
  </si>
  <si>
    <t>INV-0062</t>
  </si>
  <si>
    <t>INV-0063</t>
  </si>
  <si>
    <t>INV-0064</t>
  </si>
  <si>
    <t>INV-0065</t>
  </si>
  <si>
    <t>INV-0066</t>
  </si>
  <si>
    <t>INV-0067</t>
  </si>
  <si>
    <t>INV-0068</t>
  </si>
  <si>
    <t>INV-0069</t>
  </si>
  <si>
    <t>INV-0070</t>
  </si>
  <si>
    <t>INV-0071</t>
  </si>
  <si>
    <t>INV-0072</t>
  </si>
  <si>
    <t>INV-0073</t>
  </si>
  <si>
    <t>INV-0074</t>
  </si>
  <si>
    <t>INV-0075</t>
  </si>
  <si>
    <t>INV-0076</t>
  </si>
  <si>
    <t>INV-0077</t>
  </si>
  <si>
    <t>INV-0078</t>
  </si>
  <si>
    <t>INV-0079</t>
  </si>
  <si>
    <t>INV-0080</t>
  </si>
  <si>
    <t>INV-0081</t>
  </si>
  <si>
    <t>INV-0082</t>
  </si>
  <si>
    <t>INV-0083</t>
  </si>
  <si>
    <t>INV-0084</t>
  </si>
  <si>
    <t>INV-0085</t>
  </si>
  <si>
    <t>INV-0086</t>
  </si>
  <si>
    <t>INV-0087</t>
  </si>
  <si>
    <t>INV-0088</t>
  </si>
  <si>
    <t>INV-0089</t>
  </si>
  <si>
    <t>INV-0090</t>
  </si>
  <si>
    <t>INV-0091</t>
  </si>
  <si>
    <t>INV-0092</t>
  </si>
  <si>
    <t>INV-0093</t>
  </si>
  <si>
    <t>INV-0094</t>
  </si>
  <si>
    <t>INV-0095</t>
  </si>
  <si>
    <t>INV-0096</t>
  </si>
  <si>
    <t>INV-0097</t>
  </si>
  <si>
    <t>INV-0098</t>
  </si>
  <si>
    <t>INV-0099</t>
  </si>
  <si>
    <t>INV-0100</t>
  </si>
  <si>
    <t>INV-0101</t>
  </si>
  <si>
    <t>INV-0102</t>
  </si>
  <si>
    <t>INV-0103</t>
  </si>
  <si>
    <t>INV-0104</t>
  </si>
  <si>
    <t>INV-0105</t>
  </si>
  <si>
    <t>INV-0106</t>
  </si>
  <si>
    <t>INV-0107</t>
  </si>
  <si>
    <t>INV-0108</t>
  </si>
  <si>
    <t>INV-0109</t>
  </si>
  <si>
    <t>INV-0110</t>
  </si>
  <si>
    <t>INV-0111</t>
  </si>
  <si>
    <t>INV-0112</t>
  </si>
  <si>
    <t>INV-0113</t>
  </si>
  <si>
    <t>INV-0114</t>
  </si>
  <si>
    <t>INV-0115</t>
  </si>
  <si>
    <t>INV-0116</t>
  </si>
  <si>
    <t>INV-0117</t>
  </si>
  <si>
    <t>INV-0118</t>
  </si>
  <si>
    <t>INV-0119</t>
  </si>
  <si>
    <t>INV-0120</t>
  </si>
  <si>
    <t>INV-0121</t>
  </si>
  <si>
    <t>INV-0122</t>
  </si>
  <si>
    <t>INV-0123</t>
  </si>
  <si>
    <t>INV-0124</t>
  </si>
  <si>
    <t>INV-0125</t>
  </si>
  <si>
    <t>INV-0126</t>
  </si>
  <si>
    <t>INV-0127</t>
  </si>
  <si>
    <t>INV-0128</t>
  </si>
  <si>
    <t>INV-0129</t>
  </si>
  <si>
    <t>INV-0130</t>
  </si>
  <si>
    <t>INV-0131</t>
  </si>
  <si>
    <t>INV-0132</t>
  </si>
  <si>
    <t>INV-0133</t>
  </si>
  <si>
    <t>INV-0134</t>
  </si>
  <si>
    <t>INV-0135</t>
  </si>
  <si>
    <t>INV-0136</t>
  </si>
  <si>
    <t>INV-0137</t>
  </si>
  <si>
    <t>INV-0138</t>
  </si>
  <si>
    <t>INV-0139</t>
  </si>
  <si>
    <t>INV-0140</t>
  </si>
  <si>
    <t>INV-0141</t>
  </si>
  <si>
    <t>INV-0142</t>
  </si>
  <si>
    <t>INV-0143</t>
  </si>
  <si>
    <t>INV-0144</t>
  </si>
  <si>
    <t>INV-0145</t>
  </si>
  <si>
    <t>INV-0146</t>
  </si>
  <si>
    <t>INV-0147</t>
  </si>
  <si>
    <t>INV-0148</t>
  </si>
  <si>
    <t>INV-0149</t>
  </si>
  <si>
    <t>INV-0150</t>
  </si>
  <si>
    <t>INV-0151</t>
  </si>
  <si>
    <t>INV-0152</t>
  </si>
  <si>
    <t>INV-0153</t>
  </si>
  <si>
    <t>INV-0154</t>
  </si>
  <si>
    <t>INV-0155</t>
  </si>
  <si>
    <t>INV-0156</t>
  </si>
  <si>
    <t>INV-0157</t>
  </si>
  <si>
    <t>INV-0158</t>
  </si>
  <si>
    <t>INV-0159</t>
  </si>
  <si>
    <t>INV-0160</t>
  </si>
  <si>
    <t>INV-0161</t>
  </si>
  <si>
    <t>INV-0162</t>
  </si>
  <si>
    <t>INV-0163</t>
  </si>
  <si>
    <t>INV-0164</t>
  </si>
  <si>
    <t>INV-0165</t>
  </si>
  <si>
    <t>INV-0166</t>
  </si>
  <si>
    <t>INV-0167</t>
  </si>
  <si>
    <t>INV-0168</t>
  </si>
  <si>
    <t>INV-0169</t>
  </si>
  <si>
    <t>INV-0170</t>
  </si>
  <si>
    <t>INV-0171</t>
  </si>
  <si>
    <t>INV-0172</t>
  </si>
  <si>
    <t>INV-0173</t>
  </si>
  <si>
    <t>INV-0174</t>
  </si>
  <si>
    <t>INV-0175</t>
  </si>
  <si>
    <t>INV-0176</t>
  </si>
  <si>
    <t>INV-0177</t>
  </si>
  <si>
    <t>INV-0178</t>
  </si>
  <si>
    <t>INV-0179</t>
  </si>
  <si>
    <t>INV-0180</t>
  </si>
  <si>
    <t>INV-0181</t>
  </si>
  <si>
    <t>INV-0182</t>
  </si>
  <si>
    <t>INV-0183</t>
  </si>
  <si>
    <t>INV-0184</t>
  </si>
  <si>
    <t>INV-0185</t>
  </si>
  <si>
    <t>INV-0186</t>
  </si>
  <si>
    <t>INV-0187</t>
  </si>
  <si>
    <t>INV-0188</t>
  </si>
  <si>
    <t>INV-0189</t>
  </si>
  <si>
    <t>INV-0190</t>
  </si>
  <si>
    <t>INV-0191</t>
  </si>
  <si>
    <t>INV-0192</t>
  </si>
  <si>
    <t>INV-0193</t>
  </si>
  <si>
    <t>INV-0194</t>
  </si>
  <si>
    <t>INV-0195</t>
  </si>
  <si>
    <t>INV-0196</t>
  </si>
  <si>
    <t>INV-0197</t>
  </si>
  <si>
    <t>INV-0198</t>
  </si>
  <si>
    <t>INV-0199</t>
  </si>
  <si>
    <t>INV-0200</t>
  </si>
  <si>
    <t>INV-0201</t>
  </si>
  <si>
    <t>INV-0202</t>
  </si>
  <si>
    <t>INV-0203</t>
  </si>
  <si>
    <t>INV-0204</t>
  </si>
  <si>
    <t>INV-0205</t>
  </si>
  <si>
    <t>INV-0206</t>
  </si>
  <si>
    <t>INV-0207</t>
  </si>
  <si>
    <t>INV-0208</t>
  </si>
  <si>
    <t>INV-0209</t>
  </si>
  <si>
    <t>INV-0210</t>
  </si>
  <si>
    <t>INV-0211</t>
  </si>
  <si>
    <t>INV-0212</t>
  </si>
  <si>
    <t>INV-0213</t>
  </si>
  <si>
    <t>INV-0214</t>
  </si>
  <si>
    <t>INV-0215</t>
  </si>
  <si>
    <t>INV-0216</t>
  </si>
  <si>
    <t>INV-0217</t>
  </si>
  <si>
    <t>INV-0218</t>
  </si>
  <si>
    <t>INV-0219</t>
  </si>
  <si>
    <t>INV-0220</t>
  </si>
  <si>
    <t>INV-0221</t>
  </si>
  <si>
    <t>INV-0222</t>
  </si>
  <si>
    <t>INV-0223</t>
  </si>
  <si>
    <t>INV-0224</t>
  </si>
  <si>
    <t>INV-0225</t>
  </si>
  <si>
    <t>INV-0226</t>
  </si>
  <si>
    <t>INV-0227</t>
  </si>
  <si>
    <t>INV-0228</t>
  </si>
  <si>
    <t>INV-0229</t>
  </si>
  <si>
    <t>INV-0230</t>
  </si>
  <si>
    <t>INV-0231</t>
  </si>
  <si>
    <t>INV-0232</t>
  </si>
  <si>
    <t>INV-0233</t>
  </si>
  <si>
    <t>INV-0234</t>
  </si>
  <si>
    <t>INV-0235</t>
  </si>
  <si>
    <t>INV-0236</t>
  </si>
  <si>
    <t>INV-0237</t>
  </si>
  <si>
    <t>INV-0238</t>
  </si>
  <si>
    <t>INV-0239</t>
  </si>
  <si>
    <t>INV-0240</t>
  </si>
  <si>
    <t>INV-0241</t>
  </si>
  <si>
    <t>INV-0242</t>
  </si>
  <si>
    <t>INV-0243</t>
  </si>
  <si>
    <t>INV-0244</t>
  </si>
  <si>
    <t>INV-0245</t>
  </si>
  <si>
    <t>INV-0246</t>
  </si>
  <si>
    <t>INV-0247</t>
  </si>
  <si>
    <t>INV-0248</t>
  </si>
  <si>
    <t>INV-0249</t>
  </si>
  <si>
    <t>INV-0250</t>
  </si>
  <si>
    <t>INV-0251</t>
  </si>
  <si>
    <t>INV-0252</t>
  </si>
  <si>
    <t>INV-0253</t>
  </si>
  <si>
    <t>INV-0254</t>
  </si>
  <si>
    <t>INV-0255</t>
  </si>
  <si>
    <t>INV-0256</t>
  </si>
  <si>
    <t>INV-0257</t>
  </si>
  <si>
    <t>INV-0258</t>
  </si>
  <si>
    <t>INV-0259</t>
  </si>
  <si>
    <t>INV-0260</t>
  </si>
  <si>
    <t>INV-0261</t>
  </si>
  <si>
    <t>INV-0262</t>
  </si>
  <si>
    <t>INV-0263</t>
  </si>
  <si>
    <t>INV-0264</t>
  </si>
  <si>
    <t>INV-0265</t>
  </si>
  <si>
    <t>INV-0266</t>
  </si>
  <si>
    <t>INV-0267</t>
  </si>
  <si>
    <t>INV-0268</t>
  </si>
  <si>
    <t>INV-0269</t>
  </si>
  <si>
    <t>INV-0270</t>
  </si>
  <si>
    <t>INV-0271</t>
  </si>
  <si>
    <t>INV-0272</t>
  </si>
  <si>
    <t>INV-0273</t>
  </si>
  <si>
    <t>INV-0274</t>
  </si>
  <si>
    <t>INV-0275</t>
  </si>
  <si>
    <t>INV-0276</t>
  </si>
  <si>
    <t>INV-0277</t>
  </si>
  <si>
    <t>INV-0278</t>
  </si>
  <si>
    <t>INV-0279</t>
  </si>
  <si>
    <t>INV-0280</t>
  </si>
  <si>
    <t>INV-0281</t>
  </si>
  <si>
    <t>INV-0282</t>
  </si>
  <si>
    <t>INV-0283</t>
  </si>
  <si>
    <t>INV-0284</t>
  </si>
  <si>
    <t>INV-0285</t>
  </si>
  <si>
    <t>INV-0286</t>
  </si>
  <si>
    <t>INV-0287</t>
  </si>
  <si>
    <t>INV-0288</t>
  </si>
  <si>
    <t>INV-0289</t>
  </si>
  <si>
    <t>INV-0290</t>
  </si>
  <si>
    <t>INV-0291</t>
  </si>
  <si>
    <t>INV-0292</t>
  </si>
  <si>
    <t>INV-0293</t>
  </si>
  <si>
    <t>INV-0294</t>
  </si>
  <si>
    <t>INV-0295</t>
  </si>
  <si>
    <t>INV-0296</t>
  </si>
  <si>
    <t>INV-0297</t>
  </si>
  <si>
    <t>INV-0298</t>
  </si>
  <si>
    <t>INV-0299</t>
  </si>
  <si>
    <t>INV-0300</t>
  </si>
  <si>
    <t>LATIHAN PIVOT TABLE &amp; DASHBOARD</t>
  </si>
  <si>
    <t>Tujuan</t>
  </si>
  <si>
    <t>Belajar membuat PivotTable, PivotChart, Slicer, KPI, dan dashboard penjualan.</t>
  </si>
  <si>
    <t>Data</t>
  </si>
  <si>
    <t>Gunakan sheet 'Data Penjualan' sebagai sumber data.</t>
  </si>
  <si>
    <t>Level</t>
  </si>
  <si>
    <t>Dasar → Menengah → Dashboard</t>
  </si>
  <si>
    <t>LATIHAN 1 — PIVOTTABLE DASAR</t>
  </si>
  <si>
    <t>1</t>
  </si>
  <si>
    <t>Buat PivotTable untuk menghitung total Omzet berdasarkan Kategori.</t>
  </si>
  <si>
    <t>2</t>
  </si>
  <si>
    <t>Buat PivotTable untuk menghitung total Qty berdasarkan Produk.</t>
  </si>
  <si>
    <t>3</t>
  </si>
  <si>
    <t>Buat PivotTable untuk menghitung total Profit berdasarkan Produk.</t>
  </si>
  <si>
    <t>4</t>
  </si>
  <si>
    <t>Buat PivotTable untuk melihat omzet berdasarkan Metode Pembayaran.</t>
  </si>
  <si>
    <t>5</t>
  </si>
  <si>
    <t>Buat PivotTable untuk melihat omzet berdasarkan Jenis Penjualan.</t>
  </si>
  <si>
    <t>LATIHAN 2 — ANALISIS WAKTU</t>
  </si>
  <si>
    <t>6</t>
  </si>
  <si>
    <t>Buat PivotTable omzet berdasarkan Bulan.</t>
  </si>
  <si>
    <t>7</t>
  </si>
  <si>
    <t>Tambahkan Profit ke PivotTable bulan tersebut.</t>
  </si>
  <si>
    <t>8</t>
  </si>
  <si>
    <t>Buat PivotChart Line untuk melihat tren omzet bulanan.</t>
  </si>
  <si>
    <t>LATIHAN 3 — PRODUK TERLARIS</t>
  </si>
  <si>
    <t>9</t>
  </si>
  <si>
    <t>Cari 5 produk dengan Qty terjual tertinggi.</t>
  </si>
  <si>
    <t>10</t>
  </si>
  <si>
    <t>Buat Bar Chart untuk Top 5 Produk.</t>
  </si>
  <si>
    <t>11</t>
  </si>
  <si>
    <t>Buat analisis: produk mana yang paling besar menghasilkan profit?</t>
  </si>
  <si>
    <t>LATIHAN 4 — SLICER</t>
  </si>
  <si>
    <t>12</t>
  </si>
  <si>
    <t>Tambahkan Slicer untuk Kategori.</t>
  </si>
  <si>
    <t>13</t>
  </si>
  <si>
    <t>Tambahkan Slicer untuk Jenis Penjualan.</t>
  </si>
  <si>
    <t>14</t>
  </si>
  <si>
    <t>Tambahkan Slicer untuk Metode Pembayaran.</t>
  </si>
  <si>
    <t>15</t>
  </si>
  <si>
    <t>Hubungkan Slicer ke PivotTable/PivotChart yang relevan.</t>
  </si>
  <si>
    <t>LATIHAN 5 — KPI DASHBOARD</t>
  </si>
  <si>
    <t>16</t>
  </si>
  <si>
    <t>Buat KPI Total Omzet.</t>
  </si>
  <si>
    <t>17</t>
  </si>
  <si>
    <t>Buat KPI Total Profit.</t>
  </si>
  <si>
    <t>18</t>
  </si>
  <si>
    <t>Buat KPI Total Qty.</t>
  </si>
  <si>
    <t>19</t>
  </si>
  <si>
    <t>Buat KPI Jumlah Transaksi (No Invoice).</t>
  </si>
  <si>
    <t>20</t>
  </si>
  <si>
    <t>Hitung Profit Margin = Total Profit / Total Omzet.</t>
  </si>
  <si>
    <t>LATIHAN 6 — DASHBOARD FINAL</t>
  </si>
  <si>
    <t>21</t>
  </si>
  <si>
    <t>Buat sheet baru bernama 'Dashboard'.</t>
  </si>
  <si>
    <t>22</t>
  </si>
  <si>
    <t>Letakkan 4–5 KPI di bagian paling atas.</t>
  </si>
  <si>
    <t>23</t>
  </si>
  <si>
    <t>Tambahkan grafik tren omzet bulanan.</t>
  </si>
  <si>
    <t>24</t>
  </si>
  <si>
    <t>Tambahkan Top 5 Produk berdasarkan Qty.</t>
  </si>
  <si>
    <t>25</t>
  </si>
  <si>
    <t>Tambahkan omzet berdasarkan Kategori.</t>
  </si>
  <si>
    <t>26</t>
  </si>
  <si>
    <t>Tambahkan omzet berdasarkan Metode Pembayaran.</t>
  </si>
  <si>
    <t>27</t>
  </si>
  <si>
    <t>Letakkan Slicer di sisi kanan dashboard.</t>
  </si>
  <si>
    <t>28</t>
  </si>
  <si>
    <t>Gunakan judul: 'SALES PERFORMANCE DASHBOARD'.</t>
  </si>
  <si>
    <t>29</t>
  </si>
  <si>
    <t>Gunakan tata letak yang rapi dan mudah dibaca.</t>
  </si>
  <si>
    <t>30</t>
  </si>
  <si>
    <t>Pastikan seluruh angka KPI berubah ketika Slicer digunakan.</t>
  </si>
  <si>
    <t>TANTANGAN</t>
  </si>
  <si>
    <t>A</t>
  </si>
  <si>
    <t>Temukan bulan dengan omzet tertinggi.</t>
  </si>
  <si>
    <t>B</t>
  </si>
  <si>
    <t>Temukan produk dengan profit tertinggi.</t>
  </si>
  <si>
    <t>C</t>
  </si>
  <si>
    <t>Temukan kategori dengan omzet terbesar.</t>
  </si>
  <si>
    <t>D</t>
  </si>
  <si>
    <t>Bandingkan Dine In, Take Away, dan Delivery.</t>
  </si>
  <si>
    <t>E</t>
  </si>
  <si>
    <t>Buat kesimpulan bisnis dalam 3–5 kalimat.</t>
  </si>
  <si>
    <t>AREA</t>
  </si>
  <si>
    <t>ISI</t>
  </si>
  <si>
    <t>VISUAL YANG DISARANKAN</t>
  </si>
  <si>
    <t>KPI 1</t>
  </si>
  <si>
    <t>Total Omzet</t>
  </si>
  <si>
    <t>Card/Kotak KPI</t>
  </si>
  <si>
    <t>KPI 2</t>
  </si>
  <si>
    <t>Total Profit</t>
  </si>
  <si>
    <t>KPI 3</t>
  </si>
  <si>
    <t>Total Qty</t>
  </si>
  <si>
    <t>KPI 4</t>
  </si>
  <si>
    <t>Jumlah Transaksi</t>
  </si>
  <si>
    <t>KPI 5</t>
  </si>
  <si>
    <t>Profit Margin</t>
  </si>
  <si>
    <t>Grafik 1</t>
  </si>
  <si>
    <t>Omzet per Bulan</t>
  </si>
  <si>
    <t>Line Chart</t>
  </si>
  <si>
    <t>Grafik 2</t>
  </si>
  <si>
    <t>Top 5 Produk berdasarkan Qty</t>
  </si>
  <si>
    <t>Bar Chart</t>
  </si>
  <si>
    <t>Grafik 3</t>
  </si>
  <si>
    <t>Omzet per Kategori</t>
  </si>
  <si>
    <t>Column Chart</t>
  </si>
  <si>
    <t>Grafik 4</t>
  </si>
  <si>
    <t>Omzet per Metode Pembayaran</t>
  </si>
  <si>
    <t>Doughnut/Column Chart</t>
  </si>
  <si>
    <t>Filter</t>
  </si>
  <si>
    <t>Kategori, Jenis Penjualan, Metode Pembayaran</t>
  </si>
  <si>
    <t>Slicer</t>
  </si>
  <si>
    <t>Catatan Penting</t>
  </si>
  <si>
    <t>Jangan mengubah Data Penjualan sebelum menyelesaikan latihan dasar.</t>
  </si>
  <si>
    <t>Setelah selesai, buat salinan workbook sebelum melakukan modifikasi lanjutan.</t>
  </si>
  <si>
    <t>Tujuan latihan adalah memahami hubungan Data → PivotTable → PivotChart → Slicer → Dashboard.</t>
  </si>
  <si>
    <t>Label Baris</t>
  </si>
  <si>
    <t>Total Keseluruhan</t>
  </si>
  <si>
    <t>Jumlah dari Profit</t>
  </si>
  <si>
    <t>Jumlah dari Omzet</t>
  </si>
  <si>
    <t>Jumlah dari Qty</t>
  </si>
  <si>
    <t>Jan</t>
  </si>
  <si>
    <t>Feb</t>
  </si>
  <si>
    <t>Mar</t>
  </si>
  <si>
    <t>Apr</t>
  </si>
  <si>
    <t>May</t>
  </si>
  <si>
    <t>Jun</t>
  </si>
  <si>
    <t>Jul</t>
  </si>
  <si>
    <t>Aug</t>
  </si>
  <si>
    <t>Sep</t>
  </si>
  <si>
    <t>Oct</t>
  </si>
  <si>
    <t>Nov</t>
  </si>
  <si>
    <t>Dec</t>
  </si>
  <si>
    <t>omzet dan profit</t>
  </si>
  <si>
    <t>jumlah transaksi</t>
  </si>
  <si>
    <t>Profit Margin = Jumlah Profit / Jumlah Omzet</t>
  </si>
  <si>
    <t>SALES PERFORMANCE DASHBOARD</t>
  </si>
  <si>
    <t>Row Labels</t>
  </si>
  <si>
    <t>Grand Total</t>
  </si>
  <si>
    <t>Total Produk Terjual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</si>
</sst>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5" x14ac:knownFonts="1">
    <font>
      <sz val="11"/>
      <color theme="1"/>
      <name val="Calibri"/>
      <family val="2"/>
      <scheme val="minor"/>
    </font>
    <font>
      <b/>
      <sz val="11"/>
      <color rgb="FFFFFFFF"/>
      <name val="Calibri"/>
      <family val="2"/>
    </font>
    <font>
      <b/>
      <sz val="16"/>
      <color rgb="FFFFFFFF"/>
      <name val="Calibri"/>
      <family val="2"/>
    </font>
    <font>
      <sz val="11"/>
      <color theme="1"/>
      <name val="Calibri"/>
      <family val="2"/>
      <scheme val="minor"/>
    </font>
    <font>
      <b/>
      <sz val="22"/>
      <color theme="1"/>
      <name val="Calibri"/>
      <family val="2"/>
      <scheme val="minor"/>
    </font>
  </fonts>
  <fills count="4">
    <fill>
      <patternFill patternType="none"/>
    </fill>
    <fill>
      <patternFill patternType="gray125"/>
    </fill>
    <fill>
      <patternFill patternType="solid">
        <fgColor rgb="FF1F4E78"/>
      </patternFill>
    </fill>
    <fill>
      <patternFill patternType="solid">
        <fgColor rgb="FF5B9BD5"/>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42">
    <xf numFmtId="0" fontId="0" fillId="0" borderId="0" xfId="0"/>
    <xf numFmtId="0" fontId="1" fillId="2" borderId="0" xfId="0" applyFont="1" applyFill="1" applyAlignment="1">
      <alignment horizontal="center"/>
    </xf>
    <xf numFmtId="14" fontId="0" fillId="0" borderId="0" xfId="0" applyNumberFormat="1"/>
    <xf numFmtId="3" fontId="0" fillId="0" borderId="0" xfId="0" applyNumberFormat="1"/>
    <xf numFmtId="0" fontId="0" fillId="0" borderId="0" xfId="0" applyAlignment="1">
      <alignment vertical="top" wrapText="1"/>
    </xf>
    <xf numFmtId="0" fontId="1" fillId="3" borderId="0" xfId="0" applyFont="1" applyFill="1" applyAlignment="1">
      <alignment vertical="top" wrapText="1"/>
    </xf>
    <xf numFmtId="0" fontId="1" fillId="2" borderId="0" xfId="0" applyFont="1" applyFill="1"/>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1" applyNumberFormat="1" applyFont="1"/>
    <xf numFmtId="0" fontId="0" fillId="0" borderId="0" xfId="0" applyAlignment="1">
      <alignment vertical="top"/>
    </xf>
    <xf numFmtId="164" fontId="0" fillId="0" borderId="0" xfId="0" applyNumberFormat="1"/>
    <xf numFmtId="14" fontId="0" fillId="0" borderId="0" xfId="0" applyNumberFormat="1" applyAlignment="1">
      <alignment horizontal="left"/>
    </xf>
    <xf numFmtId="10" fontId="0" fillId="0" borderId="0" xfId="2" applyNumberFormat="1" applyFont="1"/>
    <xf numFmtId="0" fontId="2" fillId="2" borderId="0" xfId="0" applyFont="1" applyFill="1" applyAlignment="1">
      <alignment vertical="top" wrapText="1"/>
    </xf>
    <xf numFmtId="0" fontId="0" fillId="0" borderId="0" xfId="0"/>
    <xf numFmtId="0" fontId="4" fillId="0" borderId="0" xfId="0" applyFont="1" applyAlignment="1">
      <alignment horizontal="center" vertical="center"/>
    </xf>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Border="1" applyAlignment="1"/>
    <xf numFmtId="0" fontId="0" fillId="0" borderId="7" xfId="0" applyBorder="1" applyAlignment="1"/>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0" xfId="0" applyBorder="1" applyAlignment="1">
      <alignment vertical="center"/>
    </xf>
    <xf numFmtId="10" fontId="0" fillId="0" borderId="0" xfId="0" applyNumberFormat="1" applyBorder="1" applyAlignment="1">
      <alignment vertical="center"/>
    </xf>
    <xf numFmtId="10" fontId="0" fillId="0" borderId="9" xfId="0" applyNumberFormat="1" applyBorder="1" applyAlignment="1">
      <alignment horizontal="center"/>
    </xf>
  </cellXfs>
  <cellStyles count="3">
    <cellStyle name="Comma" xfId="1" builtinId="3"/>
    <cellStyle name="Normal" xfId="0" builtinId="0"/>
    <cellStyle name="Percent" xfId="2" builtinId="5"/>
  </cellStyles>
  <dxfs count="58">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3" formatCode="#,##0"/>
    </dxf>
    <dxf>
      <numFmt numFmtId="3" formatCode="#,##0"/>
    </dxf>
    <dxf>
      <numFmt numFmtId="3" formatCode="#,##0"/>
    </dxf>
    <dxf>
      <numFmt numFmtId="3" formatCode="#,##0"/>
    </dxf>
    <dxf>
      <numFmt numFmtId="19" formatCode="dd/mm/yyyy"/>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[Latihan_PivotTable_Dashboard.xlsx]pivot!PivotTable7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Tren Omzet Bulanan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pivot!$F$21</c:f>
              <c:strCache>
                <c:ptCount val="1"/>
                <c:pt idx="0">
                  <c:v>Total</c:v>
                </c:pt>
              </c:strCache>
            </c:strRef>
          </c:tx>
          <c:spPr>
            <a:solidFill>
              <a:schemeClr val="accent1"/>
            </a:solidFill>
            <a:ln>
              <a:noFill/>
            </a:ln>
            <a:effectLst/>
          </c:spPr>
          <c:invertIfNegative val="0"/>
          <c:cat>
            <c:strRef>
              <c:f>pivot!$E$22:$E$34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pivot!$F$22:$F$34</c:f>
              <c:numCache>
                <c:formatCode>_-* #,##0_-;\-* #,##0_-;_-* "-"??_-;_-@_-</c:formatCode>
                <c:ptCount val="12"/>
                <c:pt idx="0">
                  <c:v>1187000</c:v>
                </c:pt>
                <c:pt idx="1">
                  <c:v>1693000</c:v>
                </c:pt>
                <c:pt idx="2">
                  <c:v>1144000</c:v>
                </c:pt>
                <c:pt idx="3">
                  <c:v>1010000</c:v>
                </c:pt>
                <c:pt idx="4">
                  <c:v>1985000</c:v>
                </c:pt>
                <c:pt idx="5">
                  <c:v>1281000</c:v>
                </c:pt>
                <c:pt idx="6">
                  <c:v>1852000</c:v>
                </c:pt>
                <c:pt idx="7">
                  <c:v>1586000</c:v>
                </c:pt>
                <c:pt idx="8">
                  <c:v>964000</c:v>
                </c:pt>
                <c:pt idx="9">
                  <c:v>1671000</c:v>
                </c:pt>
                <c:pt idx="10">
                  <c:v>1574000</c:v>
                </c:pt>
                <c:pt idx="11">
                  <c:v>1069000</c:v>
                </c:pt>
              </c:numCache>
            </c:numRef>
          </c:val>
          <c:extLst>
            <c:ext xmlns:c16="http://schemas.microsoft.com/office/drawing/2014/chart" uri="{C3380CC4-5D6E-409C-BE32-E72D297353CC}">
              <c16:uniqueId val="{00000000-DF9E-4821-B5D6-BF4AC5786FBD}"/>
            </c:ext>
          </c:extLst>
        </c:ser>
        <c:dLbls>
          <c:showLegendKey val="0"/>
          <c:showVal val="0"/>
          <c:showCatName val="0"/>
          <c:showSerName val="0"/>
          <c:showPercent val="0"/>
          <c:showBubbleSize val="0"/>
        </c:dLbls>
        <c:gapWidth val="219"/>
        <c:overlap val="-27"/>
        <c:axId val="1396437488"/>
        <c:axId val="1396436240"/>
      </c:barChart>
      <c:catAx>
        <c:axId val="139643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436240"/>
        <c:crosses val="autoZero"/>
        <c:auto val="1"/>
        <c:lblAlgn val="ctr"/>
        <c:lblOffset val="100"/>
        <c:noMultiLvlLbl val="0"/>
      </c:catAx>
      <c:valAx>
        <c:axId val="139643624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43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[Latihan_PivotTable_Dashboard.xlsx]pivot!PivotTable8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5 Produk Terlaris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pivot!$N$21</c:f>
              <c:strCache>
                <c:ptCount val="1"/>
                <c:pt idx="0">
                  <c:v>Total</c:v>
                </c:pt>
              </c:strCache>
            </c:strRef>
          </c:tx>
          <c:spPr>
            <a:solidFill>
              <a:schemeClr val="accent1"/>
            </a:solidFill>
            <a:ln>
              <a:noFill/>
            </a:ln>
            <a:effectLst/>
            <a:sp3d/>
          </c:spPr>
          <c:invertIfNegative val="0"/>
          <c:cat>
            <c:strRef>
              <c:f>pivot!$M$22:$M$27</c:f>
              <c:strCache>
                <c:ptCount val="5"/>
                <c:pt idx="0">
                  <c:v>Roti Sosis</c:v>
                </c:pt>
                <c:pt idx="1">
                  <c:v>Matcha Latte</c:v>
                </c:pt>
                <c:pt idx="2">
                  <c:v>Americano</c:v>
                </c:pt>
                <c:pt idx="3">
                  <c:v>Teh Manis</c:v>
                </c:pt>
                <c:pt idx="4">
                  <c:v>Kue Soes</c:v>
                </c:pt>
              </c:strCache>
            </c:strRef>
          </c:cat>
          <c:val>
            <c:numRef>
              <c:f>pivot!$N$22:$N$27</c:f>
              <c:numCache>
                <c:formatCode>General</c:formatCode>
                <c:ptCount val="5"/>
                <c:pt idx="0">
                  <c:v>142</c:v>
                </c:pt>
                <c:pt idx="1">
                  <c:v>138</c:v>
                </c:pt>
                <c:pt idx="2">
                  <c:v>131</c:v>
                </c:pt>
                <c:pt idx="3">
                  <c:v>130</c:v>
                </c:pt>
                <c:pt idx="4">
                  <c:v>129</c:v>
                </c:pt>
              </c:numCache>
            </c:numRef>
          </c:val>
          <c:extLst>
            <c:ext xmlns:c16="http://schemas.microsoft.com/office/drawing/2014/chart" uri="{C3380CC4-5D6E-409C-BE32-E72D297353CC}">
              <c16:uniqueId val="{00000000-EDBD-4EDA-9AA8-0CB77715EB8A}"/>
            </c:ext>
          </c:extLst>
        </c:ser>
        <c:dLbls>
          <c:showLegendKey val="0"/>
          <c:showVal val="0"/>
          <c:showCatName val="0"/>
          <c:showSerName val="0"/>
          <c:showPercent val="0"/>
          <c:showBubbleSize val="0"/>
        </c:dLbls>
        <c:gapWidth val="150"/>
        <c:shape val="box"/>
        <c:axId val="189959200"/>
        <c:axId val="189956288"/>
        <c:axId val="0"/>
      </c:bar3DChart>
      <c:catAx>
        <c:axId val="189959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6288"/>
        <c:crosses val="autoZero"/>
        <c:auto val="1"/>
        <c:lblAlgn val="ctr"/>
        <c:lblOffset val="100"/>
        <c:noMultiLvlLbl val="0"/>
      </c:catAx>
      <c:valAx>
        <c:axId val="189956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920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[Latihan_PivotTable_Dashboard.xlsx]pivot!PivotTable9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Omzet Berdasarkan Kategori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pivot!$Q$21</c:f>
              <c:strCache>
                <c:ptCount val="1"/>
                <c:pt idx="0">
                  <c:v>Total</c:v>
                </c:pt>
              </c:strCache>
            </c:strRef>
          </c:tx>
          <c:spPr>
            <a:solidFill>
              <a:schemeClr val="accent1"/>
            </a:solidFill>
            <a:ln>
              <a:noFill/>
            </a:ln>
            <a:effectLst/>
            <a:sp3d/>
          </c:spPr>
          <c:invertIfNegative val="0"/>
          <c:cat>
            <c:strRef>
              <c:f>pivot!$P$22:$P$24</c:f>
              <c:strCache>
                <c:ptCount val="2"/>
                <c:pt idx="0">
                  <c:v>Bakery</c:v>
                </c:pt>
                <c:pt idx="1">
                  <c:v>Minuman</c:v>
                </c:pt>
              </c:strCache>
            </c:strRef>
          </c:cat>
          <c:val>
            <c:numRef>
              <c:f>pivot!$Q$22:$Q$24</c:f>
              <c:numCache>
                <c:formatCode>_-* #,##0_-;\-* #,##0_-;_-* "-"??_-;_-@_-</c:formatCode>
                <c:ptCount val="2"/>
                <c:pt idx="0">
                  <c:v>6623000</c:v>
                </c:pt>
                <c:pt idx="1">
                  <c:v>10393000</c:v>
                </c:pt>
              </c:numCache>
            </c:numRef>
          </c:val>
          <c:extLst>
            <c:ext xmlns:c16="http://schemas.microsoft.com/office/drawing/2014/chart" uri="{C3380CC4-5D6E-409C-BE32-E72D297353CC}">
              <c16:uniqueId val="{00000000-4694-445A-B6A3-068DAD514966}"/>
            </c:ext>
          </c:extLst>
        </c:ser>
        <c:dLbls>
          <c:showLegendKey val="0"/>
          <c:showVal val="0"/>
          <c:showCatName val="0"/>
          <c:showSerName val="0"/>
          <c:showPercent val="0"/>
          <c:showBubbleSize val="0"/>
        </c:dLbls>
        <c:gapWidth val="150"/>
        <c:shape val="box"/>
        <c:axId val="250478416"/>
        <c:axId val="250479248"/>
        <c:axId val="0"/>
      </c:bar3DChart>
      <c:catAx>
        <c:axId val="250478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479248"/>
        <c:crosses val="autoZero"/>
        <c:auto val="1"/>
        <c:lblAlgn val="ctr"/>
        <c:lblOffset val="100"/>
        <c:noMultiLvlLbl val="0"/>
      </c:catAx>
      <c:valAx>
        <c:axId val="25047924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47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[Latihan_PivotTable_Dashboard.xlsx]pivot!PivotTable11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Omzet Berdasarkan Metode Pembayaran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pivot!$W$21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ED-4F5A-BDFC-E74CC0262E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ED-4F5A-BDFC-E74CC0262E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ED-4F5A-BDFC-E74CC0262E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ED-4F5A-BDFC-E74CC0262EA9}"/>
              </c:ext>
            </c:extLst>
          </c:dPt>
          <c:cat>
            <c:strRef>
              <c:f>pivot!$V$22:$V$26</c:f>
              <c:strCache>
                <c:ptCount val="4"/>
                <c:pt idx="0">
                  <c:v>Cash</c:v>
                </c:pt>
                <c:pt idx="1">
                  <c:v>Debit</c:v>
                </c:pt>
                <c:pt idx="2">
                  <c:v>E-Wallet</c:v>
                </c:pt>
                <c:pt idx="3">
                  <c:v>QRIS</c:v>
                </c:pt>
              </c:strCache>
            </c:strRef>
          </c:cat>
          <c:val>
            <c:numRef>
              <c:f>pivot!$W$22:$W$26</c:f>
              <c:numCache>
                <c:formatCode>_-* #,##0_-;\-* #,##0_-;_-* "-"??_-;_-@_-</c:formatCode>
                <c:ptCount val="4"/>
                <c:pt idx="0">
                  <c:v>2956000</c:v>
                </c:pt>
                <c:pt idx="1">
                  <c:v>4502000</c:v>
                </c:pt>
                <c:pt idx="2">
                  <c:v>5071000</c:v>
                </c:pt>
                <c:pt idx="3">
                  <c:v>4487000</c:v>
                </c:pt>
              </c:numCache>
            </c:numRef>
          </c:val>
          <c:extLst>
            <c:ext xmlns:c16="http://schemas.microsoft.com/office/drawing/2014/chart" uri="{C3380CC4-5D6E-409C-BE32-E72D297353CC}">
              <c16:uniqueId val="{00000008-A1ED-4F5A-BDFC-E74CC0262E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15240</xdr:rowOff>
    </xdr:from>
    <xdr:to>
      <xdr:col>6</xdr:col>
      <xdr:colOff>15240</xdr:colOff>
      <xdr:row>24</xdr:row>
      <xdr:rowOff>15240</xdr:rowOff>
    </xdr:to>
    <xdr:graphicFrame macro="">
      <xdr:nvGraphicFramePr>
        <xdr:cNvPr id="5" name="Bagan 2">
          <a:extLst>
            <a:ext uri="{FF2B5EF4-FFF2-40B4-BE49-F238E27FC236}">
              <a16:creationId xmlns:a16="http://schemas.microsoft.com/office/drawing/2014/main" id="{EDD94916-06E8-42AF-A8C5-E1C3E14D8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xdr:colOff>
      <xdr:row>9</xdr:row>
      <xdr:rowOff>15240</xdr:rowOff>
    </xdr:from>
    <xdr:to>
      <xdr:col>11</xdr:col>
      <xdr:colOff>594360</xdr:colOff>
      <xdr:row>24</xdr:row>
      <xdr:rowOff>15240</xdr:rowOff>
    </xdr:to>
    <xdr:graphicFrame macro="">
      <xdr:nvGraphicFramePr>
        <xdr:cNvPr id="7" name="Chart 6">
          <a:extLst>
            <a:ext uri="{FF2B5EF4-FFF2-40B4-BE49-F238E27FC236}">
              <a16:creationId xmlns:a16="http://schemas.microsoft.com/office/drawing/2014/main" id="{02F0253A-411C-40B9-85B6-2EFA0C620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22860</xdr:rowOff>
    </xdr:from>
    <xdr:to>
      <xdr:col>6</xdr:col>
      <xdr:colOff>22860</xdr:colOff>
      <xdr:row>39</xdr:row>
      <xdr:rowOff>22860</xdr:rowOff>
    </xdr:to>
    <xdr:graphicFrame macro="">
      <xdr:nvGraphicFramePr>
        <xdr:cNvPr id="8" name="Chart 7">
          <a:extLst>
            <a:ext uri="{FF2B5EF4-FFF2-40B4-BE49-F238E27FC236}">
              <a16:creationId xmlns:a16="http://schemas.microsoft.com/office/drawing/2014/main" id="{308B2F0E-1938-4338-BD9D-94C279F38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30480</xdr:colOff>
      <xdr:row>24</xdr:row>
      <xdr:rowOff>45720</xdr:rowOff>
    </xdr:from>
    <xdr:to>
      <xdr:col>11</xdr:col>
      <xdr:colOff>571500</xdr:colOff>
      <xdr:row>39</xdr:row>
      <xdr:rowOff>45720</xdr:rowOff>
    </xdr:to>
    <xdr:graphicFrame macro="">
      <xdr:nvGraphicFramePr>
        <xdr:cNvPr id="9" name="Chart 8">
          <a:extLst>
            <a:ext uri="{FF2B5EF4-FFF2-40B4-BE49-F238E27FC236}">
              <a16:creationId xmlns:a16="http://schemas.microsoft.com/office/drawing/2014/main" id="{8A2C230E-441B-46C6-A475-DB9DC7531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22860</xdr:colOff>
      <xdr:row>39</xdr:row>
      <xdr:rowOff>38101</xdr:rowOff>
    </xdr:from>
    <xdr:to>
      <xdr:col>3</xdr:col>
      <xdr:colOff>449580</xdr:colOff>
      <xdr:row>44</xdr:row>
      <xdr:rowOff>7621</xdr:rowOff>
    </xdr:to>
    <mc:AlternateContent xmlns:mc="http://schemas.openxmlformats.org/markup-compatibility/2006">
      <mc:Choice xmlns:a14="http://schemas.microsoft.com/office/drawing/2010/main" Requires="a14">
        <xdr:graphicFrame macro="">
          <xdr:nvGraphicFramePr>
            <xdr:cNvPr id="10" name="Kategori">
              <a:extLst>
                <a:ext uri="{FF2B5EF4-FFF2-40B4-BE49-F238E27FC236}">
                  <a16:creationId xmlns:a16="http://schemas.microsoft.com/office/drawing/2014/main" id="{014039ED-930C-4F6F-908C-F8CC8C097C29}"/>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dr:sp macro="" textlink="">
          <xdr:nvSpPr>
            <xdr:cNvPr id="0" name=""/>
            <xdr:cNvSpPr>
              <a:spLocks noTextEdit="1"/>
            </xdr:cNvSpPr>
          </xdr:nvSpPr>
          <xdr:spPr>
            <a:xfrm>
              <a:off x="22860" y="6447065"/>
              <a:ext cx="2263684" cy="8539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472440</xdr:colOff>
      <xdr:row>39</xdr:row>
      <xdr:rowOff>38100</xdr:rowOff>
    </xdr:from>
    <xdr:to>
      <xdr:col>7</xdr:col>
      <xdr:colOff>206640</xdr:colOff>
      <xdr:row>44</xdr:row>
      <xdr:rowOff>7620</xdr:rowOff>
    </xdr:to>
    <mc:AlternateContent xmlns:mc="http://schemas.openxmlformats.org/markup-compatibility/2006">
      <mc:Choice xmlns:a14="http://schemas.microsoft.com/office/drawing/2010/main" Requires="a14">
        <xdr:graphicFrame macro="">
          <xdr:nvGraphicFramePr>
            <xdr:cNvPr id="11" name="Jenis Penjualan">
              <a:extLst>
                <a:ext uri="{FF2B5EF4-FFF2-40B4-BE49-F238E27FC236}">
                  <a16:creationId xmlns:a16="http://schemas.microsoft.com/office/drawing/2014/main" id="{1B1BAB01-5D84-4317-B34F-F7C9A01E6996}"/>
                </a:ext>
              </a:extLst>
            </xdr:cNvPr>
            <xdr:cNvGraphicFramePr/>
          </xdr:nvGraphicFramePr>
          <xdr:xfrm>
            <a:off x="0" y="0"/>
            <a:ext cx="0" cy="0"/>
          </xdr:xfrm>
          <a:graphic>
            <a:graphicData uri="http://schemas.microsoft.com/office/drawing/2010/slicer">
              <sle:slicer xmlns:sle="http://schemas.microsoft.com/office/drawing/2010/slicer" name="Jenis Penjualan"/>
            </a:graphicData>
          </a:graphic>
        </xdr:graphicFrame>
      </mc:Choice>
      <mc:Fallback>
        <xdr:sp macro="" textlink="">
          <xdr:nvSpPr>
            <xdr:cNvPr id="0" name=""/>
            <xdr:cNvSpPr>
              <a:spLocks noTextEdit="1"/>
            </xdr:cNvSpPr>
          </xdr:nvSpPr>
          <xdr:spPr>
            <a:xfrm>
              <a:off x="2309404" y="6447064"/>
              <a:ext cx="2183486" cy="8539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266700</xdr:colOff>
      <xdr:row>39</xdr:row>
      <xdr:rowOff>38098</xdr:rowOff>
    </xdr:from>
    <xdr:to>
      <xdr:col>12</xdr:col>
      <xdr:colOff>7620</xdr:colOff>
      <xdr:row>44</xdr:row>
      <xdr:rowOff>7619</xdr:rowOff>
    </xdr:to>
    <mc:AlternateContent xmlns:mc="http://schemas.openxmlformats.org/markup-compatibility/2006">
      <mc:Choice xmlns:a14="http://schemas.microsoft.com/office/drawing/2010/main" Requires="a14">
        <xdr:graphicFrame macro="">
          <xdr:nvGraphicFramePr>
            <xdr:cNvPr id="12" name="Metode Pembayaran">
              <a:extLst>
                <a:ext uri="{FF2B5EF4-FFF2-40B4-BE49-F238E27FC236}">
                  <a16:creationId xmlns:a16="http://schemas.microsoft.com/office/drawing/2014/main" id="{2D6D9B82-7907-4E77-BCA3-FF47D599B214}"/>
                </a:ext>
              </a:extLst>
            </xdr:cNvPr>
            <xdr:cNvGraphicFramePr/>
          </xdr:nvGraphicFramePr>
          <xdr:xfrm>
            <a:off x="0" y="0"/>
            <a:ext cx="0" cy="0"/>
          </xdr:xfrm>
          <a:graphic>
            <a:graphicData uri="http://schemas.microsoft.com/office/drawing/2010/slicer">
              <sle:slicer xmlns:sle="http://schemas.microsoft.com/office/drawing/2010/slicer" name="Metode Pembayaran"/>
            </a:graphicData>
          </a:graphic>
        </xdr:graphicFrame>
      </mc:Choice>
      <mc:Fallback>
        <xdr:sp macro="" textlink="">
          <xdr:nvSpPr>
            <xdr:cNvPr id="0" name=""/>
            <xdr:cNvSpPr>
              <a:spLocks noTextEdit="1"/>
            </xdr:cNvSpPr>
          </xdr:nvSpPr>
          <xdr:spPr>
            <a:xfrm>
              <a:off x="4552950" y="6447062"/>
              <a:ext cx="2802527" cy="853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Book Hype AMD" refreshedDate="46245.397063194447" createdVersion="7" refreshedVersion="7" minRefreshableVersion="3" recordCount="300" xr:uid="{B422F0F8-A48F-47CA-B12D-37F357E8FA1D}">
  <cacheSource type="worksheet">
    <worksheetSource ref="A1:K301" sheet="Data Penjualan"/>
  </cacheSource>
  <cacheFields count="11">
    <cacheField name="Tanggal" numFmtId="14">
      <sharedItems containsSemiMixedTypes="0" containsNonDate="0" containsDate="1" containsString="0" minDate="2025-01-02T00:00:00" maxDate="2025-12-28T00:00:00"/>
    </cacheField>
    <cacheField name="No Invoice" numFmtId="0">
      <sharedItems/>
    </cacheField>
    <cacheField name="Produk" numFmtId="0">
      <sharedItems/>
    </cacheField>
    <cacheField name="Kategori" numFmtId="0">
      <sharedItems count="3">
        <s v="Minuman"/>
        <s v="Bakery"/>
        <s v="Pastry"/>
      </sharedItems>
    </cacheField>
    <cacheField name="Jenis Penjualan" numFmtId="0">
      <sharedItems/>
    </cacheField>
    <cacheField name="Metode Pembayaran" numFmtId="0">
      <sharedItems/>
    </cacheField>
    <cacheField name="Qty" numFmtId="0">
      <sharedItems containsSemiMixedTypes="0" containsString="0" containsNumber="1" containsInteger="1" minValue="1" maxValue="8"/>
    </cacheField>
    <cacheField name="Harga Jual" numFmtId="3">
      <sharedItems containsSemiMixedTypes="0" containsString="0" containsNumber="1" containsInteger="1" minValue="10000" maxValue="25000"/>
    </cacheField>
    <cacheField name="Harga Modal" numFmtId="3">
      <sharedItems containsSemiMixedTypes="0" containsString="0" containsNumber="1" containsInteger="1" minValue="4500" maxValue="13000"/>
    </cacheField>
    <cacheField name="Omzet" numFmtId="3">
      <sharedItems containsSemiMixedTypes="0" containsString="0" containsNumber="1" containsInteger="1" minValue="10000" maxValue="176000"/>
    </cacheField>
    <cacheField name="Profit" numFmtId="3">
      <sharedItems containsSemiMixedTypes="0" containsString="0" containsNumber="1" containsInteger="1" minValue="5500" maxValue="84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Book Hype AMD" refreshedDate="46245.405866203706" createdVersion="7" refreshedVersion="7" minRefreshableVersion="3" recordCount="300" xr:uid="{8D5C7A1D-366D-4005-93F9-4013BF38C7F0}">
  <cacheSource type="worksheet">
    <worksheetSource name="data"/>
  </cacheSource>
  <cacheFields count="11">
    <cacheField name="Tanggal" numFmtId="14">
      <sharedItems containsSemiMixedTypes="0" containsNonDate="0" containsDate="1" containsString="0" minDate="2025-01-02T00:00:00" maxDate="2025-12-28T00:00:00" count="203">
        <d v="2025-11-24T00:00:00"/>
        <d v="2025-05-06T00:00:00"/>
        <d v="2025-12-13T00:00:00"/>
        <d v="2025-01-17T00:00:00"/>
        <d v="2025-09-16T00:00:00"/>
        <d v="2025-11-29T00:00:00"/>
        <d v="2025-10-29T00:00:00"/>
        <d v="2025-06-24T00:00:00"/>
        <d v="2025-02-22T00:00:00"/>
        <d v="2025-06-26T00:00:00"/>
        <d v="2025-10-02T00:00:00"/>
        <d v="2025-11-18T00:00:00"/>
        <d v="2025-12-27T00:00:00"/>
        <d v="2025-05-29T00:00:00"/>
        <d v="2025-05-23T00:00:00"/>
        <d v="2025-07-01T00:00:00"/>
        <d v="2025-11-08T00:00:00"/>
        <d v="2025-03-25T00:00:00"/>
        <d v="2025-12-17T00:00:00"/>
        <d v="2025-06-11T00:00:00"/>
        <d v="2025-10-18T00:00:00"/>
        <d v="2025-07-22T00:00:00"/>
        <d v="2025-03-13T00:00:00"/>
        <d v="2025-10-26T00:00:00"/>
        <d v="2025-09-18T00:00:00"/>
        <d v="2025-03-20T00:00:00"/>
        <d v="2025-11-02T00:00:00"/>
        <d v="2025-09-28T00:00:00"/>
        <d v="2025-12-16T00:00:00"/>
        <d v="2025-02-27T00:00:00"/>
        <d v="2025-01-02T00:00:00"/>
        <d v="2025-09-17T00:00:00"/>
        <d v="2025-11-03T00:00:00"/>
        <d v="2025-07-05T00:00:00"/>
        <d v="2025-02-05T00:00:00"/>
        <d v="2025-10-09T00:00:00"/>
        <d v="2025-04-19T00:00:00"/>
        <d v="2025-07-24T00:00:00"/>
        <d v="2025-03-03T00:00:00"/>
        <d v="2025-01-11T00:00:00"/>
        <d v="2025-01-04T00:00:00"/>
        <d v="2025-10-20T00:00:00"/>
        <d v="2025-07-28T00:00:00"/>
        <d v="2025-12-11T00:00:00"/>
        <d v="2025-06-23T00:00:00"/>
        <d v="2025-02-17T00:00:00"/>
        <d v="2025-09-04T00:00:00"/>
        <d v="2025-07-14T00:00:00"/>
        <d v="2025-05-27T00:00:00"/>
        <d v="2025-06-01T00:00:00"/>
        <d v="2025-06-10T00:00:00"/>
        <d v="2025-09-15T00:00:00"/>
        <d v="2025-04-06T00:00:00"/>
        <d v="2025-07-26T00:00:00"/>
        <d v="2025-11-14T00:00:00"/>
        <d v="2025-05-14T00:00:00"/>
        <d v="2025-02-07T00:00:00"/>
        <d v="2025-03-09T00:00:00"/>
        <d v="2025-05-26T00:00:00"/>
        <d v="2025-11-10T00:00:00"/>
        <d v="2025-12-06T00:00:00"/>
        <d v="2025-02-24T00:00:00"/>
        <d v="2025-11-06T00:00:00"/>
        <d v="2025-11-21T00:00:00"/>
        <d v="2025-06-20T00:00:00"/>
        <d v="2025-10-10T00:00:00"/>
        <d v="2025-07-09T00:00:00"/>
        <d v="2025-01-22T00:00:00"/>
        <d v="2025-04-18T00:00:00"/>
        <d v="2025-05-02T00:00:00"/>
        <d v="2025-04-02T00:00:00"/>
        <d v="2025-05-17T00:00:00"/>
        <d v="2025-08-29T00:00:00"/>
        <d v="2025-06-06T00:00:00"/>
        <d v="2025-06-29T00:00:00"/>
        <d v="2025-01-15T00:00:00"/>
        <d v="2025-01-20T00:00:00"/>
        <d v="2025-08-12T00:00:00"/>
        <d v="2025-05-11T00:00:00"/>
        <d v="2025-07-06T00:00:00"/>
        <d v="2025-11-16T00:00:00"/>
        <d v="2025-12-23T00:00:00"/>
        <d v="2025-12-07T00:00:00"/>
        <d v="2025-07-27T00:00:00"/>
        <d v="2025-08-15T00:00:00"/>
        <d v="2025-03-28T00:00:00"/>
        <d v="2025-03-17T00:00:00"/>
        <d v="2025-11-09T00:00:00"/>
        <d v="2025-04-23T00:00:00"/>
        <d v="2025-03-04T00:00:00"/>
        <d v="2025-03-23T00:00:00"/>
        <d v="2025-05-07T00:00:00"/>
        <d v="2025-11-17T00:00:00"/>
        <d v="2025-10-04T00:00:00"/>
        <d v="2025-07-16T00:00:00"/>
        <d v="2025-02-02T00:00:00"/>
        <d v="2025-08-01T00:00:00"/>
        <d v="2025-10-27T00:00:00"/>
        <d v="2025-09-02T00:00:00"/>
        <d v="2025-08-03T00:00:00"/>
        <d v="2025-05-20T00:00:00"/>
        <d v="2025-06-22T00:00:00"/>
        <d v="2025-08-28T00:00:00"/>
        <d v="2025-02-12T00:00:00"/>
        <d v="2025-04-04T00:00:00"/>
        <d v="2025-01-10T00:00:00"/>
        <d v="2025-04-13T00:00:00"/>
        <d v="2025-08-31T00:00:00"/>
        <d v="2025-08-27T00:00:00"/>
        <d v="2025-11-07T00:00:00"/>
        <d v="2025-02-25T00:00:00"/>
        <d v="2025-07-23T00:00:00"/>
        <d v="2025-10-17T00:00:00"/>
        <d v="2025-12-05T00:00:00"/>
        <d v="2025-01-07T00:00:00"/>
        <d v="2025-08-11T00:00:00"/>
        <d v="2025-02-14T00:00:00"/>
        <d v="2025-10-19T00:00:00"/>
        <d v="2025-09-11T00:00:00"/>
        <d v="2025-10-12T00:00:00"/>
        <d v="2025-11-27T00:00:00"/>
        <d v="2025-08-06T00:00:00"/>
        <d v="2025-05-19T00:00:00"/>
        <d v="2025-04-09T00:00:00"/>
        <d v="2025-02-21T00:00:00"/>
        <d v="2025-05-21T00:00:00"/>
        <d v="2025-12-24T00:00:00"/>
        <d v="2025-10-21T00:00:00"/>
        <d v="2025-02-28T00:00:00"/>
        <d v="2025-10-23T00:00:00"/>
        <d v="2025-10-16T00:00:00"/>
        <d v="2025-10-13T00:00:00"/>
        <d v="2025-08-19T00:00:00"/>
        <d v="2025-04-17T00:00:00"/>
        <d v="2025-03-22T00:00:00"/>
        <d v="2025-05-30T00:00:00"/>
        <d v="2025-12-26T00:00:00"/>
        <d v="2025-05-16T00:00:00"/>
        <d v="2025-10-06T00:00:00"/>
        <d v="2025-02-06T00:00:00"/>
        <d v="2025-08-13T00:00:00"/>
        <d v="2025-12-25T00:00:00"/>
        <d v="2025-12-12T00:00:00"/>
        <d v="2025-02-16T00:00:00"/>
        <d v="2025-06-14T00:00:00"/>
        <d v="2025-07-30T00:00:00"/>
        <d v="2025-05-10T00:00:00"/>
        <d v="2025-12-03T00:00:00"/>
        <d v="2025-04-07T00:00:00"/>
        <d v="2025-06-09T00:00:00"/>
        <d v="2025-11-28T00:00:00"/>
        <d v="2025-08-30T00:00:00"/>
        <d v="2025-06-02T00:00:00"/>
        <d v="2025-10-03T00:00:00"/>
        <d v="2025-08-22T00:00:00"/>
        <d v="2025-06-12T00:00:00"/>
        <d v="2025-07-17T00:00:00"/>
        <d v="2025-03-06T00:00:00"/>
        <d v="2025-07-29T00:00:00"/>
        <d v="2025-06-18T00:00:00"/>
        <d v="2025-10-05T00:00:00"/>
        <d v="2025-04-27T00:00:00"/>
        <d v="2025-12-22T00:00:00"/>
        <d v="2025-01-29T00:00:00"/>
        <d v="2025-03-16T00:00:00"/>
        <d v="2025-03-29T00:00:00"/>
        <d v="2025-04-29T00:00:00"/>
        <d v="2025-12-08T00:00:00"/>
        <d v="2025-04-12T00:00:00"/>
        <d v="2025-07-15T00:00:00"/>
        <d v="2025-01-18T00:00:00"/>
        <d v="2025-03-31T00:00:00"/>
        <d v="2025-09-29T00:00:00"/>
        <d v="2025-02-08T00:00:00"/>
        <d v="2025-11-23T00:00:00"/>
        <d v="2025-05-01T00:00:00"/>
        <d v="2025-05-24T00:00:00"/>
        <d v="2025-08-16T00:00:00"/>
        <d v="2025-05-22T00:00:00"/>
        <d v="2025-05-05T00:00:00"/>
        <d v="2025-10-28T00:00:00"/>
        <d v="2025-01-09T00:00:00"/>
        <d v="2025-08-04T00:00:00"/>
        <d v="2025-09-01T00:00:00"/>
        <d v="2025-08-20T00:00:00"/>
        <d v="2025-12-04T00:00:00"/>
        <d v="2025-02-01T00:00:00"/>
        <d v="2025-09-09T00:00:00"/>
        <d v="2025-08-21T00:00:00"/>
        <d v="2025-12-02T00:00:00"/>
        <d v="2025-12-18T00:00:00"/>
        <d v="2025-03-08T00:00:00"/>
        <d v="2025-12-10T00:00:00"/>
        <d v="2025-01-27T00:00:00"/>
        <d v="2025-04-25T00:00:00"/>
        <d v="2025-07-12T00:00:00"/>
        <d v="2025-09-06T00:00:00"/>
        <d v="2025-04-21T00:00:00"/>
        <d v="2025-02-26T00:00:00"/>
        <d v="2025-01-24T00:00:00"/>
        <d v="2025-09-12T00:00:00"/>
        <d v="2025-08-24T00:00:00"/>
        <d v="2025-12-20T00:00:00"/>
      </sharedItems>
      <fieldGroup base="0">
        <rangePr groupBy="months" startDate="2025-01-02T00:00:00" endDate="2025-12-28T00:00:00"/>
        <groupItems count="14">
          <s v="&lt;02/01/2025"/>
          <s v="Jan"/>
          <s v="Feb"/>
          <s v="Mar"/>
          <s v="Apr"/>
          <s v="May"/>
          <s v="Jun"/>
          <s v="Jul"/>
          <s v="Aug"/>
          <s v="Sep"/>
          <s v="Oct"/>
          <s v="Nov"/>
          <s v="Dec"/>
          <s v="&gt;28/12/2025"/>
        </groupItems>
      </fieldGroup>
    </cacheField>
    <cacheField name="No Invoice" numFmtId="0">
      <sharedItems count="300">
        <s v="INV-0001"/>
        <s v="INV-0002"/>
        <s v="INV-0003"/>
        <s v="INV-0004"/>
        <s v="INV-0005"/>
        <s v="INV-0006"/>
        <s v="INV-0007"/>
        <s v="INV-0008"/>
        <s v="INV-0009"/>
        <s v="INV-0010"/>
        <s v="INV-0011"/>
        <s v="INV-0012"/>
        <s v="INV-0013"/>
        <s v="INV-0014"/>
        <s v="INV-0015"/>
        <s v="INV-0016"/>
        <s v="INV-0017"/>
        <s v="INV-0018"/>
        <s v="INV-0019"/>
        <s v="INV-0020"/>
        <s v="INV-0021"/>
        <s v="INV-0022"/>
        <s v="INV-0023"/>
        <s v="INV-0024"/>
        <s v="INV-0025"/>
        <s v="INV-0026"/>
        <s v="INV-0027"/>
        <s v="INV-0028"/>
        <s v="INV-0029"/>
        <s v="INV-0030"/>
        <s v="INV-0031"/>
        <s v="INV-0032"/>
        <s v="INV-0033"/>
        <s v="INV-0034"/>
        <s v="INV-0035"/>
        <s v="INV-0036"/>
        <s v="INV-0037"/>
        <s v="INV-0038"/>
        <s v="INV-0039"/>
        <s v="INV-0040"/>
        <s v="INV-0041"/>
        <s v="INV-0042"/>
        <s v="INV-0043"/>
        <s v="INV-0044"/>
        <s v="INV-0045"/>
        <s v="INV-0046"/>
        <s v="INV-0047"/>
        <s v="INV-0048"/>
        <s v="INV-0049"/>
        <s v="INV-0050"/>
        <s v="INV-0051"/>
        <s v="INV-0052"/>
        <s v="INV-0053"/>
        <s v="INV-0054"/>
        <s v="INV-0055"/>
        <s v="INV-0056"/>
        <s v="INV-0057"/>
        <s v="INV-0058"/>
        <s v="INV-0059"/>
        <s v="INV-0060"/>
        <s v="INV-0061"/>
        <s v="INV-0062"/>
        <s v="INV-0063"/>
        <s v="INV-0064"/>
        <s v="INV-0065"/>
        <s v="INV-0066"/>
        <s v="INV-0067"/>
        <s v="INV-0068"/>
        <s v="INV-0069"/>
        <s v="INV-0070"/>
        <s v="INV-0071"/>
        <s v="INV-0072"/>
        <s v="INV-0073"/>
        <s v="INV-0074"/>
        <s v="INV-0075"/>
        <s v="INV-0076"/>
        <s v="INV-0077"/>
        <s v="INV-0078"/>
        <s v="INV-0079"/>
        <s v="INV-0080"/>
        <s v="INV-0081"/>
        <s v="INV-0082"/>
        <s v="INV-0083"/>
        <s v="INV-0084"/>
        <s v="INV-0085"/>
        <s v="INV-0086"/>
        <s v="INV-0087"/>
        <s v="INV-0088"/>
        <s v="INV-0089"/>
        <s v="INV-0090"/>
        <s v="INV-0091"/>
        <s v="INV-0092"/>
        <s v="INV-0093"/>
        <s v="INV-0094"/>
        <s v="INV-0095"/>
        <s v="INV-0096"/>
        <s v="INV-0097"/>
        <s v="INV-0098"/>
        <s v="INV-0099"/>
        <s v="INV-0100"/>
        <s v="INV-0101"/>
        <s v="INV-0102"/>
        <s v="INV-0103"/>
        <s v="INV-0104"/>
        <s v="INV-0105"/>
        <s v="INV-0106"/>
        <s v="INV-0107"/>
        <s v="INV-0108"/>
        <s v="INV-0109"/>
        <s v="INV-0110"/>
        <s v="INV-0111"/>
        <s v="INV-0112"/>
        <s v="INV-0113"/>
        <s v="INV-0114"/>
        <s v="INV-0115"/>
        <s v="INV-0116"/>
        <s v="INV-0117"/>
        <s v="INV-0118"/>
        <s v="INV-0119"/>
        <s v="INV-0120"/>
        <s v="INV-0121"/>
        <s v="INV-0122"/>
        <s v="INV-0123"/>
        <s v="INV-0124"/>
        <s v="INV-0125"/>
        <s v="INV-0126"/>
        <s v="INV-0127"/>
        <s v="INV-0128"/>
        <s v="INV-0129"/>
        <s v="INV-0130"/>
        <s v="INV-0131"/>
        <s v="INV-0132"/>
        <s v="INV-0133"/>
        <s v="INV-0134"/>
        <s v="INV-0135"/>
        <s v="INV-0136"/>
        <s v="INV-0137"/>
        <s v="INV-0138"/>
        <s v="INV-0139"/>
        <s v="INV-0140"/>
        <s v="INV-0141"/>
        <s v="INV-0142"/>
        <s v="INV-0143"/>
        <s v="INV-0144"/>
        <s v="INV-0145"/>
        <s v="INV-0146"/>
        <s v="INV-0147"/>
        <s v="INV-0148"/>
        <s v="INV-0149"/>
        <s v="INV-0150"/>
        <s v="INV-0151"/>
        <s v="INV-0152"/>
        <s v="INV-0153"/>
        <s v="INV-0154"/>
        <s v="INV-0155"/>
        <s v="INV-0156"/>
        <s v="INV-0157"/>
        <s v="INV-0158"/>
        <s v="INV-0159"/>
        <s v="INV-0160"/>
        <s v="INV-0161"/>
        <s v="INV-0162"/>
        <s v="INV-0163"/>
        <s v="INV-0164"/>
        <s v="INV-0165"/>
        <s v="INV-0166"/>
        <s v="INV-0167"/>
        <s v="INV-0168"/>
        <s v="INV-0169"/>
        <s v="INV-0170"/>
        <s v="INV-0171"/>
        <s v="INV-0172"/>
        <s v="INV-0173"/>
        <s v="INV-0174"/>
        <s v="INV-0175"/>
        <s v="INV-0176"/>
        <s v="INV-0177"/>
        <s v="INV-0178"/>
        <s v="INV-0179"/>
        <s v="INV-0180"/>
        <s v="INV-0181"/>
        <s v="INV-0182"/>
        <s v="INV-0183"/>
        <s v="INV-0184"/>
        <s v="INV-0185"/>
        <s v="INV-0186"/>
        <s v="INV-0187"/>
        <s v="INV-0188"/>
        <s v="INV-0189"/>
        <s v="INV-0190"/>
        <s v="INV-0191"/>
        <s v="INV-0192"/>
        <s v="INV-0193"/>
        <s v="INV-0194"/>
        <s v="INV-0195"/>
        <s v="INV-0196"/>
        <s v="INV-0197"/>
        <s v="INV-0198"/>
        <s v="INV-0199"/>
        <s v="INV-0200"/>
        <s v="INV-0201"/>
        <s v="INV-0202"/>
        <s v="INV-0203"/>
        <s v="INV-0204"/>
        <s v="INV-0205"/>
        <s v="INV-0206"/>
        <s v="INV-0207"/>
        <s v="INV-0208"/>
        <s v="INV-0209"/>
        <s v="INV-0210"/>
        <s v="INV-0211"/>
        <s v="INV-0212"/>
        <s v="INV-0213"/>
        <s v="INV-0214"/>
        <s v="INV-0215"/>
        <s v="INV-0216"/>
        <s v="INV-0217"/>
        <s v="INV-0218"/>
        <s v="INV-0219"/>
        <s v="INV-0220"/>
        <s v="INV-0221"/>
        <s v="INV-0222"/>
        <s v="INV-0223"/>
        <s v="INV-0224"/>
        <s v="INV-0225"/>
        <s v="INV-0226"/>
        <s v="INV-0227"/>
        <s v="INV-0228"/>
        <s v="INV-0229"/>
        <s v="INV-0230"/>
        <s v="INV-0231"/>
        <s v="INV-0232"/>
        <s v="INV-0233"/>
        <s v="INV-0234"/>
        <s v="INV-0235"/>
        <s v="INV-0236"/>
        <s v="INV-0237"/>
        <s v="INV-0238"/>
        <s v="INV-0239"/>
        <s v="INV-0240"/>
        <s v="INV-0241"/>
        <s v="INV-0242"/>
        <s v="INV-0243"/>
        <s v="INV-0244"/>
        <s v="INV-0245"/>
        <s v="INV-0246"/>
        <s v="INV-0247"/>
        <s v="INV-0248"/>
        <s v="INV-0249"/>
        <s v="INV-0250"/>
        <s v="INV-0251"/>
        <s v="INV-0252"/>
        <s v="INV-0253"/>
        <s v="INV-0254"/>
        <s v="INV-0255"/>
        <s v="INV-0256"/>
        <s v="INV-0257"/>
        <s v="INV-0258"/>
        <s v="INV-0259"/>
        <s v="INV-0260"/>
        <s v="INV-0261"/>
        <s v="INV-0262"/>
        <s v="INV-0263"/>
        <s v="INV-0264"/>
        <s v="INV-0265"/>
        <s v="INV-0266"/>
        <s v="INV-0267"/>
        <s v="INV-0268"/>
        <s v="INV-0269"/>
        <s v="INV-0270"/>
        <s v="INV-0271"/>
        <s v="INV-0272"/>
        <s v="INV-0273"/>
        <s v="INV-0274"/>
        <s v="INV-0275"/>
        <s v="INV-0276"/>
        <s v="INV-0277"/>
        <s v="INV-0278"/>
        <s v="INV-0279"/>
        <s v="INV-0280"/>
        <s v="INV-0281"/>
        <s v="INV-0282"/>
        <s v="INV-0283"/>
        <s v="INV-0284"/>
        <s v="INV-0285"/>
        <s v="INV-0286"/>
        <s v="INV-0287"/>
        <s v="INV-0288"/>
        <s v="INV-0289"/>
        <s v="INV-0290"/>
        <s v="INV-0291"/>
        <s v="INV-0292"/>
        <s v="INV-0293"/>
        <s v="INV-0294"/>
        <s v="INV-0295"/>
        <s v="INV-0296"/>
        <s v="INV-0297"/>
        <s v="INV-0298"/>
        <s v="INV-0299"/>
        <s v="INV-0300"/>
      </sharedItems>
    </cacheField>
    <cacheField name="Produk" numFmtId="0">
      <sharedItems count="12">
        <s v="Americano"/>
        <s v="Matcha Latte"/>
        <s v="Kue Soes"/>
        <s v="Kopi Susu"/>
        <s v="Roti Keju"/>
        <s v="Teh Manis"/>
        <s v="Brownies"/>
        <s v="Roti Sosis"/>
        <s v="Croissant"/>
        <s v="Donat"/>
        <s v="Roti Cokelat"/>
        <s v="Cappuccino"/>
      </sharedItems>
    </cacheField>
    <cacheField name="Kategori" numFmtId="0">
      <sharedItems count="3">
        <s v="Minuman"/>
        <s v="Bakery"/>
        <s v="Pastry"/>
      </sharedItems>
    </cacheField>
    <cacheField name="Jenis Penjualan" numFmtId="0">
      <sharedItems count="3">
        <s v="Delivery"/>
        <s v="Dine In"/>
        <s v="Take Away"/>
      </sharedItems>
    </cacheField>
    <cacheField name="Metode Pembayaran" numFmtId="0">
      <sharedItems count="4">
        <s v="Debit"/>
        <s v="Cash"/>
        <s v="E-Wallet"/>
        <s v="QRIS"/>
      </sharedItems>
    </cacheField>
    <cacheField name="Qty" numFmtId="0">
      <sharedItems containsSemiMixedTypes="0" containsString="0" containsNumber="1" containsInteger="1" minValue="1" maxValue="8" count="8">
        <n v="1"/>
        <n v="3"/>
        <n v="2"/>
        <n v="7"/>
        <n v="5"/>
        <n v="6"/>
        <n v="4"/>
        <n v="8"/>
      </sharedItems>
    </cacheField>
    <cacheField name="Harga Jual" numFmtId="3">
      <sharedItems containsSemiMixedTypes="0" containsString="0" containsNumber="1" containsInteger="1" minValue="10000" maxValue="25000"/>
    </cacheField>
    <cacheField name="Harga Modal" numFmtId="3">
      <sharedItems containsSemiMixedTypes="0" containsString="0" containsNumber="1" containsInteger="1" minValue="4500" maxValue="13000"/>
    </cacheField>
    <cacheField name="Omzet" numFmtId="3">
      <sharedItems containsSemiMixedTypes="0" containsString="0" containsNumber="1" containsInteger="1" minValue="10000" maxValue="176000" count="55">
        <n v="15000"/>
        <n v="66000"/>
        <n v="24000"/>
        <n v="36000"/>
        <n v="84000"/>
        <n v="10000"/>
        <n v="30000"/>
        <n v="105000"/>
        <n v="75000"/>
        <n v="90000"/>
        <n v="60000"/>
        <n v="150000"/>
        <n v="110000"/>
        <n v="51000"/>
        <n v="175000"/>
        <n v="18000"/>
        <n v="72000"/>
        <n v="136000"/>
        <n v="50000"/>
        <n v="70000"/>
        <n v="54000"/>
        <n v="144000"/>
        <n v="40000"/>
        <n v="42000"/>
        <n v="100000"/>
        <n v="56000"/>
        <n v="102000"/>
        <n v="88000"/>
        <n v="120000"/>
        <n v="44000"/>
        <n v="34000"/>
        <n v="154000"/>
        <n v="126000"/>
        <n v="96000"/>
        <n v="22000"/>
        <n v="132000"/>
        <n v="160000"/>
        <n v="17000"/>
        <n v="45000"/>
        <n v="125000"/>
        <n v="68000"/>
        <n v="98000"/>
        <n v="119000"/>
        <n v="14000"/>
        <n v="85000"/>
        <n v="12000"/>
        <n v="108000"/>
        <n v="20000"/>
        <n v="48000"/>
        <n v="80000"/>
        <n v="176000"/>
        <n v="140000"/>
        <n v="112000"/>
        <n v="25000"/>
        <n v="28000"/>
      </sharedItems>
    </cacheField>
    <cacheField name="Profit" numFmtId="3">
      <sharedItems containsSemiMixedTypes="0" containsString="0" containsNumber="1" containsInteger="1" minValue="5500" maxValue="84000"/>
    </cacheField>
  </cacheFields>
  <extLst>
    <ext xmlns:x14="http://schemas.microsoft.com/office/spreadsheetml/2009/9/main" uri="{725AE2AE-9491-48be-B2B4-4EB974FC3084}">
      <x14:pivotCacheDefinition pivotCacheId="276534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d v="2025-11-24T00:00:00"/>
    <s v="INV-0001"/>
    <s v="Americano"/>
    <x v="0"/>
    <s v="Delivery"/>
    <s v="Debit"/>
    <n v="1"/>
    <n v="15000"/>
    <n v="8000"/>
    <n v="15000"/>
    <n v="7000"/>
  </r>
  <r>
    <d v="2025-05-06T00:00:00"/>
    <s v="INV-0002"/>
    <s v="Matcha Latte"/>
    <x v="0"/>
    <s v="Delivery"/>
    <s v="Cash"/>
    <n v="3"/>
    <n v="22000"/>
    <n v="12000"/>
    <n v="66000"/>
    <n v="30000"/>
  </r>
  <r>
    <d v="2025-12-13T00:00:00"/>
    <s v="INV-0003"/>
    <s v="Kue Soes"/>
    <x v="1"/>
    <s v="Delivery"/>
    <s v="E-Wallet"/>
    <n v="2"/>
    <n v="12000"/>
    <n v="5500"/>
    <n v="24000"/>
    <n v="13000"/>
  </r>
  <r>
    <d v="2025-01-17T00:00:00"/>
    <s v="INV-0004"/>
    <s v="Kopi Susu"/>
    <x v="0"/>
    <s v="Dine In"/>
    <s v="QRIS"/>
    <n v="2"/>
    <n v="18000"/>
    <n v="10000"/>
    <n v="36000"/>
    <n v="16000"/>
  </r>
  <r>
    <d v="2025-09-16T00:00:00"/>
    <s v="INV-0005"/>
    <s v="Roti Keju"/>
    <x v="1"/>
    <s v="Delivery"/>
    <s v="QRIS"/>
    <n v="1"/>
    <n v="15000"/>
    <n v="7000"/>
    <n v="15000"/>
    <n v="8000"/>
  </r>
  <r>
    <d v="2025-11-29T00:00:00"/>
    <s v="INV-0006"/>
    <s v="Kue Soes"/>
    <x v="1"/>
    <s v="Dine In"/>
    <s v="E-Wallet"/>
    <n v="7"/>
    <n v="12000"/>
    <n v="5500"/>
    <n v="84000"/>
    <n v="45500"/>
  </r>
  <r>
    <d v="2025-10-29T00:00:00"/>
    <s v="INV-0007"/>
    <s v="Teh Manis"/>
    <x v="0"/>
    <s v="Dine In"/>
    <s v="E-Wallet"/>
    <n v="1"/>
    <n v="10000"/>
    <n v="4500"/>
    <n v="10000"/>
    <n v="5500"/>
  </r>
  <r>
    <d v="2025-06-24T00:00:00"/>
    <s v="INV-0008"/>
    <s v="Teh Manis"/>
    <x v="0"/>
    <s v="Dine In"/>
    <s v="Debit"/>
    <n v="3"/>
    <n v="10000"/>
    <n v="4500"/>
    <n v="30000"/>
    <n v="16500"/>
  </r>
  <r>
    <d v="2025-02-22T00:00:00"/>
    <s v="INV-0009"/>
    <s v="Americano"/>
    <x v="0"/>
    <s v="Dine In"/>
    <s v="Debit"/>
    <n v="7"/>
    <n v="15000"/>
    <n v="8000"/>
    <n v="105000"/>
    <n v="49000"/>
  </r>
  <r>
    <d v="2025-06-26T00:00:00"/>
    <s v="INV-0010"/>
    <s v="Roti Keju"/>
    <x v="1"/>
    <s v="Dine In"/>
    <s v="E-Wallet"/>
    <n v="5"/>
    <n v="15000"/>
    <n v="7000"/>
    <n v="75000"/>
    <n v="40000"/>
  </r>
  <r>
    <d v="2025-10-02T00:00:00"/>
    <s v="INV-0011"/>
    <s v="Americano"/>
    <x v="0"/>
    <s v="Dine In"/>
    <s v="Debit"/>
    <n v="7"/>
    <n v="15000"/>
    <n v="8000"/>
    <n v="105000"/>
    <n v="49000"/>
  </r>
  <r>
    <d v="2025-11-18T00:00:00"/>
    <s v="INV-0012"/>
    <s v="Roti Keju"/>
    <x v="1"/>
    <s v="Delivery"/>
    <s v="QRIS"/>
    <n v="6"/>
    <n v="15000"/>
    <n v="7000"/>
    <n v="90000"/>
    <n v="48000"/>
  </r>
  <r>
    <d v="2025-12-27T00:00:00"/>
    <s v="INV-0013"/>
    <s v="Americano"/>
    <x v="0"/>
    <s v="Delivery"/>
    <s v="QRIS"/>
    <n v="1"/>
    <n v="15000"/>
    <n v="8000"/>
    <n v="15000"/>
    <n v="7000"/>
  </r>
  <r>
    <d v="2025-05-29T00:00:00"/>
    <s v="INV-0014"/>
    <s v="Americano"/>
    <x v="0"/>
    <s v="Dine In"/>
    <s v="E-Wallet"/>
    <n v="4"/>
    <n v="15000"/>
    <n v="8000"/>
    <n v="60000"/>
    <n v="28000"/>
  </r>
  <r>
    <d v="2025-05-23T00:00:00"/>
    <s v="INV-0015"/>
    <s v="Brownies"/>
    <x v="2"/>
    <s v="Dine In"/>
    <s v="Debit"/>
    <n v="6"/>
    <n v="25000"/>
    <n v="13000"/>
    <n v="150000"/>
    <n v="72000"/>
  </r>
  <r>
    <d v="2025-07-01T00:00:00"/>
    <s v="INV-0016"/>
    <s v="Matcha Latte"/>
    <x v="0"/>
    <s v="Delivery"/>
    <s v="Cash"/>
    <n v="5"/>
    <n v="22000"/>
    <n v="12000"/>
    <n v="110000"/>
    <n v="50000"/>
  </r>
  <r>
    <d v="2025-11-08T00:00:00"/>
    <s v="INV-0017"/>
    <s v="Roti Sosis"/>
    <x v="1"/>
    <s v="Delivery"/>
    <s v="QRIS"/>
    <n v="3"/>
    <n v="17000"/>
    <n v="8000"/>
    <n v="51000"/>
    <n v="27000"/>
  </r>
  <r>
    <d v="2025-03-25T00:00:00"/>
    <s v="INV-0018"/>
    <s v="Brownies"/>
    <x v="2"/>
    <s v="Take Away"/>
    <s v="QRIS"/>
    <n v="7"/>
    <n v="25000"/>
    <n v="13000"/>
    <n v="175000"/>
    <n v="84000"/>
  </r>
  <r>
    <d v="2025-12-17T00:00:00"/>
    <s v="INV-0019"/>
    <s v="Croissant"/>
    <x v="2"/>
    <s v="Dine In"/>
    <s v="Cash"/>
    <n v="1"/>
    <n v="18000"/>
    <n v="9000"/>
    <n v="18000"/>
    <n v="9000"/>
  </r>
  <r>
    <d v="2025-06-11T00:00:00"/>
    <s v="INV-0020"/>
    <s v="Donat"/>
    <x v="2"/>
    <s v="Dine In"/>
    <s v="QRIS"/>
    <n v="5"/>
    <n v="12000"/>
    <n v="5500"/>
    <n v="60000"/>
    <n v="32500"/>
  </r>
  <r>
    <d v="2025-10-18T00:00:00"/>
    <s v="INV-0021"/>
    <s v="Kue Soes"/>
    <x v="1"/>
    <s v="Dine In"/>
    <s v="E-Wallet"/>
    <n v="6"/>
    <n v="12000"/>
    <n v="5500"/>
    <n v="72000"/>
    <n v="39000"/>
  </r>
  <r>
    <d v="2025-07-22T00:00:00"/>
    <s v="INV-0022"/>
    <s v="Roti Sosis"/>
    <x v="1"/>
    <s v="Dine In"/>
    <s v="Debit"/>
    <n v="8"/>
    <n v="17000"/>
    <n v="8000"/>
    <n v="136000"/>
    <n v="72000"/>
  </r>
  <r>
    <d v="2025-03-13T00:00:00"/>
    <s v="INV-0023"/>
    <s v="Matcha Latte"/>
    <x v="0"/>
    <s v="Delivery"/>
    <s v="E-Wallet"/>
    <n v="5"/>
    <n v="22000"/>
    <n v="12000"/>
    <n v="110000"/>
    <n v="50000"/>
  </r>
  <r>
    <d v="2025-10-26T00:00:00"/>
    <s v="INV-0024"/>
    <s v="Donat"/>
    <x v="2"/>
    <s v="Dine In"/>
    <s v="QRIS"/>
    <n v="6"/>
    <n v="12000"/>
    <n v="5500"/>
    <n v="72000"/>
    <n v="39000"/>
  </r>
  <r>
    <d v="2025-09-18T00:00:00"/>
    <s v="INV-0025"/>
    <s v="Brownies"/>
    <x v="2"/>
    <s v="Dine In"/>
    <s v="Cash"/>
    <n v="2"/>
    <n v="25000"/>
    <n v="13000"/>
    <n v="50000"/>
    <n v="24000"/>
  </r>
  <r>
    <d v="2025-03-20T00:00:00"/>
    <s v="INV-0026"/>
    <s v="Roti Sosis"/>
    <x v="1"/>
    <s v="Delivery"/>
    <s v="E-Wallet"/>
    <n v="3"/>
    <n v="17000"/>
    <n v="8000"/>
    <n v="51000"/>
    <n v="27000"/>
  </r>
  <r>
    <d v="2025-11-02T00:00:00"/>
    <s v="INV-0027"/>
    <s v="Americano"/>
    <x v="0"/>
    <s v="Take Away"/>
    <s v="E-Wallet"/>
    <n v="7"/>
    <n v="15000"/>
    <n v="8000"/>
    <n v="105000"/>
    <n v="49000"/>
  </r>
  <r>
    <d v="2025-09-28T00:00:00"/>
    <s v="INV-0028"/>
    <s v="Teh Manis"/>
    <x v="0"/>
    <s v="Delivery"/>
    <s v="Cash"/>
    <n v="1"/>
    <n v="10000"/>
    <n v="4500"/>
    <n v="10000"/>
    <n v="5500"/>
  </r>
  <r>
    <d v="2025-12-16T00:00:00"/>
    <s v="INV-0029"/>
    <s v="Roti Cokelat"/>
    <x v="1"/>
    <s v="Delivery"/>
    <s v="Debit"/>
    <n v="5"/>
    <n v="14000"/>
    <n v="6500"/>
    <n v="70000"/>
    <n v="37500"/>
  </r>
  <r>
    <d v="2025-02-27T00:00:00"/>
    <s v="INV-0030"/>
    <s v="Teh Manis"/>
    <x v="0"/>
    <s v="Dine In"/>
    <s v="E-Wallet"/>
    <n v="7"/>
    <n v="10000"/>
    <n v="4500"/>
    <n v="70000"/>
    <n v="38500"/>
  </r>
  <r>
    <d v="2025-01-02T00:00:00"/>
    <s v="INV-0031"/>
    <s v="Kue Soes"/>
    <x v="1"/>
    <s v="Delivery"/>
    <s v="QRIS"/>
    <n v="5"/>
    <n v="12000"/>
    <n v="5500"/>
    <n v="60000"/>
    <n v="32500"/>
  </r>
  <r>
    <d v="2025-09-17T00:00:00"/>
    <s v="INV-0032"/>
    <s v="Americano"/>
    <x v="0"/>
    <s v="Delivery"/>
    <s v="QRIS"/>
    <n v="5"/>
    <n v="15000"/>
    <n v="8000"/>
    <n v="75000"/>
    <n v="35000"/>
  </r>
  <r>
    <d v="2025-03-20T00:00:00"/>
    <s v="INV-0033"/>
    <s v="Croissant"/>
    <x v="2"/>
    <s v="Delivery"/>
    <s v="Cash"/>
    <n v="3"/>
    <n v="18000"/>
    <n v="9000"/>
    <n v="54000"/>
    <n v="27000"/>
  </r>
  <r>
    <d v="2025-11-03T00:00:00"/>
    <s v="INV-0034"/>
    <s v="Croissant"/>
    <x v="2"/>
    <s v="Dine In"/>
    <s v="Cash"/>
    <n v="8"/>
    <n v="18000"/>
    <n v="9000"/>
    <n v="144000"/>
    <n v="72000"/>
  </r>
  <r>
    <d v="2025-07-05T00:00:00"/>
    <s v="INV-0035"/>
    <s v="Teh Manis"/>
    <x v="0"/>
    <s v="Dine In"/>
    <s v="QRIS"/>
    <n v="4"/>
    <n v="10000"/>
    <n v="4500"/>
    <n v="40000"/>
    <n v="22000"/>
  </r>
  <r>
    <d v="2025-10-18T00:00:00"/>
    <s v="INV-0036"/>
    <s v="Americano"/>
    <x v="0"/>
    <s v="Delivery"/>
    <s v="E-Wallet"/>
    <n v="2"/>
    <n v="15000"/>
    <n v="8000"/>
    <n v="30000"/>
    <n v="14000"/>
  </r>
  <r>
    <d v="2025-02-05T00:00:00"/>
    <s v="INV-0037"/>
    <s v="Roti Cokelat"/>
    <x v="1"/>
    <s v="Dine In"/>
    <s v="E-Wallet"/>
    <n v="3"/>
    <n v="14000"/>
    <n v="6500"/>
    <n v="42000"/>
    <n v="22500"/>
  </r>
  <r>
    <d v="2025-10-09T00:00:00"/>
    <s v="INV-0038"/>
    <s v="Cappuccino"/>
    <x v="0"/>
    <s v="Delivery"/>
    <s v="E-Wallet"/>
    <n v="5"/>
    <n v="20000"/>
    <n v="11000"/>
    <n v="100000"/>
    <n v="45000"/>
  </r>
  <r>
    <d v="2025-04-19T00:00:00"/>
    <s v="INV-0039"/>
    <s v="Roti Cokelat"/>
    <x v="1"/>
    <s v="Delivery"/>
    <s v="Debit"/>
    <n v="4"/>
    <n v="14000"/>
    <n v="6500"/>
    <n v="56000"/>
    <n v="30000"/>
  </r>
  <r>
    <d v="2025-07-24T00:00:00"/>
    <s v="INV-0040"/>
    <s v="Roti Sosis"/>
    <x v="1"/>
    <s v="Take Away"/>
    <s v="E-Wallet"/>
    <n v="6"/>
    <n v="17000"/>
    <n v="8000"/>
    <n v="102000"/>
    <n v="54000"/>
  </r>
  <r>
    <d v="2025-03-03T00:00:00"/>
    <s v="INV-0041"/>
    <s v="Matcha Latte"/>
    <x v="0"/>
    <s v="Dine In"/>
    <s v="Debit"/>
    <n v="4"/>
    <n v="22000"/>
    <n v="12000"/>
    <n v="88000"/>
    <n v="40000"/>
  </r>
  <r>
    <d v="2025-01-11T00:00:00"/>
    <s v="INV-0042"/>
    <s v="Roti Keju"/>
    <x v="1"/>
    <s v="Delivery"/>
    <s v="QRIS"/>
    <n v="4"/>
    <n v="15000"/>
    <n v="7000"/>
    <n v="60000"/>
    <n v="32000"/>
  </r>
  <r>
    <d v="2025-01-04T00:00:00"/>
    <s v="INV-0043"/>
    <s v="Americano"/>
    <x v="0"/>
    <s v="Dine In"/>
    <s v="Cash"/>
    <n v="1"/>
    <n v="15000"/>
    <n v="8000"/>
    <n v="15000"/>
    <n v="7000"/>
  </r>
  <r>
    <d v="2025-01-17T00:00:00"/>
    <s v="INV-0044"/>
    <s v="Croissant"/>
    <x v="2"/>
    <s v="Delivery"/>
    <s v="QRIS"/>
    <n v="2"/>
    <n v="18000"/>
    <n v="9000"/>
    <n v="36000"/>
    <n v="18000"/>
  </r>
  <r>
    <d v="2025-05-23T00:00:00"/>
    <s v="INV-0045"/>
    <s v="Roti Sosis"/>
    <x v="1"/>
    <s v="Dine In"/>
    <s v="QRIS"/>
    <n v="8"/>
    <n v="17000"/>
    <n v="8000"/>
    <n v="136000"/>
    <n v="72000"/>
  </r>
  <r>
    <d v="2025-10-20T00:00:00"/>
    <s v="INV-0046"/>
    <s v="Roti Keju"/>
    <x v="1"/>
    <s v="Dine In"/>
    <s v="E-Wallet"/>
    <n v="8"/>
    <n v="15000"/>
    <n v="7000"/>
    <n v="120000"/>
    <n v="64000"/>
  </r>
  <r>
    <d v="2025-07-28T00:00:00"/>
    <s v="INV-0047"/>
    <s v="Matcha Latte"/>
    <x v="0"/>
    <s v="Dine In"/>
    <s v="E-Wallet"/>
    <n v="2"/>
    <n v="22000"/>
    <n v="12000"/>
    <n v="44000"/>
    <n v="20000"/>
  </r>
  <r>
    <d v="2025-07-01T00:00:00"/>
    <s v="INV-0048"/>
    <s v="Donat"/>
    <x v="2"/>
    <s v="Take Away"/>
    <s v="Cash"/>
    <n v="7"/>
    <n v="12000"/>
    <n v="5500"/>
    <n v="84000"/>
    <n v="45500"/>
  </r>
  <r>
    <d v="2025-12-11T00:00:00"/>
    <s v="INV-0049"/>
    <s v="Roti Sosis"/>
    <x v="1"/>
    <s v="Dine In"/>
    <s v="E-Wallet"/>
    <n v="2"/>
    <n v="17000"/>
    <n v="8000"/>
    <n v="34000"/>
    <n v="18000"/>
  </r>
  <r>
    <d v="2025-06-23T00:00:00"/>
    <s v="INV-0050"/>
    <s v="Americano"/>
    <x v="0"/>
    <s v="Dine In"/>
    <s v="QRIS"/>
    <n v="4"/>
    <n v="15000"/>
    <n v="8000"/>
    <n v="60000"/>
    <n v="28000"/>
  </r>
  <r>
    <d v="2025-10-02T00:00:00"/>
    <s v="INV-0051"/>
    <s v="Brownies"/>
    <x v="2"/>
    <s v="Take Away"/>
    <s v="QRIS"/>
    <n v="3"/>
    <n v="25000"/>
    <n v="13000"/>
    <n v="75000"/>
    <n v="36000"/>
  </r>
  <r>
    <d v="2025-05-23T00:00:00"/>
    <s v="INV-0052"/>
    <s v="Brownies"/>
    <x v="2"/>
    <s v="Dine In"/>
    <s v="E-Wallet"/>
    <n v="4"/>
    <n v="25000"/>
    <n v="13000"/>
    <n v="100000"/>
    <n v="48000"/>
  </r>
  <r>
    <d v="2025-10-09T00:00:00"/>
    <s v="INV-0053"/>
    <s v="Americano"/>
    <x v="0"/>
    <s v="Delivery"/>
    <s v="Cash"/>
    <n v="1"/>
    <n v="15000"/>
    <n v="8000"/>
    <n v="15000"/>
    <n v="7000"/>
  </r>
  <r>
    <d v="2025-02-17T00:00:00"/>
    <s v="INV-0054"/>
    <s v="Matcha Latte"/>
    <x v="0"/>
    <s v="Take Away"/>
    <s v="E-Wallet"/>
    <n v="3"/>
    <n v="22000"/>
    <n v="12000"/>
    <n v="66000"/>
    <n v="30000"/>
  </r>
  <r>
    <d v="2025-09-04T00:00:00"/>
    <s v="INV-0055"/>
    <s v="Matcha Latte"/>
    <x v="0"/>
    <s v="Dine In"/>
    <s v="QRIS"/>
    <n v="7"/>
    <n v="22000"/>
    <n v="12000"/>
    <n v="154000"/>
    <n v="70000"/>
  </r>
  <r>
    <d v="2025-07-14T00:00:00"/>
    <s v="INV-0056"/>
    <s v="Kopi Susu"/>
    <x v="0"/>
    <s v="Take Away"/>
    <s v="E-Wallet"/>
    <n v="7"/>
    <n v="18000"/>
    <n v="10000"/>
    <n v="126000"/>
    <n v="56000"/>
  </r>
  <r>
    <d v="2025-05-27T00:00:00"/>
    <s v="INV-0057"/>
    <s v="Donat"/>
    <x v="2"/>
    <s v="Dine In"/>
    <s v="QRIS"/>
    <n v="8"/>
    <n v="12000"/>
    <n v="5500"/>
    <n v="96000"/>
    <n v="52000"/>
  </r>
  <r>
    <d v="2025-06-01T00:00:00"/>
    <s v="INV-0058"/>
    <s v="Matcha Latte"/>
    <x v="0"/>
    <s v="Delivery"/>
    <s v="Cash"/>
    <n v="1"/>
    <n v="22000"/>
    <n v="12000"/>
    <n v="22000"/>
    <n v="10000"/>
  </r>
  <r>
    <d v="2025-06-10T00:00:00"/>
    <s v="INV-0059"/>
    <s v="Kopi Susu"/>
    <x v="0"/>
    <s v="Delivery"/>
    <s v="E-Wallet"/>
    <n v="1"/>
    <n v="18000"/>
    <n v="10000"/>
    <n v="18000"/>
    <n v="8000"/>
  </r>
  <r>
    <d v="2025-09-15T00:00:00"/>
    <s v="INV-0060"/>
    <s v="Roti Cokelat"/>
    <x v="1"/>
    <s v="Dine In"/>
    <s v="Cash"/>
    <n v="3"/>
    <n v="14000"/>
    <n v="6500"/>
    <n v="42000"/>
    <n v="22500"/>
  </r>
  <r>
    <d v="2025-04-06T00:00:00"/>
    <s v="INV-0061"/>
    <s v="Americano"/>
    <x v="0"/>
    <s v="Delivery"/>
    <s v="QRIS"/>
    <n v="2"/>
    <n v="15000"/>
    <n v="8000"/>
    <n v="30000"/>
    <n v="14000"/>
  </r>
  <r>
    <d v="2025-07-26T00:00:00"/>
    <s v="INV-0062"/>
    <s v="Americano"/>
    <x v="0"/>
    <s v="Delivery"/>
    <s v="Cash"/>
    <n v="4"/>
    <n v="15000"/>
    <n v="8000"/>
    <n v="60000"/>
    <n v="28000"/>
  </r>
  <r>
    <d v="2025-11-14T00:00:00"/>
    <s v="INV-0063"/>
    <s v="Americano"/>
    <x v="0"/>
    <s v="Delivery"/>
    <s v="Debit"/>
    <n v="7"/>
    <n v="15000"/>
    <n v="8000"/>
    <n v="105000"/>
    <n v="49000"/>
  </r>
  <r>
    <d v="2025-05-14T00:00:00"/>
    <s v="INV-0064"/>
    <s v="Matcha Latte"/>
    <x v="0"/>
    <s v="Dine In"/>
    <s v="Debit"/>
    <n v="6"/>
    <n v="22000"/>
    <n v="12000"/>
    <n v="132000"/>
    <n v="60000"/>
  </r>
  <r>
    <d v="2025-07-22T00:00:00"/>
    <s v="INV-0065"/>
    <s v="Cappuccino"/>
    <x v="0"/>
    <s v="Take Away"/>
    <s v="Debit"/>
    <n v="5"/>
    <n v="20000"/>
    <n v="11000"/>
    <n v="100000"/>
    <n v="45000"/>
  </r>
  <r>
    <d v="2025-02-07T00:00:00"/>
    <s v="INV-0066"/>
    <s v="Kopi Susu"/>
    <x v="0"/>
    <s v="Delivery"/>
    <s v="Cash"/>
    <n v="8"/>
    <n v="18000"/>
    <n v="10000"/>
    <n v="144000"/>
    <n v="64000"/>
  </r>
  <r>
    <d v="2025-02-07T00:00:00"/>
    <s v="INV-0067"/>
    <s v="Roti Cokelat"/>
    <x v="1"/>
    <s v="Delivery"/>
    <s v="Debit"/>
    <n v="4"/>
    <n v="14000"/>
    <n v="6500"/>
    <n v="56000"/>
    <n v="30000"/>
  </r>
  <r>
    <d v="2025-03-09T00:00:00"/>
    <s v="INV-0068"/>
    <s v="Croissant"/>
    <x v="2"/>
    <s v="Dine In"/>
    <s v="Debit"/>
    <n v="2"/>
    <n v="18000"/>
    <n v="9000"/>
    <n v="36000"/>
    <n v="18000"/>
  </r>
  <r>
    <d v="2025-05-26T00:00:00"/>
    <s v="INV-0069"/>
    <s v="Cappuccino"/>
    <x v="0"/>
    <s v="Delivery"/>
    <s v="Debit"/>
    <n v="8"/>
    <n v="20000"/>
    <n v="11000"/>
    <n v="160000"/>
    <n v="72000"/>
  </r>
  <r>
    <d v="2025-11-10T00:00:00"/>
    <s v="INV-0070"/>
    <s v="Roti Sosis"/>
    <x v="1"/>
    <s v="Delivery"/>
    <s v="Debit"/>
    <n v="1"/>
    <n v="17000"/>
    <n v="8000"/>
    <n v="17000"/>
    <n v="9000"/>
  </r>
  <r>
    <d v="2025-12-06T00:00:00"/>
    <s v="INV-0071"/>
    <s v="Americano"/>
    <x v="0"/>
    <s v="Take Away"/>
    <s v="Cash"/>
    <n v="3"/>
    <n v="15000"/>
    <n v="8000"/>
    <n v="45000"/>
    <n v="21000"/>
  </r>
  <r>
    <d v="2025-02-24T00:00:00"/>
    <s v="INV-0072"/>
    <s v="Kue Soes"/>
    <x v="1"/>
    <s v="Take Away"/>
    <s v="Debit"/>
    <n v="3"/>
    <n v="12000"/>
    <n v="5500"/>
    <n v="36000"/>
    <n v="19500"/>
  </r>
  <r>
    <d v="2025-11-06T00:00:00"/>
    <s v="INV-0073"/>
    <s v="Matcha Latte"/>
    <x v="0"/>
    <s v="Dine In"/>
    <s v="Debit"/>
    <n v="6"/>
    <n v="22000"/>
    <n v="12000"/>
    <n v="132000"/>
    <n v="60000"/>
  </r>
  <r>
    <d v="2025-09-16T00:00:00"/>
    <s v="INV-0074"/>
    <s v="Brownies"/>
    <x v="2"/>
    <s v="Dine In"/>
    <s v="Cash"/>
    <n v="5"/>
    <n v="25000"/>
    <n v="13000"/>
    <n v="125000"/>
    <n v="60000"/>
  </r>
  <r>
    <d v="2025-11-21T00:00:00"/>
    <s v="INV-0075"/>
    <s v="Donat"/>
    <x v="2"/>
    <s v="Dine In"/>
    <s v="Cash"/>
    <n v="5"/>
    <n v="12000"/>
    <n v="5500"/>
    <n v="60000"/>
    <n v="32500"/>
  </r>
  <r>
    <d v="2025-06-20T00:00:00"/>
    <s v="INV-0076"/>
    <s v="Cappuccino"/>
    <x v="0"/>
    <s v="Dine In"/>
    <s v="E-Wallet"/>
    <n v="5"/>
    <n v="20000"/>
    <n v="11000"/>
    <n v="100000"/>
    <n v="45000"/>
  </r>
  <r>
    <d v="2025-10-10T00:00:00"/>
    <s v="INV-0077"/>
    <s v="Kue Soes"/>
    <x v="1"/>
    <s v="Delivery"/>
    <s v="Cash"/>
    <n v="7"/>
    <n v="12000"/>
    <n v="5500"/>
    <n v="84000"/>
    <n v="45500"/>
  </r>
  <r>
    <d v="2025-02-27T00:00:00"/>
    <s v="INV-0078"/>
    <s v="Americano"/>
    <x v="0"/>
    <s v="Delivery"/>
    <s v="Cash"/>
    <n v="3"/>
    <n v="15000"/>
    <n v="8000"/>
    <n v="45000"/>
    <n v="21000"/>
  </r>
  <r>
    <d v="2025-07-09T00:00:00"/>
    <s v="INV-0079"/>
    <s v="Roti Keju"/>
    <x v="1"/>
    <s v="Take Away"/>
    <s v="QRIS"/>
    <n v="3"/>
    <n v="15000"/>
    <n v="7000"/>
    <n v="45000"/>
    <n v="24000"/>
  </r>
  <r>
    <d v="2025-01-22T00:00:00"/>
    <s v="INV-0080"/>
    <s v="Teh Manis"/>
    <x v="0"/>
    <s v="Dine In"/>
    <s v="Debit"/>
    <n v="6"/>
    <n v="10000"/>
    <n v="4500"/>
    <n v="60000"/>
    <n v="33000"/>
  </r>
  <r>
    <d v="2025-04-18T00:00:00"/>
    <s v="INV-0081"/>
    <s v="Roti Sosis"/>
    <x v="1"/>
    <s v="Delivery"/>
    <s v="Cash"/>
    <n v="4"/>
    <n v="17000"/>
    <n v="8000"/>
    <n v="68000"/>
    <n v="36000"/>
  </r>
  <r>
    <d v="2025-07-01T00:00:00"/>
    <s v="INV-0082"/>
    <s v="Roti Cokelat"/>
    <x v="1"/>
    <s v="Delivery"/>
    <s v="QRIS"/>
    <n v="7"/>
    <n v="14000"/>
    <n v="6500"/>
    <n v="98000"/>
    <n v="52500"/>
  </r>
  <r>
    <d v="2025-05-02T00:00:00"/>
    <s v="INV-0083"/>
    <s v="Cappuccino"/>
    <x v="0"/>
    <s v="Take Away"/>
    <s v="Cash"/>
    <n v="3"/>
    <n v="20000"/>
    <n v="11000"/>
    <n v="60000"/>
    <n v="27000"/>
  </r>
  <r>
    <d v="2025-04-02T00:00:00"/>
    <s v="INV-0084"/>
    <s v="Kue Soes"/>
    <x v="1"/>
    <s v="Take Away"/>
    <s v="QRIS"/>
    <n v="6"/>
    <n v="12000"/>
    <n v="5500"/>
    <n v="72000"/>
    <n v="39000"/>
  </r>
  <r>
    <d v="2025-05-17T00:00:00"/>
    <s v="INV-0085"/>
    <s v="Cappuccino"/>
    <x v="0"/>
    <s v="Take Away"/>
    <s v="Cash"/>
    <n v="2"/>
    <n v="20000"/>
    <n v="11000"/>
    <n v="40000"/>
    <n v="18000"/>
  </r>
  <r>
    <d v="2025-08-29T00:00:00"/>
    <s v="INV-0086"/>
    <s v="Matcha Latte"/>
    <x v="0"/>
    <s v="Take Away"/>
    <s v="Debit"/>
    <n v="4"/>
    <n v="22000"/>
    <n v="12000"/>
    <n v="88000"/>
    <n v="40000"/>
  </r>
  <r>
    <d v="2025-06-06T00:00:00"/>
    <s v="INV-0087"/>
    <s v="Matcha Latte"/>
    <x v="0"/>
    <s v="Dine In"/>
    <s v="QRIS"/>
    <n v="4"/>
    <n v="22000"/>
    <n v="12000"/>
    <n v="88000"/>
    <n v="40000"/>
  </r>
  <r>
    <d v="2025-07-24T00:00:00"/>
    <s v="INV-0088"/>
    <s v="Croissant"/>
    <x v="2"/>
    <s v="Dine In"/>
    <s v="Debit"/>
    <n v="5"/>
    <n v="18000"/>
    <n v="9000"/>
    <n v="90000"/>
    <n v="45000"/>
  </r>
  <r>
    <d v="2025-06-29T00:00:00"/>
    <s v="INV-0089"/>
    <s v="Roti Sosis"/>
    <x v="1"/>
    <s v="Delivery"/>
    <s v="Debit"/>
    <n v="7"/>
    <n v="17000"/>
    <n v="8000"/>
    <n v="119000"/>
    <n v="63000"/>
  </r>
  <r>
    <d v="2025-01-15T00:00:00"/>
    <s v="INV-0090"/>
    <s v="Americano"/>
    <x v="0"/>
    <s v="Dine In"/>
    <s v="Debit"/>
    <n v="5"/>
    <n v="15000"/>
    <n v="8000"/>
    <n v="75000"/>
    <n v="35000"/>
  </r>
  <r>
    <d v="2025-01-20T00:00:00"/>
    <s v="INV-0091"/>
    <s v="Americano"/>
    <x v="0"/>
    <s v="Take Away"/>
    <s v="Debit"/>
    <n v="7"/>
    <n v="15000"/>
    <n v="8000"/>
    <n v="105000"/>
    <n v="49000"/>
  </r>
  <r>
    <d v="2025-08-12T00:00:00"/>
    <s v="INV-0092"/>
    <s v="Roti Keju"/>
    <x v="1"/>
    <s v="Take Away"/>
    <s v="QRIS"/>
    <n v="2"/>
    <n v="15000"/>
    <n v="7000"/>
    <n v="30000"/>
    <n v="16000"/>
  </r>
  <r>
    <d v="2025-05-11T00:00:00"/>
    <s v="INV-0093"/>
    <s v="Kopi Susu"/>
    <x v="0"/>
    <s v="Dine In"/>
    <s v="QRIS"/>
    <n v="7"/>
    <n v="18000"/>
    <n v="10000"/>
    <n v="126000"/>
    <n v="56000"/>
  </r>
  <r>
    <d v="2025-07-06T00:00:00"/>
    <s v="INV-0094"/>
    <s v="Donat"/>
    <x v="2"/>
    <s v="Delivery"/>
    <s v="Debit"/>
    <n v="2"/>
    <n v="12000"/>
    <n v="5500"/>
    <n v="24000"/>
    <n v="13000"/>
  </r>
  <r>
    <d v="2025-11-16T00:00:00"/>
    <s v="INV-0095"/>
    <s v="Croissant"/>
    <x v="2"/>
    <s v="Delivery"/>
    <s v="Debit"/>
    <n v="2"/>
    <n v="18000"/>
    <n v="9000"/>
    <n v="36000"/>
    <n v="18000"/>
  </r>
  <r>
    <d v="2025-09-17T00:00:00"/>
    <s v="INV-0096"/>
    <s v="Teh Manis"/>
    <x v="0"/>
    <s v="Take Away"/>
    <s v="E-Wallet"/>
    <n v="7"/>
    <n v="10000"/>
    <n v="4500"/>
    <n v="70000"/>
    <n v="38500"/>
  </r>
  <r>
    <d v="2025-12-23T00:00:00"/>
    <s v="INV-0097"/>
    <s v="Teh Manis"/>
    <x v="0"/>
    <s v="Dine In"/>
    <s v="E-Wallet"/>
    <n v="3"/>
    <n v="10000"/>
    <n v="4500"/>
    <n v="30000"/>
    <n v="16500"/>
  </r>
  <r>
    <d v="2025-12-07T00:00:00"/>
    <s v="INV-0098"/>
    <s v="Donat"/>
    <x v="2"/>
    <s v="Delivery"/>
    <s v="Debit"/>
    <n v="3"/>
    <n v="12000"/>
    <n v="5500"/>
    <n v="36000"/>
    <n v="19500"/>
  </r>
  <r>
    <d v="2025-07-27T00:00:00"/>
    <s v="INV-0099"/>
    <s v="Roti Cokelat"/>
    <x v="1"/>
    <s v="Take Away"/>
    <s v="Debit"/>
    <n v="1"/>
    <n v="14000"/>
    <n v="6500"/>
    <n v="14000"/>
    <n v="7500"/>
  </r>
  <r>
    <d v="2025-04-18T00:00:00"/>
    <s v="INV-0100"/>
    <s v="Donat"/>
    <x v="2"/>
    <s v="Take Away"/>
    <s v="E-Wallet"/>
    <n v="6"/>
    <n v="12000"/>
    <n v="5500"/>
    <n v="72000"/>
    <n v="39000"/>
  </r>
  <r>
    <d v="2025-08-15T00:00:00"/>
    <s v="INV-0101"/>
    <s v="Roti Sosis"/>
    <x v="1"/>
    <s v="Delivery"/>
    <s v="E-Wallet"/>
    <n v="4"/>
    <n v="17000"/>
    <n v="8000"/>
    <n v="68000"/>
    <n v="36000"/>
  </r>
  <r>
    <d v="2025-03-28T00:00:00"/>
    <s v="INV-0102"/>
    <s v="Roti Sosis"/>
    <x v="1"/>
    <s v="Take Away"/>
    <s v="Debit"/>
    <n v="2"/>
    <n v="17000"/>
    <n v="8000"/>
    <n v="34000"/>
    <n v="18000"/>
  </r>
  <r>
    <d v="2025-02-17T00:00:00"/>
    <s v="INV-0103"/>
    <s v="Matcha Latte"/>
    <x v="0"/>
    <s v="Dine In"/>
    <s v="QRIS"/>
    <n v="5"/>
    <n v="22000"/>
    <n v="12000"/>
    <n v="110000"/>
    <n v="50000"/>
  </r>
  <r>
    <d v="2025-03-17T00:00:00"/>
    <s v="INV-0104"/>
    <s v="Kopi Susu"/>
    <x v="0"/>
    <s v="Dine In"/>
    <s v="E-Wallet"/>
    <n v="1"/>
    <n v="18000"/>
    <n v="10000"/>
    <n v="18000"/>
    <n v="8000"/>
  </r>
  <r>
    <d v="2025-11-09T00:00:00"/>
    <s v="INV-0105"/>
    <s v="Americano"/>
    <x v="0"/>
    <s v="Take Away"/>
    <s v="QRIS"/>
    <n v="8"/>
    <n v="15000"/>
    <n v="8000"/>
    <n v="120000"/>
    <n v="56000"/>
  </r>
  <r>
    <d v="2025-12-23T00:00:00"/>
    <s v="INV-0106"/>
    <s v="Donat"/>
    <x v="2"/>
    <s v="Take Away"/>
    <s v="QRIS"/>
    <n v="8"/>
    <n v="12000"/>
    <n v="5500"/>
    <n v="96000"/>
    <n v="52000"/>
  </r>
  <r>
    <d v="2025-03-17T00:00:00"/>
    <s v="INV-0107"/>
    <s v="Roti Sosis"/>
    <x v="1"/>
    <s v="Dine In"/>
    <s v="E-Wallet"/>
    <n v="1"/>
    <n v="17000"/>
    <n v="8000"/>
    <n v="17000"/>
    <n v="9000"/>
  </r>
  <r>
    <d v="2025-04-23T00:00:00"/>
    <s v="INV-0108"/>
    <s v="Cappuccino"/>
    <x v="0"/>
    <s v="Dine In"/>
    <s v="QRIS"/>
    <n v="8"/>
    <n v="20000"/>
    <n v="11000"/>
    <n v="160000"/>
    <n v="72000"/>
  </r>
  <r>
    <d v="2025-03-04T00:00:00"/>
    <s v="INV-0109"/>
    <s v="Brownies"/>
    <x v="2"/>
    <s v="Take Away"/>
    <s v="Debit"/>
    <n v="3"/>
    <n v="25000"/>
    <n v="13000"/>
    <n v="75000"/>
    <n v="36000"/>
  </r>
  <r>
    <d v="2025-08-15T00:00:00"/>
    <s v="INV-0110"/>
    <s v="Roti Keju"/>
    <x v="1"/>
    <s v="Delivery"/>
    <s v="E-Wallet"/>
    <n v="7"/>
    <n v="15000"/>
    <n v="7000"/>
    <n v="105000"/>
    <n v="56000"/>
  </r>
  <r>
    <d v="2025-03-23T00:00:00"/>
    <s v="INV-0111"/>
    <s v="Kue Soes"/>
    <x v="1"/>
    <s v="Take Away"/>
    <s v="Debit"/>
    <n v="8"/>
    <n v="12000"/>
    <n v="5500"/>
    <n v="96000"/>
    <n v="52000"/>
  </r>
  <r>
    <d v="2025-05-07T00:00:00"/>
    <s v="INV-0112"/>
    <s v="Roti Sosis"/>
    <x v="1"/>
    <s v="Delivery"/>
    <s v="E-Wallet"/>
    <n v="5"/>
    <n v="17000"/>
    <n v="8000"/>
    <n v="85000"/>
    <n v="45000"/>
  </r>
  <r>
    <d v="2025-11-17T00:00:00"/>
    <s v="INV-0113"/>
    <s v="Matcha Latte"/>
    <x v="0"/>
    <s v="Take Away"/>
    <s v="Cash"/>
    <n v="5"/>
    <n v="22000"/>
    <n v="12000"/>
    <n v="110000"/>
    <n v="50000"/>
  </r>
  <r>
    <d v="2025-05-27T00:00:00"/>
    <s v="INV-0114"/>
    <s v="Matcha Latte"/>
    <x v="0"/>
    <s v="Take Away"/>
    <s v="Debit"/>
    <n v="5"/>
    <n v="22000"/>
    <n v="12000"/>
    <n v="110000"/>
    <n v="50000"/>
  </r>
  <r>
    <d v="2025-10-04T00:00:00"/>
    <s v="INV-0115"/>
    <s v="Americano"/>
    <x v="0"/>
    <s v="Dine In"/>
    <s v="QRIS"/>
    <n v="3"/>
    <n v="15000"/>
    <n v="8000"/>
    <n v="45000"/>
    <n v="21000"/>
  </r>
  <r>
    <d v="2025-07-16T00:00:00"/>
    <s v="INV-0116"/>
    <s v="Kue Soes"/>
    <x v="1"/>
    <s v="Delivery"/>
    <s v="QRIS"/>
    <n v="3"/>
    <n v="12000"/>
    <n v="5500"/>
    <n v="36000"/>
    <n v="19500"/>
  </r>
  <r>
    <d v="2025-02-02T00:00:00"/>
    <s v="INV-0117"/>
    <s v="Donat"/>
    <x v="2"/>
    <s v="Take Away"/>
    <s v="E-Wallet"/>
    <n v="7"/>
    <n v="12000"/>
    <n v="5500"/>
    <n v="84000"/>
    <n v="45500"/>
  </r>
  <r>
    <d v="2025-08-01T00:00:00"/>
    <s v="INV-0118"/>
    <s v="Kopi Susu"/>
    <x v="0"/>
    <s v="Take Away"/>
    <s v="E-Wallet"/>
    <n v="4"/>
    <n v="18000"/>
    <n v="10000"/>
    <n v="72000"/>
    <n v="32000"/>
  </r>
  <r>
    <d v="2025-10-27T00:00:00"/>
    <s v="INV-0119"/>
    <s v="Kue Soes"/>
    <x v="1"/>
    <s v="Delivery"/>
    <s v="E-Wallet"/>
    <n v="1"/>
    <n v="12000"/>
    <n v="5500"/>
    <n v="12000"/>
    <n v="6500"/>
  </r>
  <r>
    <d v="2025-09-02T00:00:00"/>
    <s v="INV-0120"/>
    <s v="Kopi Susu"/>
    <x v="0"/>
    <s v="Take Away"/>
    <s v="E-Wallet"/>
    <n v="6"/>
    <n v="18000"/>
    <n v="10000"/>
    <n v="108000"/>
    <n v="48000"/>
  </r>
  <r>
    <d v="2025-08-03T00:00:00"/>
    <s v="INV-0121"/>
    <s v="Roti Cokelat"/>
    <x v="1"/>
    <s v="Take Away"/>
    <s v="QRIS"/>
    <n v="4"/>
    <n v="14000"/>
    <n v="6500"/>
    <n v="56000"/>
    <n v="30000"/>
  </r>
  <r>
    <d v="2025-05-20T00:00:00"/>
    <s v="INV-0122"/>
    <s v="Donat"/>
    <x v="2"/>
    <s v="Dine In"/>
    <s v="E-Wallet"/>
    <n v="8"/>
    <n v="12000"/>
    <n v="5500"/>
    <n v="96000"/>
    <n v="52000"/>
  </r>
  <r>
    <d v="2025-06-22T00:00:00"/>
    <s v="INV-0123"/>
    <s v="Roti Sosis"/>
    <x v="1"/>
    <s v="Delivery"/>
    <s v="QRIS"/>
    <n v="7"/>
    <n v="17000"/>
    <n v="8000"/>
    <n v="119000"/>
    <n v="63000"/>
  </r>
  <r>
    <d v="2025-08-28T00:00:00"/>
    <s v="INV-0124"/>
    <s v="Cappuccino"/>
    <x v="0"/>
    <s v="Take Away"/>
    <s v="Cash"/>
    <n v="1"/>
    <n v="20000"/>
    <n v="11000"/>
    <n v="20000"/>
    <n v="9000"/>
  </r>
  <r>
    <d v="2025-02-12T00:00:00"/>
    <s v="INV-0125"/>
    <s v="Roti Sosis"/>
    <x v="1"/>
    <s v="Dine In"/>
    <s v="E-Wallet"/>
    <n v="7"/>
    <n v="17000"/>
    <n v="8000"/>
    <n v="119000"/>
    <n v="63000"/>
  </r>
  <r>
    <d v="2025-04-04T00:00:00"/>
    <s v="INV-0126"/>
    <s v="Kopi Susu"/>
    <x v="0"/>
    <s v="Take Away"/>
    <s v="Debit"/>
    <n v="5"/>
    <n v="18000"/>
    <n v="10000"/>
    <n v="90000"/>
    <n v="40000"/>
  </r>
  <r>
    <d v="2025-04-19T00:00:00"/>
    <s v="INV-0127"/>
    <s v="Brownies"/>
    <x v="2"/>
    <s v="Take Away"/>
    <s v="E-Wallet"/>
    <n v="6"/>
    <n v="25000"/>
    <n v="13000"/>
    <n v="150000"/>
    <n v="72000"/>
  </r>
  <r>
    <d v="2025-05-23T00:00:00"/>
    <s v="INV-0128"/>
    <s v="Donat"/>
    <x v="2"/>
    <s v="Dine In"/>
    <s v="E-Wallet"/>
    <n v="5"/>
    <n v="12000"/>
    <n v="5500"/>
    <n v="60000"/>
    <n v="32500"/>
  </r>
  <r>
    <d v="2025-01-10T00:00:00"/>
    <s v="INV-0129"/>
    <s v="Kue Soes"/>
    <x v="1"/>
    <s v="Take Away"/>
    <s v="QRIS"/>
    <n v="1"/>
    <n v="12000"/>
    <n v="5500"/>
    <n v="12000"/>
    <n v="6500"/>
  </r>
  <r>
    <d v="2025-11-29T00:00:00"/>
    <s v="INV-0130"/>
    <s v="Americano"/>
    <x v="0"/>
    <s v="Dine In"/>
    <s v="QRIS"/>
    <n v="1"/>
    <n v="15000"/>
    <n v="8000"/>
    <n v="15000"/>
    <n v="7000"/>
  </r>
  <r>
    <d v="2025-04-13T00:00:00"/>
    <s v="INV-0131"/>
    <s v="Kopi Susu"/>
    <x v="0"/>
    <s v="Dine In"/>
    <s v="QRIS"/>
    <n v="3"/>
    <n v="18000"/>
    <n v="10000"/>
    <n v="54000"/>
    <n v="24000"/>
  </r>
  <r>
    <d v="2025-08-31T00:00:00"/>
    <s v="INV-0132"/>
    <s v="Roti Sosis"/>
    <x v="1"/>
    <s v="Delivery"/>
    <s v="QRIS"/>
    <n v="2"/>
    <n v="17000"/>
    <n v="8000"/>
    <n v="34000"/>
    <n v="18000"/>
  </r>
  <r>
    <d v="2025-08-27T00:00:00"/>
    <s v="INV-0133"/>
    <s v="Kue Soes"/>
    <x v="1"/>
    <s v="Take Away"/>
    <s v="QRIS"/>
    <n v="5"/>
    <n v="12000"/>
    <n v="5500"/>
    <n v="60000"/>
    <n v="32500"/>
  </r>
  <r>
    <d v="2025-11-07T00:00:00"/>
    <s v="INV-0134"/>
    <s v="Roti Keju"/>
    <x v="1"/>
    <s v="Dine In"/>
    <s v="Debit"/>
    <n v="2"/>
    <n v="15000"/>
    <n v="7000"/>
    <n v="30000"/>
    <n v="16000"/>
  </r>
  <r>
    <d v="2025-02-25T00:00:00"/>
    <s v="INV-0135"/>
    <s v="Roti Keju"/>
    <x v="1"/>
    <s v="Take Away"/>
    <s v="E-Wallet"/>
    <n v="1"/>
    <n v="15000"/>
    <n v="7000"/>
    <n v="15000"/>
    <n v="8000"/>
  </r>
  <r>
    <d v="2025-07-23T00:00:00"/>
    <s v="INV-0136"/>
    <s v="Kue Soes"/>
    <x v="1"/>
    <s v="Dine In"/>
    <s v="QRIS"/>
    <n v="4"/>
    <n v="12000"/>
    <n v="5500"/>
    <n v="48000"/>
    <n v="26000"/>
  </r>
  <r>
    <d v="2025-02-22T00:00:00"/>
    <s v="INV-0137"/>
    <s v="Kue Soes"/>
    <x v="1"/>
    <s v="Delivery"/>
    <s v="Cash"/>
    <n v="5"/>
    <n v="12000"/>
    <n v="5500"/>
    <n v="60000"/>
    <n v="32500"/>
  </r>
  <r>
    <d v="2025-10-17T00:00:00"/>
    <s v="INV-0138"/>
    <s v="Kopi Susu"/>
    <x v="0"/>
    <s v="Delivery"/>
    <s v="E-Wallet"/>
    <n v="6"/>
    <n v="18000"/>
    <n v="10000"/>
    <n v="108000"/>
    <n v="48000"/>
  </r>
  <r>
    <d v="2025-12-05T00:00:00"/>
    <s v="INV-0139"/>
    <s v="Croissant"/>
    <x v="2"/>
    <s v="Delivery"/>
    <s v="Debit"/>
    <n v="2"/>
    <n v="18000"/>
    <n v="9000"/>
    <n v="36000"/>
    <n v="18000"/>
  </r>
  <r>
    <d v="2025-01-07T00:00:00"/>
    <s v="INV-0140"/>
    <s v="Donat"/>
    <x v="2"/>
    <s v="Dine In"/>
    <s v="E-Wallet"/>
    <n v="8"/>
    <n v="12000"/>
    <n v="5500"/>
    <n v="96000"/>
    <n v="52000"/>
  </r>
  <r>
    <d v="2025-07-05T00:00:00"/>
    <s v="INV-0141"/>
    <s v="Roti Sosis"/>
    <x v="1"/>
    <s v="Delivery"/>
    <s v="QRIS"/>
    <n v="8"/>
    <n v="17000"/>
    <n v="8000"/>
    <n v="136000"/>
    <n v="72000"/>
  </r>
  <r>
    <d v="2025-08-11T00:00:00"/>
    <s v="INV-0142"/>
    <s v="Cappuccino"/>
    <x v="0"/>
    <s v="Delivery"/>
    <s v="E-Wallet"/>
    <n v="5"/>
    <n v="20000"/>
    <n v="11000"/>
    <n v="100000"/>
    <n v="45000"/>
  </r>
  <r>
    <d v="2025-08-27T00:00:00"/>
    <s v="INV-0143"/>
    <s v="Donat"/>
    <x v="2"/>
    <s v="Take Away"/>
    <s v="QRIS"/>
    <n v="5"/>
    <n v="12000"/>
    <n v="5500"/>
    <n v="60000"/>
    <n v="32500"/>
  </r>
  <r>
    <d v="2025-02-14T00:00:00"/>
    <s v="INV-0144"/>
    <s v="Teh Manis"/>
    <x v="0"/>
    <s v="Dine In"/>
    <s v="E-Wallet"/>
    <n v="8"/>
    <n v="10000"/>
    <n v="4500"/>
    <n v="80000"/>
    <n v="44000"/>
  </r>
  <r>
    <d v="2025-10-19T00:00:00"/>
    <s v="INV-0145"/>
    <s v="Roti Keju"/>
    <x v="1"/>
    <s v="Take Away"/>
    <s v="Cash"/>
    <n v="7"/>
    <n v="15000"/>
    <n v="7000"/>
    <n v="105000"/>
    <n v="56000"/>
  </r>
  <r>
    <d v="2025-09-11T00:00:00"/>
    <s v="INV-0146"/>
    <s v="Croissant"/>
    <x v="2"/>
    <s v="Take Away"/>
    <s v="QRIS"/>
    <n v="3"/>
    <n v="18000"/>
    <n v="9000"/>
    <n v="54000"/>
    <n v="27000"/>
  </r>
  <r>
    <d v="2025-07-01T00:00:00"/>
    <s v="INV-0147"/>
    <s v="Teh Manis"/>
    <x v="0"/>
    <s v="Take Away"/>
    <s v="Debit"/>
    <n v="6"/>
    <n v="10000"/>
    <n v="4500"/>
    <n v="60000"/>
    <n v="33000"/>
  </r>
  <r>
    <d v="2025-10-12T00:00:00"/>
    <s v="INV-0148"/>
    <s v="Kopi Susu"/>
    <x v="0"/>
    <s v="Dine In"/>
    <s v="QRIS"/>
    <n v="4"/>
    <n v="18000"/>
    <n v="10000"/>
    <n v="72000"/>
    <n v="32000"/>
  </r>
  <r>
    <d v="2025-07-28T00:00:00"/>
    <s v="INV-0149"/>
    <s v="Brownies"/>
    <x v="2"/>
    <s v="Delivery"/>
    <s v="E-Wallet"/>
    <n v="4"/>
    <n v="25000"/>
    <n v="13000"/>
    <n v="100000"/>
    <n v="48000"/>
  </r>
  <r>
    <d v="2025-11-27T00:00:00"/>
    <s v="INV-0150"/>
    <s v="Kue Soes"/>
    <x v="1"/>
    <s v="Take Away"/>
    <s v="Cash"/>
    <n v="8"/>
    <n v="12000"/>
    <n v="5500"/>
    <n v="96000"/>
    <n v="52000"/>
  </r>
  <r>
    <d v="2025-02-17T00:00:00"/>
    <s v="INV-0151"/>
    <s v="Teh Manis"/>
    <x v="0"/>
    <s v="Take Away"/>
    <s v="QRIS"/>
    <n v="4"/>
    <n v="10000"/>
    <n v="4500"/>
    <n v="40000"/>
    <n v="22000"/>
  </r>
  <r>
    <d v="2025-06-06T00:00:00"/>
    <s v="INV-0152"/>
    <s v="Roti Sosis"/>
    <x v="1"/>
    <s v="Take Away"/>
    <s v="Debit"/>
    <n v="6"/>
    <n v="17000"/>
    <n v="8000"/>
    <n v="102000"/>
    <n v="54000"/>
  </r>
  <r>
    <d v="2025-08-06T00:00:00"/>
    <s v="INV-0153"/>
    <s v="Kue Soes"/>
    <x v="1"/>
    <s v="Take Away"/>
    <s v="E-Wallet"/>
    <n v="6"/>
    <n v="12000"/>
    <n v="5500"/>
    <n v="72000"/>
    <n v="39000"/>
  </r>
  <r>
    <d v="2025-05-19T00:00:00"/>
    <s v="INV-0154"/>
    <s v="Teh Manis"/>
    <x v="0"/>
    <s v="Dine In"/>
    <s v="Cash"/>
    <n v="5"/>
    <n v="10000"/>
    <n v="4500"/>
    <n v="50000"/>
    <n v="27500"/>
  </r>
  <r>
    <d v="2025-04-09T00:00:00"/>
    <s v="INV-0155"/>
    <s v="Croissant"/>
    <x v="2"/>
    <s v="Delivery"/>
    <s v="QRIS"/>
    <n v="2"/>
    <n v="18000"/>
    <n v="9000"/>
    <n v="36000"/>
    <n v="18000"/>
  </r>
  <r>
    <d v="2025-04-09T00:00:00"/>
    <s v="INV-0156"/>
    <s v="Matcha Latte"/>
    <x v="0"/>
    <s v="Take Away"/>
    <s v="Debit"/>
    <n v="8"/>
    <n v="22000"/>
    <n v="12000"/>
    <n v="176000"/>
    <n v="80000"/>
  </r>
  <r>
    <d v="2025-02-21T00:00:00"/>
    <s v="INV-0157"/>
    <s v="Matcha Latte"/>
    <x v="0"/>
    <s v="Dine In"/>
    <s v="Debit"/>
    <n v="5"/>
    <n v="22000"/>
    <n v="12000"/>
    <n v="110000"/>
    <n v="50000"/>
  </r>
  <r>
    <d v="2025-04-02T00:00:00"/>
    <s v="INV-0158"/>
    <s v="Teh Manis"/>
    <x v="0"/>
    <s v="Delivery"/>
    <s v="QRIS"/>
    <n v="1"/>
    <n v="10000"/>
    <n v="4500"/>
    <n v="10000"/>
    <n v="5500"/>
  </r>
  <r>
    <d v="2025-05-21T00:00:00"/>
    <s v="INV-0159"/>
    <s v="Kopi Susu"/>
    <x v="0"/>
    <s v="Delivery"/>
    <s v="Debit"/>
    <n v="1"/>
    <n v="18000"/>
    <n v="10000"/>
    <n v="18000"/>
    <n v="8000"/>
  </r>
  <r>
    <d v="2025-12-24T00:00:00"/>
    <s v="INV-0160"/>
    <s v="Cappuccino"/>
    <x v="0"/>
    <s v="Dine In"/>
    <s v="Cash"/>
    <n v="8"/>
    <n v="20000"/>
    <n v="11000"/>
    <n v="160000"/>
    <n v="72000"/>
  </r>
  <r>
    <d v="2025-10-21T00:00:00"/>
    <s v="INV-0161"/>
    <s v="Teh Manis"/>
    <x v="0"/>
    <s v="Take Away"/>
    <s v="E-Wallet"/>
    <n v="8"/>
    <n v="10000"/>
    <n v="4500"/>
    <n v="80000"/>
    <n v="44000"/>
  </r>
  <r>
    <d v="2025-06-24T00:00:00"/>
    <s v="INV-0162"/>
    <s v="Cappuccino"/>
    <x v="0"/>
    <s v="Take Away"/>
    <s v="E-Wallet"/>
    <n v="1"/>
    <n v="20000"/>
    <n v="11000"/>
    <n v="20000"/>
    <n v="9000"/>
  </r>
  <r>
    <d v="2025-02-28T00:00:00"/>
    <s v="INV-0163"/>
    <s v="Americano"/>
    <x v="0"/>
    <s v="Take Away"/>
    <s v="Cash"/>
    <n v="7"/>
    <n v="15000"/>
    <n v="8000"/>
    <n v="105000"/>
    <n v="49000"/>
  </r>
  <r>
    <d v="2025-10-23T00:00:00"/>
    <s v="INV-0164"/>
    <s v="Roti Sosis"/>
    <x v="1"/>
    <s v="Dine In"/>
    <s v="QRIS"/>
    <n v="1"/>
    <n v="17000"/>
    <n v="8000"/>
    <n v="17000"/>
    <n v="9000"/>
  </r>
  <r>
    <d v="2025-10-16T00:00:00"/>
    <s v="INV-0165"/>
    <s v="Teh Manis"/>
    <x v="0"/>
    <s v="Dine In"/>
    <s v="Cash"/>
    <n v="2"/>
    <n v="10000"/>
    <n v="4500"/>
    <n v="20000"/>
    <n v="11000"/>
  </r>
  <r>
    <d v="2025-10-13T00:00:00"/>
    <s v="INV-0166"/>
    <s v="Donat"/>
    <x v="2"/>
    <s v="Delivery"/>
    <s v="E-Wallet"/>
    <n v="4"/>
    <n v="12000"/>
    <n v="5500"/>
    <n v="48000"/>
    <n v="26000"/>
  </r>
  <r>
    <d v="2025-08-19T00:00:00"/>
    <s v="INV-0167"/>
    <s v="Brownies"/>
    <x v="2"/>
    <s v="Delivery"/>
    <s v="E-Wallet"/>
    <n v="5"/>
    <n v="25000"/>
    <n v="13000"/>
    <n v="125000"/>
    <n v="60000"/>
  </r>
  <r>
    <d v="2025-06-06T00:00:00"/>
    <s v="INV-0168"/>
    <s v="Roti Keju"/>
    <x v="1"/>
    <s v="Delivery"/>
    <s v="Cash"/>
    <n v="1"/>
    <n v="15000"/>
    <n v="7000"/>
    <n v="15000"/>
    <n v="8000"/>
  </r>
  <r>
    <d v="2025-04-17T00:00:00"/>
    <s v="INV-0169"/>
    <s v="Roti Sosis"/>
    <x v="1"/>
    <s v="Take Away"/>
    <s v="Cash"/>
    <n v="4"/>
    <n v="17000"/>
    <n v="8000"/>
    <n v="68000"/>
    <n v="36000"/>
  </r>
  <r>
    <d v="2025-03-22T00:00:00"/>
    <s v="INV-0170"/>
    <s v="Matcha Latte"/>
    <x v="0"/>
    <s v="Delivery"/>
    <s v="Cash"/>
    <n v="3"/>
    <n v="22000"/>
    <n v="12000"/>
    <n v="66000"/>
    <n v="30000"/>
  </r>
  <r>
    <d v="2025-03-22T00:00:00"/>
    <s v="INV-0171"/>
    <s v="Kopi Susu"/>
    <x v="0"/>
    <s v="Take Away"/>
    <s v="E-Wallet"/>
    <n v="7"/>
    <n v="18000"/>
    <n v="10000"/>
    <n v="126000"/>
    <n v="56000"/>
  </r>
  <r>
    <d v="2025-05-30T00:00:00"/>
    <s v="INV-0172"/>
    <s v="Kopi Susu"/>
    <x v="0"/>
    <s v="Take Away"/>
    <s v="Debit"/>
    <n v="4"/>
    <n v="18000"/>
    <n v="10000"/>
    <n v="72000"/>
    <n v="32000"/>
  </r>
  <r>
    <d v="2025-12-26T00:00:00"/>
    <s v="INV-0173"/>
    <s v="Brownies"/>
    <x v="2"/>
    <s v="Delivery"/>
    <s v="QRIS"/>
    <n v="2"/>
    <n v="25000"/>
    <n v="13000"/>
    <n v="50000"/>
    <n v="24000"/>
  </r>
  <r>
    <d v="2025-05-16T00:00:00"/>
    <s v="INV-0174"/>
    <s v="Roti Sosis"/>
    <x v="1"/>
    <s v="Take Away"/>
    <s v="Cash"/>
    <n v="4"/>
    <n v="17000"/>
    <n v="8000"/>
    <n v="68000"/>
    <n v="36000"/>
  </r>
  <r>
    <d v="2025-10-06T00:00:00"/>
    <s v="INV-0175"/>
    <s v="Matcha Latte"/>
    <x v="0"/>
    <s v="Take Away"/>
    <s v="QRIS"/>
    <n v="3"/>
    <n v="22000"/>
    <n v="12000"/>
    <n v="66000"/>
    <n v="30000"/>
  </r>
  <r>
    <d v="2025-02-06T00:00:00"/>
    <s v="INV-0176"/>
    <s v="Kopi Susu"/>
    <x v="0"/>
    <s v="Take Away"/>
    <s v="Debit"/>
    <n v="3"/>
    <n v="18000"/>
    <n v="10000"/>
    <n v="54000"/>
    <n v="24000"/>
  </r>
  <r>
    <d v="2025-08-13T00:00:00"/>
    <s v="INV-0177"/>
    <s v="Americano"/>
    <x v="0"/>
    <s v="Delivery"/>
    <s v="Debit"/>
    <n v="8"/>
    <n v="15000"/>
    <n v="8000"/>
    <n v="120000"/>
    <n v="56000"/>
  </r>
  <r>
    <d v="2025-12-25T00:00:00"/>
    <s v="INV-0178"/>
    <s v="Donat"/>
    <x v="2"/>
    <s v="Delivery"/>
    <s v="E-Wallet"/>
    <n v="5"/>
    <n v="12000"/>
    <n v="5500"/>
    <n v="60000"/>
    <n v="32500"/>
  </r>
  <r>
    <d v="2025-08-13T00:00:00"/>
    <s v="INV-0179"/>
    <s v="Americano"/>
    <x v="0"/>
    <s v="Take Away"/>
    <s v="Debit"/>
    <n v="1"/>
    <n v="15000"/>
    <n v="8000"/>
    <n v="15000"/>
    <n v="7000"/>
  </r>
  <r>
    <d v="2025-11-06T00:00:00"/>
    <s v="INV-0180"/>
    <s v="Teh Manis"/>
    <x v="0"/>
    <s v="Dine In"/>
    <s v="QRIS"/>
    <n v="1"/>
    <n v="10000"/>
    <n v="4500"/>
    <n v="10000"/>
    <n v="5500"/>
  </r>
  <r>
    <d v="2025-12-12T00:00:00"/>
    <s v="INV-0181"/>
    <s v="Roti Keju"/>
    <x v="1"/>
    <s v="Delivery"/>
    <s v="Debit"/>
    <n v="1"/>
    <n v="15000"/>
    <n v="7000"/>
    <n v="15000"/>
    <n v="8000"/>
  </r>
  <r>
    <d v="2025-10-23T00:00:00"/>
    <s v="INV-0182"/>
    <s v="Kopi Susu"/>
    <x v="0"/>
    <s v="Take Away"/>
    <s v="E-Wallet"/>
    <n v="3"/>
    <n v="18000"/>
    <n v="10000"/>
    <n v="54000"/>
    <n v="24000"/>
  </r>
  <r>
    <d v="2025-05-23T00:00:00"/>
    <s v="INV-0183"/>
    <s v="Cappuccino"/>
    <x v="0"/>
    <s v="Delivery"/>
    <s v="E-Wallet"/>
    <n v="7"/>
    <n v="20000"/>
    <n v="11000"/>
    <n v="140000"/>
    <n v="63000"/>
  </r>
  <r>
    <d v="2025-02-16T00:00:00"/>
    <s v="INV-0184"/>
    <s v="Brownies"/>
    <x v="2"/>
    <s v="Take Away"/>
    <s v="Debit"/>
    <n v="6"/>
    <n v="25000"/>
    <n v="13000"/>
    <n v="150000"/>
    <n v="72000"/>
  </r>
  <r>
    <d v="2025-06-14T00:00:00"/>
    <s v="INV-0185"/>
    <s v="Roti Sosis"/>
    <x v="1"/>
    <s v="Dine In"/>
    <s v="Debit"/>
    <n v="2"/>
    <n v="17000"/>
    <n v="8000"/>
    <n v="34000"/>
    <n v="18000"/>
  </r>
  <r>
    <d v="2025-07-30T00:00:00"/>
    <s v="INV-0186"/>
    <s v="Kue Soes"/>
    <x v="1"/>
    <s v="Take Away"/>
    <s v="E-Wallet"/>
    <n v="8"/>
    <n v="12000"/>
    <n v="5500"/>
    <n v="96000"/>
    <n v="52000"/>
  </r>
  <r>
    <d v="2025-10-09T00:00:00"/>
    <s v="INV-0187"/>
    <s v="Kopi Susu"/>
    <x v="0"/>
    <s v="Dine In"/>
    <s v="Debit"/>
    <n v="8"/>
    <n v="18000"/>
    <n v="10000"/>
    <n v="144000"/>
    <n v="64000"/>
  </r>
  <r>
    <d v="2025-05-10T00:00:00"/>
    <s v="INV-0188"/>
    <s v="Croissant"/>
    <x v="2"/>
    <s v="Take Away"/>
    <s v="Cash"/>
    <n v="2"/>
    <n v="18000"/>
    <n v="9000"/>
    <n v="36000"/>
    <n v="18000"/>
  </r>
  <r>
    <d v="2025-12-03T00:00:00"/>
    <s v="INV-0189"/>
    <s v="Roti Cokelat"/>
    <x v="1"/>
    <s v="Take Away"/>
    <s v="Cash"/>
    <n v="8"/>
    <n v="14000"/>
    <n v="6500"/>
    <n v="112000"/>
    <n v="60000"/>
  </r>
  <r>
    <d v="2025-04-07T00:00:00"/>
    <s v="INV-0190"/>
    <s v="Roti Cokelat"/>
    <x v="1"/>
    <s v="Delivery"/>
    <s v="E-Wallet"/>
    <n v="6"/>
    <n v="14000"/>
    <n v="6500"/>
    <n v="84000"/>
    <n v="45000"/>
  </r>
  <r>
    <d v="2025-11-17T00:00:00"/>
    <s v="INV-0191"/>
    <s v="Brownies"/>
    <x v="2"/>
    <s v="Dine In"/>
    <s v="Debit"/>
    <n v="1"/>
    <n v="25000"/>
    <n v="13000"/>
    <n v="25000"/>
    <n v="12000"/>
  </r>
  <r>
    <d v="2025-10-09T00:00:00"/>
    <s v="INV-0192"/>
    <s v="Cappuccino"/>
    <x v="0"/>
    <s v="Take Away"/>
    <s v="E-Wallet"/>
    <n v="5"/>
    <n v="20000"/>
    <n v="11000"/>
    <n v="100000"/>
    <n v="45000"/>
  </r>
  <r>
    <d v="2025-03-04T00:00:00"/>
    <s v="INV-0193"/>
    <s v="Kopi Susu"/>
    <x v="0"/>
    <s v="Delivery"/>
    <s v="QRIS"/>
    <n v="4"/>
    <n v="18000"/>
    <n v="10000"/>
    <n v="72000"/>
    <n v="32000"/>
  </r>
  <r>
    <d v="2025-06-09T00:00:00"/>
    <s v="INV-0194"/>
    <s v="Roti Cokelat"/>
    <x v="1"/>
    <s v="Delivery"/>
    <s v="E-Wallet"/>
    <n v="1"/>
    <n v="14000"/>
    <n v="6500"/>
    <n v="14000"/>
    <n v="7500"/>
  </r>
  <r>
    <d v="2025-02-17T00:00:00"/>
    <s v="INV-0195"/>
    <s v="Matcha Latte"/>
    <x v="0"/>
    <s v="Take Away"/>
    <s v="Cash"/>
    <n v="2"/>
    <n v="22000"/>
    <n v="12000"/>
    <n v="44000"/>
    <n v="20000"/>
  </r>
  <r>
    <d v="2025-11-28T00:00:00"/>
    <s v="INV-0196"/>
    <s v="Cappuccino"/>
    <x v="0"/>
    <s v="Delivery"/>
    <s v="Debit"/>
    <n v="8"/>
    <n v="20000"/>
    <n v="11000"/>
    <n v="160000"/>
    <n v="72000"/>
  </r>
  <r>
    <d v="2025-09-18T00:00:00"/>
    <s v="INV-0197"/>
    <s v="Kue Soes"/>
    <x v="1"/>
    <s v="Take Away"/>
    <s v="E-Wallet"/>
    <n v="5"/>
    <n v="12000"/>
    <n v="5500"/>
    <n v="60000"/>
    <n v="32500"/>
  </r>
  <r>
    <d v="2025-08-30T00:00:00"/>
    <s v="INV-0198"/>
    <s v="Matcha Latte"/>
    <x v="0"/>
    <s v="Delivery"/>
    <s v="QRIS"/>
    <n v="8"/>
    <n v="22000"/>
    <n v="12000"/>
    <n v="176000"/>
    <n v="80000"/>
  </r>
  <r>
    <d v="2025-07-16T00:00:00"/>
    <s v="INV-0199"/>
    <s v="Matcha Latte"/>
    <x v="0"/>
    <s v="Dine In"/>
    <s v="Debit"/>
    <n v="3"/>
    <n v="22000"/>
    <n v="12000"/>
    <n v="66000"/>
    <n v="30000"/>
  </r>
  <r>
    <d v="2025-08-01T00:00:00"/>
    <s v="INV-0200"/>
    <s v="Croissant"/>
    <x v="2"/>
    <s v="Dine In"/>
    <s v="Debit"/>
    <n v="5"/>
    <n v="18000"/>
    <n v="9000"/>
    <n v="90000"/>
    <n v="45000"/>
  </r>
  <r>
    <d v="2025-06-02T00:00:00"/>
    <s v="INV-0201"/>
    <s v="Roti Keju"/>
    <x v="1"/>
    <s v="Dine In"/>
    <s v="E-Wallet"/>
    <n v="8"/>
    <n v="15000"/>
    <n v="7000"/>
    <n v="120000"/>
    <n v="64000"/>
  </r>
  <r>
    <d v="2025-10-03T00:00:00"/>
    <s v="INV-0202"/>
    <s v="Brownies"/>
    <x v="2"/>
    <s v="Take Away"/>
    <s v="E-Wallet"/>
    <n v="6"/>
    <n v="25000"/>
    <n v="13000"/>
    <n v="150000"/>
    <n v="72000"/>
  </r>
  <r>
    <d v="2025-08-22T00:00:00"/>
    <s v="INV-0203"/>
    <s v="Croissant"/>
    <x v="2"/>
    <s v="Delivery"/>
    <s v="QRIS"/>
    <n v="4"/>
    <n v="18000"/>
    <n v="9000"/>
    <n v="72000"/>
    <n v="36000"/>
  </r>
  <r>
    <d v="2025-10-20T00:00:00"/>
    <s v="INV-0204"/>
    <s v="Donat"/>
    <x v="2"/>
    <s v="Take Away"/>
    <s v="Cash"/>
    <n v="4"/>
    <n v="12000"/>
    <n v="5500"/>
    <n v="48000"/>
    <n v="26000"/>
  </r>
  <r>
    <d v="2025-06-12T00:00:00"/>
    <s v="INV-0205"/>
    <s v="Kue Soes"/>
    <x v="1"/>
    <s v="Delivery"/>
    <s v="E-Wallet"/>
    <n v="8"/>
    <n v="12000"/>
    <n v="5500"/>
    <n v="96000"/>
    <n v="52000"/>
  </r>
  <r>
    <d v="2025-07-17T00:00:00"/>
    <s v="INV-0206"/>
    <s v="Roti Sosis"/>
    <x v="1"/>
    <s v="Take Away"/>
    <s v="Cash"/>
    <n v="3"/>
    <n v="17000"/>
    <n v="8000"/>
    <n v="51000"/>
    <n v="27000"/>
  </r>
  <r>
    <d v="2025-03-06T00:00:00"/>
    <s v="INV-0207"/>
    <s v="Roti Cokelat"/>
    <x v="1"/>
    <s v="Dine In"/>
    <s v="E-Wallet"/>
    <n v="6"/>
    <n v="14000"/>
    <n v="6500"/>
    <n v="84000"/>
    <n v="45000"/>
  </r>
  <r>
    <d v="2025-02-21T00:00:00"/>
    <s v="INV-0208"/>
    <s v="Roti Cokelat"/>
    <x v="1"/>
    <s v="Dine In"/>
    <s v="QRIS"/>
    <n v="8"/>
    <n v="14000"/>
    <n v="6500"/>
    <n v="112000"/>
    <n v="60000"/>
  </r>
  <r>
    <d v="2025-07-29T00:00:00"/>
    <s v="INV-0209"/>
    <s v="Roti Sosis"/>
    <x v="1"/>
    <s v="Dine In"/>
    <s v="E-Wallet"/>
    <n v="3"/>
    <n v="17000"/>
    <n v="8000"/>
    <n v="51000"/>
    <n v="27000"/>
  </r>
  <r>
    <d v="2025-05-16T00:00:00"/>
    <s v="INV-0210"/>
    <s v="Croissant"/>
    <x v="2"/>
    <s v="Delivery"/>
    <s v="Cash"/>
    <n v="7"/>
    <n v="18000"/>
    <n v="9000"/>
    <n v="126000"/>
    <n v="63000"/>
  </r>
  <r>
    <d v="2025-06-18T00:00:00"/>
    <s v="INV-0211"/>
    <s v="Roti Sosis"/>
    <x v="1"/>
    <s v="Take Away"/>
    <s v="E-Wallet"/>
    <n v="7"/>
    <n v="17000"/>
    <n v="8000"/>
    <n v="119000"/>
    <n v="63000"/>
  </r>
  <r>
    <d v="2025-10-05T00:00:00"/>
    <s v="INV-0212"/>
    <s v="Kopi Susu"/>
    <x v="0"/>
    <s v="Dine In"/>
    <s v="Debit"/>
    <n v="2"/>
    <n v="18000"/>
    <n v="10000"/>
    <n v="36000"/>
    <n v="16000"/>
  </r>
  <r>
    <d v="2025-04-27T00:00:00"/>
    <s v="INV-0213"/>
    <s v="Kue Soes"/>
    <x v="1"/>
    <s v="Take Away"/>
    <s v="Cash"/>
    <n v="2"/>
    <n v="12000"/>
    <n v="5500"/>
    <n v="24000"/>
    <n v="13000"/>
  </r>
  <r>
    <d v="2025-11-21T00:00:00"/>
    <s v="INV-0214"/>
    <s v="Kue Soes"/>
    <x v="1"/>
    <s v="Take Away"/>
    <s v="QRIS"/>
    <n v="2"/>
    <n v="12000"/>
    <n v="5500"/>
    <n v="24000"/>
    <n v="13000"/>
  </r>
  <r>
    <d v="2025-12-22T00:00:00"/>
    <s v="INV-0215"/>
    <s v="Teh Manis"/>
    <x v="0"/>
    <s v="Dine In"/>
    <s v="Debit"/>
    <n v="1"/>
    <n v="10000"/>
    <n v="4500"/>
    <n v="10000"/>
    <n v="5500"/>
  </r>
  <r>
    <d v="2025-01-29T00:00:00"/>
    <s v="INV-0216"/>
    <s v="Teh Manis"/>
    <x v="0"/>
    <s v="Take Away"/>
    <s v="E-Wallet"/>
    <n v="6"/>
    <n v="10000"/>
    <n v="4500"/>
    <n v="60000"/>
    <n v="33000"/>
  </r>
  <r>
    <d v="2025-03-16T00:00:00"/>
    <s v="INV-0217"/>
    <s v="Matcha Latte"/>
    <x v="0"/>
    <s v="Delivery"/>
    <s v="QRIS"/>
    <n v="7"/>
    <n v="22000"/>
    <n v="12000"/>
    <n v="154000"/>
    <n v="70000"/>
  </r>
  <r>
    <d v="2025-03-29T00:00:00"/>
    <s v="INV-0218"/>
    <s v="Cappuccino"/>
    <x v="0"/>
    <s v="Delivery"/>
    <s v="E-Wallet"/>
    <n v="2"/>
    <n v="20000"/>
    <n v="11000"/>
    <n v="40000"/>
    <n v="18000"/>
  </r>
  <r>
    <d v="2025-11-14T00:00:00"/>
    <s v="INV-0219"/>
    <s v="Roti Sosis"/>
    <x v="1"/>
    <s v="Take Away"/>
    <s v="QRIS"/>
    <n v="4"/>
    <n v="17000"/>
    <n v="8000"/>
    <n v="68000"/>
    <n v="36000"/>
  </r>
  <r>
    <d v="2025-04-29T00:00:00"/>
    <s v="INV-0220"/>
    <s v="Brownies"/>
    <x v="2"/>
    <s v="Take Away"/>
    <s v="Debit"/>
    <n v="5"/>
    <n v="25000"/>
    <n v="13000"/>
    <n v="125000"/>
    <n v="60000"/>
  </r>
  <r>
    <d v="2025-12-08T00:00:00"/>
    <s v="INV-0221"/>
    <s v="Kopi Susu"/>
    <x v="0"/>
    <s v="Take Away"/>
    <s v="QRIS"/>
    <n v="8"/>
    <n v="18000"/>
    <n v="10000"/>
    <n v="144000"/>
    <n v="64000"/>
  </r>
  <r>
    <d v="2025-02-07T00:00:00"/>
    <s v="INV-0222"/>
    <s v="Brownies"/>
    <x v="2"/>
    <s v="Delivery"/>
    <s v="Debit"/>
    <n v="6"/>
    <n v="25000"/>
    <n v="13000"/>
    <n v="150000"/>
    <n v="72000"/>
  </r>
  <r>
    <d v="2025-11-24T00:00:00"/>
    <s v="INV-0223"/>
    <s v="Donat"/>
    <x v="2"/>
    <s v="Take Away"/>
    <s v="Debit"/>
    <n v="5"/>
    <n v="12000"/>
    <n v="5500"/>
    <n v="60000"/>
    <n v="32500"/>
  </r>
  <r>
    <d v="2025-04-12T00:00:00"/>
    <s v="INV-0224"/>
    <s v="Donat"/>
    <x v="2"/>
    <s v="Dine In"/>
    <s v="QRIS"/>
    <n v="8"/>
    <n v="12000"/>
    <n v="5500"/>
    <n v="96000"/>
    <n v="52000"/>
  </r>
  <r>
    <d v="2025-07-15T00:00:00"/>
    <s v="INV-0225"/>
    <s v="Roti Keju"/>
    <x v="1"/>
    <s v="Delivery"/>
    <s v="Debit"/>
    <n v="6"/>
    <n v="15000"/>
    <n v="7000"/>
    <n v="90000"/>
    <n v="48000"/>
  </r>
  <r>
    <d v="2025-12-25T00:00:00"/>
    <s v="INV-0226"/>
    <s v="Teh Manis"/>
    <x v="0"/>
    <s v="Delivery"/>
    <s v="E-Wallet"/>
    <n v="1"/>
    <n v="10000"/>
    <n v="4500"/>
    <n v="10000"/>
    <n v="5500"/>
  </r>
  <r>
    <d v="2025-05-21T00:00:00"/>
    <s v="INV-0227"/>
    <s v="Kopi Susu"/>
    <x v="0"/>
    <s v="Delivery"/>
    <s v="E-Wallet"/>
    <n v="1"/>
    <n v="18000"/>
    <n v="10000"/>
    <n v="18000"/>
    <n v="8000"/>
  </r>
  <r>
    <d v="2025-05-27T00:00:00"/>
    <s v="INV-0228"/>
    <s v="Matcha Latte"/>
    <x v="0"/>
    <s v="Dine In"/>
    <s v="QRIS"/>
    <n v="6"/>
    <n v="22000"/>
    <n v="12000"/>
    <n v="132000"/>
    <n v="60000"/>
  </r>
  <r>
    <d v="2025-11-14T00:00:00"/>
    <s v="INV-0229"/>
    <s v="Teh Manis"/>
    <x v="0"/>
    <s v="Delivery"/>
    <s v="Cash"/>
    <n v="3"/>
    <n v="10000"/>
    <n v="4500"/>
    <n v="30000"/>
    <n v="16500"/>
  </r>
  <r>
    <d v="2025-11-18T00:00:00"/>
    <s v="INV-0230"/>
    <s v="Roti Sosis"/>
    <x v="1"/>
    <s v="Take Away"/>
    <s v="E-Wallet"/>
    <n v="1"/>
    <n v="17000"/>
    <n v="8000"/>
    <n v="17000"/>
    <n v="9000"/>
  </r>
  <r>
    <d v="2025-01-18T00:00:00"/>
    <s v="INV-0231"/>
    <s v="Roti Keju"/>
    <x v="1"/>
    <s v="Delivery"/>
    <s v="QRIS"/>
    <n v="6"/>
    <n v="15000"/>
    <n v="7000"/>
    <n v="90000"/>
    <n v="48000"/>
  </r>
  <r>
    <d v="2025-02-16T00:00:00"/>
    <s v="INV-0232"/>
    <s v="Teh Manis"/>
    <x v="0"/>
    <s v="Delivery"/>
    <s v="E-Wallet"/>
    <n v="6"/>
    <n v="10000"/>
    <n v="4500"/>
    <n v="60000"/>
    <n v="33000"/>
  </r>
  <r>
    <d v="2025-03-31T00:00:00"/>
    <s v="INV-0233"/>
    <s v="Matcha Latte"/>
    <x v="0"/>
    <s v="Delivery"/>
    <s v="Debit"/>
    <n v="3"/>
    <n v="22000"/>
    <n v="12000"/>
    <n v="66000"/>
    <n v="30000"/>
  </r>
  <r>
    <d v="2025-09-29T00:00:00"/>
    <s v="INV-0234"/>
    <s v="Roti Cokelat"/>
    <x v="1"/>
    <s v="Dine In"/>
    <s v="Debit"/>
    <n v="5"/>
    <n v="14000"/>
    <n v="6500"/>
    <n v="70000"/>
    <n v="37500"/>
  </r>
  <r>
    <d v="2025-09-04T00:00:00"/>
    <s v="INV-0235"/>
    <s v="Teh Manis"/>
    <x v="0"/>
    <s v="Dine In"/>
    <s v="E-Wallet"/>
    <n v="6"/>
    <n v="10000"/>
    <n v="4500"/>
    <n v="60000"/>
    <n v="33000"/>
  </r>
  <r>
    <d v="2025-02-08T00:00:00"/>
    <s v="INV-0236"/>
    <s v="Cappuccino"/>
    <x v="0"/>
    <s v="Delivery"/>
    <s v="E-Wallet"/>
    <n v="4"/>
    <n v="20000"/>
    <n v="11000"/>
    <n v="80000"/>
    <n v="36000"/>
  </r>
  <r>
    <d v="2025-10-13T00:00:00"/>
    <s v="INV-0237"/>
    <s v="Croissant"/>
    <x v="2"/>
    <s v="Take Away"/>
    <s v="Cash"/>
    <n v="2"/>
    <n v="18000"/>
    <n v="9000"/>
    <n v="36000"/>
    <n v="18000"/>
  </r>
  <r>
    <d v="2025-05-16T00:00:00"/>
    <s v="INV-0238"/>
    <s v="Roti Cokelat"/>
    <x v="1"/>
    <s v="Take Away"/>
    <s v="Debit"/>
    <n v="2"/>
    <n v="14000"/>
    <n v="6500"/>
    <n v="28000"/>
    <n v="15000"/>
  </r>
  <r>
    <d v="2025-12-11T00:00:00"/>
    <s v="INV-0239"/>
    <s v="Kue Soes"/>
    <x v="1"/>
    <s v="Delivery"/>
    <s v="E-Wallet"/>
    <n v="5"/>
    <n v="12000"/>
    <n v="5500"/>
    <n v="60000"/>
    <n v="32500"/>
  </r>
  <r>
    <d v="2025-11-23T00:00:00"/>
    <s v="INV-0240"/>
    <s v="Croissant"/>
    <x v="2"/>
    <s v="Delivery"/>
    <s v="QRIS"/>
    <n v="2"/>
    <n v="18000"/>
    <n v="9000"/>
    <n v="36000"/>
    <n v="18000"/>
  </r>
  <r>
    <d v="2025-08-30T00:00:00"/>
    <s v="INV-0241"/>
    <s v="Kopi Susu"/>
    <x v="0"/>
    <s v="Delivery"/>
    <s v="QRIS"/>
    <n v="6"/>
    <n v="18000"/>
    <n v="10000"/>
    <n v="108000"/>
    <n v="48000"/>
  </r>
  <r>
    <d v="2025-11-28T00:00:00"/>
    <s v="INV-0242"/>
    <s v="Americano"/>
    <x v="0"/>
    <s v="Delivery"/>
    <s v="Debit"/>
    <n v="8"/>
    <n v="15000"/>
    <n v="8000"/>
    <n v="120000"/>
    <n v="56000"/>
  </r>
  <r>
    <d v="2025-11-29T00:00:00"/>
    <s v="INV-0243"/>
    <s v="Donat"/>
    <x v="2"/>
    <s v="Dine In"/>
    <s v="Cash"/>
    <n v="2"/>
    <n v="12000"/>
    <n v="5500"/>
    <n v="24000"/>
    <n v="13000"/>
  </r>
  <r>
    <d v="2025-01-20T00:00:00"/>
    <s v="INV-0244"/>
    <s v="Teh Manis"/>
    <x v="0"/>
    <s v="Dine In"/>
    <s v="Cash"/>
    <n v="8"/>
    <n v="10000"/>
    <n v="4500"/>
    <n v="80000"/>
    <n v="44000"/>
  </r>
  <r>
    <d v="2025-05-01T00:00:00"/>
    <s v="INV-0245"/>
    <s v="Roti Cokelat"/>
    <x v="1"/>
    <s v="Take Away"/>
    <s v="E-Wallet"/>
    <n v="3"/>
    <n v="14000"/>
    <n v="6500"/>
    <n v="42000"/>
    <n v="22500"/>
  </r>
  <r>
    <d v="2025-07-09T00:00:00"/>
    <s v="INV-0246"/>
    <s v="Roti Sosis"/>
    <x v="1"/>
    <s v="Delivery"/>
    <s v="QRIS"/>
    <n v="7"/>
    <n v="17000"/>
    <n v="8000"/>
    <n v="119000"/>
    <n v="63000"/>
  </r>
  <r>
    <d v="2025-08-01T00:00:00"/>
    <s v="INV-0247"/>
    <s v="Roti Sosis"/>
    <x v="1"/>
    <s v="Take Away"/>
    <s v="E-Wallet"/>
    <n v="2"/>
    <n v="17000"/>
    <n v="8000"/>
    <n v="34000"/>
    <n v="18000"/>
  </r>
  <r>
    <d v="2025-05-24T00:00:00"/>
    <s v="INV-0248"/>
    <s v="Kopi Susu"/>
    <x v="0"/>
    <s v="Dine In"/>
    <s v="E-Wallet"/>
    <n v="6"/>
    <n v="18000"/>
    <n v="10000"/>
    <n v="108000"/>
    <n v="48000"/>
  </r>
  <r>
    <d v="2025-08-16T00:00:00"/>
    <s v="INV-0249"/>
    <s v="Matcha Latte"/>
    <x v="0"/>
    <s v="Dine In"/>
    <s v="Debit"/>
    <n v="6"/>
    <n v="22000"/>
    <n v="12000"/>
    <n v="132000"/>
    <n v="60000"/>
  </r>
  <r>
    <d v="2025-10-06T00:00:00"/>
    <s v="INV-0250"/>
    <s v="Roti Sosis"/>
    <x v="1"/>
    <s v="Dine In"/>
    <s v="E-Wallet"/>
    <n v="6"/>
    <n v="17000"/>
    <n v="8000"/>
    <n v="102000"/>
    <n v="54000"/>
  </r>
  <r>
    <d v="2025-05-22T00:00:00"/>
    <s v="INV-0251"/>
    <s v="Matcha Latte"/>
    <x v="0"/>
    <s v="Take Away"/>
    <s v="Cash"/>
    <n v="2"/>
    <n v="22000"/>
    <n v="12000"/>
    <n v="44000"/>
    <n v="20000"/>
  </r>
  <r>
    <d v="2025-12-06T00:00:00"/>
    <s v="INV-0252"/>
    <s v="Matcha Latte"/>
    <x v="0"/>
    <s v="Dine In"/>
    <s v="Debit"/>
    <n v="1"/>
    <n v="22000"/>
    <n v="12000"/>
    <n v="22000"/>
    <n v="10000"/>
  </r>
  <r>
    <d v="2025-05-05T00:00:00"/>
    <s v="INV-0253"/>
    <s v="Cappuccino"/>
    <x v="0"/>
    <s v="Dine In"/>
    <s v="QRIS"/>
    <n v="4"/>
    <n v="20000"/>
    <n v="11000"/>
    <n v="80000"/>
    <n v="36000"/>
  </r>
  <r>
    <d v="2025-10-28T00:00:00"/>
    <s v="INV-0254"/>
    <s v="Matcha Latte"/>
    <x v="0"/>
    <s v="Take Away"/>
    <s v="QRIS"/>
    <n v="4"/>
    <n v="22000"/>
    <n v="12000"/>
    <n v="88000"/>
    <n v="40000"/>
  </r>
  <r>
    <d v="2025-11-02T00:00:00"/>
    <s v="INV-0255"/>
    <s v="Kopi Susu"/>
    <x v="0"/>
    <s v="Dine In"/>
    <s v="QRIS"/>
    <n v="5"/>
    <n v="18000"/>
    <n v="10000"/>
    <n v="90000"/>
    <n v="40000"/>
  </r>
  <r>
    <d v="2025-10-04T00:00:00"/>
    <s v="INV-0256"/>
    <s v="Teh Manis"/>
    <x v="0"/>
    <s v="Dine In"/>
    <s v="Cash"/>
    <n v="3"/>
    <n v="10000"/>
    <n v="4500"/>
    <n v="30000"/>
    <n v="16500"/>
  </r>
  <r>
    <d v="2025-03-09T00:00:00"/>
    <s v="INV-0257"/>
    <s v="Kopi Susu"/>
    <x v="0"/>
    <s v="Dine In"/>
    <s v="Debit"/>
    <n v="6"/>
    <n v="18000"/>
    <n v="10000"/>
    <n v="108000"/>
    <n v="48000"/>
  </r>
  <r>
    <d v="2025-01-09T00:00:00"/>
    <s v="INV-0258"/>
    <s v="Cappuccino"/>
    <x v="0"/>
    <s v="Dine In"/>
    <s v="QRIS"/>
    <n v="5"/>
    <n v="20000"/>
    <n v="11000"/>
    <n v="100000"/>
    <n v="45000"/>
  </r>
  <r>
    <d v="2025-08-04T00:00:00"/>
    <s v="INV-0259"/>
    <s v="Roti Cokelat"/>
    <x v="1"/>
    <s v="Delivery"/>
    <s v="Cash"/>
    <n v="2"/>
    <n v="14000"/>
    <n v="6500"/>
    <n v="28000"/>
    <n v="15000"/>
  </r>
  <r>
    <d v="2025-09-01T00:00:00"/>
    <s v="INV-0260"/>
    <s v="Brownies"/>
    <x v="2"/>
    <s v="Delivery"/>
    <s v="Cash"/>
    <n v="6"/>
    <n v="25000"/>
    <n v="13000"/>
    <n v="150000"/>
    <n v="72000"/>
  </r>
  <r>
    <d v="2025-08-20T00:00:00"/>
    <s v="INV-0261"/>
    <s v="Roti Cokelat"/>
    <x v="1"/>
    <s v="Delivery"/>
    <s v="Cash"/>
    <n v="4"/>
    <n v="14000"/>
    <n v="6500"/>
    <n v="56000"/>
    <n v="30000"/>
  </r>
  <r>
    <d v="2025-12-04T00:00:00"/>
    <s v="INV-0262"/>
    <s v="Roti Cokelat"/>
    <x v="1"/>
    <s v="Take Away"/>
    <s v="Cash"/>
    <n v="5"/>
    <n v="14000"/>
    <n v="6500"/>
    <n v="70000"/>
    <n v="37500"/>
  </r>
  <r>
    <d v="2025-02-01T00:00:00"/>
    <s v="INV-0263"/>
    <s v="Brownies"/>
    <x v="2"/>
    <s v="Take Away"/>
    <s v="Cash"/>
    <n v="7"/>
    <n v="25000"/>
    <n v="13000"/>
    <n v="175000"/>
    <n v="84000"/>
  </r>
  <r>
    <d v="2025-09-09T00:00:00"/>
    <s v="INV-0264"/>
    <s v="Kue Soes"/>
    <x v="1"/>
    <s v="Dine In"/>
    <s v="Cash"/>
    <n v="8"/>
    <n v="12000"/>
    <n v="5500"/>
    <n v="96000"/>
    <n v="52000"/>
  </r>
  <r>
    <d v="2025-06-14T00:00:00"/>
    <s v="INV-0265"/>
    <s v="Roti Keju"/>
    <x v="1"/>
    <s v="Dine In"/>
    <s v="QRIS"/>
    <n v="3"/>
    <n v="15000"/>
    <n v="7000"/>
    <n v="45000"/>
    <n v="24000"/>
  </r>
  <r>
    <d v="2025-05-21T00:00:00"/>
    <s v="INV-0266"/>
    <s v="Roti Keju"/>
    <x v="1"/>
    <s v="Take Away"/>
    <s v="Debit"/>
    <n v="6"/>
    <n v="15000"/>
    <n v="7000"/>
    <n v="90000"/>
    <n v="48000"/>
  </r>
  <r>
    <d v="2025-08-21T00:00:00"/>
    <s v="INV-0267"/>
    <s v="Roti Cokelat"/>
    <x v="1"/>
    <s v="Dine In"/>
    <s v="Cash"/>
    <n v="7"/>
    <n v="14000"/>
    <n v="6500"/>
    <n v="98000"/>
    <n v="52500"/>
  </r>
  <r>
    <d v="2025-12-02T00:00:00"/>
    <s v="INV-0268"/>
    <s v="Roti Sosis"/>
    <x v="1"/>
    <s v="Take Away"/>
    <s v="E-Wallet"/>
    <n v="4"/>
    <n v="17000"/>
    <n v="8000"/>
    <n v="68000"/>
    <n v="36000"/>
  </r>
  <r>
    <d v="2025-04-27T00:00:00"/>
    <s v="INV-0269"/>
    <s v="Donat"/>
    <x v="2"/>
    <s v="Take Away"/>
    <s v="E-Wallet"/>
    <n v="6"/>
    <n v="12000"/>
    <n v="5500"/>
    <n v="72000"/>
    <n v="39000"/>
  </r>
  <r>
    <d v="2025-08-01T00:00:00"/>
    <s v="INV-0270"/>
    <s v="Kue Soes"/>
    <x v="1"/>
    <s v="Take Away"/>
    <s v="E-Wallet"/>
    <n v="2"/>
    <n v="12000"/>
    <n v="5500"/>
    <n v="24000"/>
    <n v="13000"/>
  </r>
  <r>
    <d v="2025-06-10T00:00:00"/>
    <s v="INV-0271"/>
    <s v="Roti Sosis"/>
    <x v="1"/>
    <s v="Take Away"/>
    <s v="QRIS"/>
    <n v="5"/>
    <n v="17000"/>
    <n v="8000"/>
    <n v="85000"/>
    <n v="45000"/>
  </r>
  <r>
    <d v="2025-12-18T00:00:00"/>
    <s v="INV-0272"/>
    <s v="Brownies"/>
    <x v="2"/>
    <s v="Dine In"/>
    <s v="Cash"/>
    <n v="2"/>
    <n v="25000"/>
    <n v="13000"/>
    <n v="50000"/>
    <n v="24000"/>
  </r>
  <r>
    <d v="2025-02-17T00:00:00"/>
    <s v="INV-0273"/>
    <s v="Donat"/>
    <x v="2"/>
    <s v="Delivery"/>
    <s v="Debit"/>
    <n v="2"/>
    <n v="12000"/>
    <n v="5500"/>
    <n v="24000"/>
    <n v="13000"/>
  </r>
  <r>
    <d v="2025-03-08T00:00:00"/>
    <s v="INV-0274"/>
    <s v="Roti Cokelat"/>
    <x v="1"/>
    <s v="Delivery"/>
    <s v="Debit"/>
    <n v="1"/>
    <n v="14000"/>
    <n v="6500"/>
    <n v="14000"/>
    <n v="7500"/>
  </r>
  <r>
    <d v="2025-12-10T00:00:00"/>
    <s v="INV-0275"/>
    <s v="Americano"/>
    <x v="0"/>
    <s v="Take Away"/>
    <s v="E-Wallet"/>
    <n v="7"/>
    <n v="15000"/>
    <n v="8000"/>
    <n v="105000"/>
    <n v="49000"/>
  </r>
  <r>
    <d v="2025-01-27T00:00:00"/>
    <s v="INV-0276"/>
    <s v="Teh Manis"/>
    <x v="0"/>
    <s v="Take Away"/>
    <s v="Cash"/>
    <n v="5"/>
    <n v="10000"/>
    <n v="4500"/>
    <n v="50000"/>
    <n v="27500"/>
  </r>
  <r>
    <d v="2025-10-23T00:00:00"/>
    <s v="INV-0277"/>
    <s v="Roti Cokelat"/>
    <x v="1"/>
    <s v="Dine In"/>
    <s v="E-Wallet"/>
    <n v="4"/>
    <n v="14000"/>
    <n v="6500"/>
    <n v="56000"/>
    <n v="30000"/>
  </r>
  <r>
    <d v="2025-04-25T00:00:00"/>
    <s v="INV-0278"/>
    <s v="Americano"/>
    <x v="0"/>
    <s v="Delivery"/>
    <s v="Debit"/>
    <n v="6"/>
    <n v="15000"/>
    <n v="8000"/>
    <n v="90000"/>
    <n v="42000"/>
  </r>
  <r>
    <d v="2025-02-28T00:00:00"/>
    <s v="INV-0279"/>
    <s v="Teh Manis"/>
    <x v="0"/>
    <s v="Take Away"/>
    <s v="Cash"/>
    <n v="4"/>
    <n v="10000"/>
    <n v="4500"/>
    <n v="40000"/>
    <n v="22000"/>
  </r>
  <r>
    <d v="2025-11-08T00:00:00"/>
    <s v="INV-0280"/>
    <s v="Roti Sosis"/>
    <x v="1"/>
    <s v="Dine In"/>
    <s v="QRIS"/>
    <n v="5"/>
    <n v="17000"/>
    <n v="8000"/>
    <n v="85000"/>
    <n v="45000"/>
  </r>
  <r>
    <d v="2025-05-20T00:00:00"/>
    <s v="INV-0281"/>
    <s v="Kue Soes"/>
    <x v="1"/>
    <s v="Take Away"/>
    <s v="Debit"/>
    <n v="5"/>
    <n v="12000"/>
    <n v="5500"/>
    <n v="60000"/>
    <n v="32500"/>
  </r>
  <r>
    <d v="2025-01-04T00:00:00"/>
    <s v="INV-0282"/>
    <s v="Cappuccino"/>
    <x v="0"/>
    <s v="Delivery"/>
    <s v="E-Wallet"/>
    <n v="3"/>
    <n v="20000"/>
    <n v="11000"/>
    <n v="60000"/>
    <n v="27000"/>
  </r>
  <r>
    <d v="2025-02-05T00:00:00"/>
    <s v="INV-0283"/>
    <s v="Cappuccino"/>
    <x v="0"/>
    <s v="Dine In"/>
    <s v="QRIS"/>
    <n v="1"/>
    <n v="20000"/>
    <n v="11000"/>
    <n v="20000"/>
    <n v="9000"/>
  </r>
  <r>
    <d v="2025-07-12T00:00:00"/>
    <s v="INV-0284"/>
    <s v="Donat"/>
    <x v="2"/>
    <s v="Take Away"/>
    <s v="QRIS"/>
    <n v="8"/>
    <n v="12000"/>
    <n v="5500"/>
    <n v="96000"/>
    <n v="52000"/>
  </r>
  <r>
    <d v="2025-07-09T00:00:00"/>
    <s v="INV-0285"/>
    <s v="Teh Manis"/>
    <x v="0"/>
    <s v="Delivery"/>
    <s v="Cash"/>
    <n v="6"/>
    <n v="10000"/>
    <n v="4500"/>
    <n v="60000"/>
    <n v="33000"/>
  </r>
  <r>
    <d v="2025-01-27T00:00:00"/>
    <s v="INV-0286"/>
    <s v="Cappuccino"/>
    <x v="0"/>
    <s v="Delivery"/>
    <s v="Cash"/>
    <n v="3"/>
    <n v="20000"/>
    <n v="11000"/>
    <n v="60000"/>
    <n v="27000"/>
  </r>
  <r>
    <d v="2025-12-12T00:00:00"/>
    <s v="INV-0287"/>
    <s v="Americano"/>
    <x v="0"/>
    <s v="Take Away"/>
    <s v="E-Wallet"/>
    <n v="5"/>
    <n v="15000"/>
    <n v="8000"/>
    <n v="75000"/>
    <n v="35000"/>
  </r>
  <r>
    <d v="2025-09-06T00:00:00"/>
    <s v="INV-0288"/>
    <s v="Roti Keju"/>
    <x v="1"/>
    <s v="Take Away"/>
    <s v="Debit"/>
    <n v="8"/>
    <n v="15000"/>
    <n v="7000"/>
    <n v="120000"/>
    <n v="64000"/>
  </r>
  <r>
    <d v="2025-04-21T00:00:00"/>
    <s v="INV-0289"/>
    <s v="Roti Cokelat"/>
    <x v="1"/>
    <s v="Take Away"/>
    <s v="E-Wallet"/>
    <n v="2"/>
    <n v="14000"/>
    <n v="6500"/>
    <n v="28000"/>
    <n v="15000"/>
  </r>
  <r>
    <d v="2025-02-26T00:00:00"/>
    <s v="INV-0290"/>
    <s v="Teh Manis"/>
    <x v="0"/>
    <s v="Delivery"/>
    <s v="Debit"/>
    <n v="8"/>
    <n v="10000"/>
    <n v="4500"/>
    <n v="80000"/>
    <n v="44000"/>
  </r>
  <r>
    <d v="2025-01-24T00:00:00"/>
    <s v="INV-0291"/>
    <s v="Matcha Latte"/>
    <x v="0"/>
    <s v="Delivery"/>
    <s v="Cash"/>
    <n v="7"/>
    <n v="22000"/>
    <n v="12000"/>
    <n v="154000"/>
    <n v="70000"/>
  </r>
  <r>
    <d v="2025-01-04T00:00:00"/>
    <s v="INV-0292"/>
    <s v="Matcha Latte"/>
    <x v="0"/>
    <s v="Dine In"/>
    <s v="QRIS"/>
    <n v="5"/>
    <n v="22000"/>
    <n v="12000"/>
    <n v="110000"/>
    <n v="50000"/>
  </r>
  <r>
    <d v="2025-05-11T00:00:00"/>
    <s v="INV-0293"/>
    <s v="Teh Manis"/>
    <x v="0"/>
    <s v="Dine In"/>
    <s v="Cash"/>
    <n v="6"/>
    <n v="10000"/>
    <n v="4500"/>
    <n v="60000"/>
    <n v="33000"/>
  </r>
  <r>
    <d v="2025-09-12T00:00:00"/>
    <s v="INV-0294"/>
    <s v="Kue Soes"/>
    <x v="1"/>
    <s v="Dine In"/>
    <s v="QRIS"/>
    <n v="7"/>
    <n v="12000"/>
    <n v="5500"/>
    <n v="84000"/>
    <n v="45500"/>
  </r>
  <r>
    <d v="2025-07-14T00:00:00"/>
    <s v="INV-0295"/>
    <s v="Roti Cokelat"/>
    <x v="1"/>
    <s v="Delivery"/>
    <s v="Debit"/>
    <n v="4"/>
    <n v="14000"/>
    <n v="6500"/>
    <n v="56000"/>
    <n v="30000"/>
  </r>
  <r>
    <d v="2025-02-06T00:00:00"/>
    <s v="INV-0296"/>
    <s v="Donat"/>
    <x v="2"/>
    <s v="Take Away"/>
    <s v="Cash"/>
    <n v="1"/>
    <n v="12000"/>
    <n v="5500"/>
    <n v="12000"/>
    <n v="6500"/>
  </r>
  <r>
    <d v="2025-08-24T00:00:00"/>
    <s v="INV-0297"/>
    <s v="Americano"/>
    <x v="0"/>
    <s v="Delivery"/>
    <s v="E-Wallet"/>
    <n v="6"/>
    <n v="15000"/>
    <n v="8000"/>
    <n v="90000"/>
    <n v="42000"/>
  </r>
  <r>
    <d v="2025-10-21T00:00:00"/>
    <s v="INV-0298"/>
    <s v="Donat"/>
    <x v="2"/>
    <s v="Take Away"/>
    <s v="Cash"/>
    <n v="7"/>
    <n v="12000"/>
    <n v="5500"/>
    <n v="84000"/>
    <n v="45500"/>
  </r>
  <r>
    <d v="2025-07-27T00:00:00"/>
    <s v="INV-0299"/>
    <s v="Kopi Susu"/>
    <x v="0"/>
    <s v="Dine In"/>
    <s v="E-Wallet"/>
    <n v="6"/>
    <n v="18000"/>
    <n v="10000"/>
    <n v="108000"/>
    <n v="48000"/>
  </r>
  <r>
    <d v="2025-12-20T00:00:00"/>
    <s v="INV-0300"/>
    <s v="Croissant"/>
    <x v="2"/>
    <s v="Take Away"/>
    <s v="Cash"/>
    <n v="2"/>
    <n v="18000"/>
    <n v="9000"/>
    <n v="36000"/>
    <n v="18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x v="0"/>
    <x v="0"/>
    <n v="15000"/>
    <n v="8000"/>
    <x v="0"/>
    <n v="7000"/>
  </r>
  <r>
    <x v="1"/>
    <x v="1"/>
    <x v="1"/>
    <x v="0"/>
    <x v="0"/>
    <x v="1"/>
    <x v="1"/>
    <n v="22000"/>
    <n v="12000"/>
    <x v="1"/>
    <n v="30000"/>
  </r>
  <r>
    <x v="2"/>
    <x v="2"/>
    <x v="2"/>
    <x v="1"/>
    <x v="0"/>
    <x v="2"/>
    <x v="2"/>
    <n v="12000"/>
    <n v="5500"/>
    <x v="2"/>
    <n v="13000"/>
  </r>
  <r>
    <x v="3"/>
    <x v="3"/>
    <x v="3"/>
    <x v="0"/>
    <x v="1"/>
    <x v="3"/>
    <x v="2"/>
    <n v="18000"/>
    <n v="10000"/>
    <x v="3"/>
    <n v="16000"/>
  </r>
  <r>
    <x v="4"/>
    <x v="4"/>
    <x v="4"/>
    <x v="1"/>
    <x v="0"/>
    <x v="3"/>
    <x v="0"/>
    <n v="15000"/>
    <n v="7000"/>
    <x v="0"/>
    <n v="8000"/>
  </r>
  <r>
    <x v="5"/>
    <x v="5"/>
    <x v="2"/>
    <x v="1"/>
    <x v="1"/>
    <x v="2"/>
    <x v="3"/>
    <n v="12000"/>
    <n v="5500"/>
    <x v="4"/>
    <n v="45500"/>
  </r>
  <r>
    <x v="6"/>
    <x v="6"/>
    <x v="5"/>
    <x v="0"/>
    <x v="1"/>
    <x v="2"/>
    <x v="0"/>
    <n v="10000"/>
    <n v="4500"/>
    <x v="5"/>
    <n v="5500"/>
  </r>
  <r>
    <x v="7"/>
    <x v="7"/>
    <x v="5"/>
    <x v="0"/>
    <x v="1"/>
    <x v="0"/>
    <x v="1"/>
    <n v="10000"/>
    <n v="4500"/>
    <x v="6"/>
    <n v="16500"/>
  </r>
  <r>
    <x v="8"/>
    <x v="8"/>
    <x v="0"/>
    <x v="0"/>
    <x v="1"/>
    <x v="0"/>
    <x v="3"/>
    <n v="15000"/>
    <n v="8000"/>
    <x v="7"/>
    <n v="49000"/>
  </r>
  <r>
    <x v="9"/>
    <x v="9"/>
    <x v="4"/>
    <x v="1"/>
    <x v="1"/>
    <x v="2"/>
    <x v="4"/>
    <n v="15000"/>
    <n v="7000"/>
    <x v="8"/>
    <n v="40000"/>
  </r>
  <r>
    <x v="10"/>
    <x v="10"/>
    <x v="0"/>
    <x v="0"/>
    <x v="1"/>
    <x v="0"/>
    <x v="3"/>
    <n v="15000"/>
    <n v="8000"/>
    <x v="7"/>
    <n v="49000"/>
  </r>
  <r>
    <x v="11"/>
    <x v="11"/>
    <x v="4"/>
    <x v="1"/>
    <x v="0"/>
    <x v="3"/>
    <x v="5"/>
    <n v="15000"/>
    <n v="7000"/>
    <x v="9"/>
    <n v="48000"/>
  </r>
  <r>
    <x v="12"/>
    <x v="12"/>
    <x v="0"/>
    <x v="0"/>
    <x v="0"/>
    <x v="3"/>
    <x v="0"/>
    <n v="15000"/>
    <n v="8000"/>
    <x v="0"/>
    <n v="7000"/>
  </r>
  <r>
    <x v="13"/>
    <x v="13"/>
    <x v="0"/>
    <x v="0"/>
    <x v="1"/>
    <x v="2"/>
    <x v="6"/>
    <n v="15000"/>
    <n v="8000"/>
    <x v="10"/>
    <n v="28000"/>
  </r>
  <r>
    <x v="14"/>
    <x v="14"/>
    <x v="6"/>
    <x v="2"/>
    <x v="1"/>
    <x v="0"/>
    <x v="5"/>
    <n v="25000"/>
    <n v="13000"/>
    <x v="11"/>
    <n v="72000"/>
  </r>
  <r>
    <x v="15"/>
    <x v="15"/>
    <x v="1"/>
    <x v="0"/>
    <x v="0"/>
    <x v="1"/>
    <x v="4"/>
    <n v="22000"/>
    <n v="12000"/>
    <x v="12"/>
    <n v="50000"/>
  </r>
  <r>
    <x v="16"/>
    <x v="16"/>
    <x v="7"/>
    <x v="1"/>
    <x v="0"/>
    <x v="3"/>
    <x v="1"/>
    <n v="17000"/>
    <n v="8000"/>
    <x v="13"/>
    <n v="27000"/>
  </r>
  <r>
    <x v="17"/>
    <x v="17"/>
    <x v="6"/>
    <x v="2"/>
    <x v="2"/>
    <x v="3"/>
    <x v="3"/>
    <n v="25000"/>
    <n v="13000"/>
    <x v="14"/>
    <n v="84000"/>
  </r>
  <r>
    <x v="18"/>
    <x v="18"/>
    <x v="8"/>
    <x v="2"/>
    <x v="1"/>
    <x v="1"/>
    <x v="0"/>
    <n v="18000"/>
    <n v="9000"/>
    <x v="15"/>
    <n v="9000"/>
  </r>
  <r>
    <x v="19"/>
    <x v="19"/>
    <x v="9"/>
    <x v="2"/>
    <x v="1"/>
    <x v="3"/>
    <x v="4"/>
    <n v="12000"/>
    <n v="5500"/>
    <x v="10"/>
    <n v="32500"/>
  </r>
  <r>
    <x v="20"/>
    <x v="20"/>
    <x v="2"/>
    <x v="1"/>
    <x v="1"/>
    <x v="2"/>
    <x v="5"/>
    <n v="12000"/>
    <n v="5500"/>
    <x v="16"/>
    <n v="39000"/>
  </r>
  <r>
    <x v="21"/>
    <x v="21"/>
    <x v="7"/>
    <x v="1"/>
    <x v="1"/>
    <x v="0"/>
    <x v="7"/>
    <n v="17000"/>
    <n v="8000"/>
    <x v="17"/>
    <n v="72000"/>
  </r>
  <r>
    <x v="22"/>
    <x v="22"/>
    <x v="1"/>
    <x v="0"/>
    <x v="0"/>
    <x v="2"/>
    <x v="4"/>
    <n v="22000"/>
    <n v="12000"/>
    <x v="12"/>
    <n v="50000"/>
  </r>
  <r>
    <x v="23"/>
    <x v="23"/>
    <x v="9"/>
    <x v="2"/>
    <x v="1"/>
    <x v="3"/>
    <x v="5"/>
    <n v="12000"/>
    <n v="5500"/>
    <x v="16"/>
    <n v="39000"/>
  </r>
  <r>
    <x v="24"/>
    <x v="24"/>
    <x v="6"/>
    <x v="2"/>
    <x v="1"/>
    <x v="1"/>
    <x v="2"/>
    <n v="25000"/>
    <n v="13000"/>
    <x v="18"/>
    <n v="24000"/>
  </r>
  <r>
    <x v="25"/>
    <x v="25"/>
    <x v="7"/>
    <x v="1"/>
    <x v="0"/>
    <x v="2"/>
    <x v="1"/>
    <n v="17000"/>
    <n v="8000"/>
    <x v="13"/>
    <n v="27000"/>
  </r>
  <r>
    <x v="26"/>
    <x v="26"/>
    <x v="0"/>
    <x v="0"/>
    <x v="2"/>
    <x v="2"/>
    <x v="3"/>
    <n v="15000"/>
    <n v="8000"/>
    <x v="7"/>
    <n v="49000"/>
  </r>
  <r>
    <x v="27"/>
    <x v="27"/>
    <x v="5"/>
    <x v="0"/>
    <x v="0"/>
    <x v="1"/>
    <x v="0"/>
    <n v="10000"/>
    <n v="4500"/>
    <x v="5"/>
    <n v="5500"/>
  </r>
  <r>
    <x v="28"/>
    <x v="28"/>
    <x v="10"/>
    <x v="1"/>
    <x v="0"/>
    <x v="0"/>
    <x v="4"/>
    <n v="14000"/>
    <n v="6500"/>
    <x v="19"/>
    <n v="37500"/>
  </r>
  <r>
    <x v="29"/>
    <x v="29"/>
    <x v="5"/>
    <x v="0"/>
    <x v="1"/>
    <x v="2"/>
    <x v="3"/>
    <n v="10000"/>
    <n v="4500"/>
    <x v="19"/>
    <n v="38500"/>
  </r>
  <r>
    <x v="30"/>
    <x v="30"/>
    <x v="2"/>
    <x v="1"/>
    <x v="0"/>
    <x v="3"/>
    <x v="4"/>
    <n v="12000"/>
    <n v="5500"/>
    <x v="10"/>
    <n v="32500"/>
  </r>
  <r>
    <x v="31"/>
    <x v="31"/>
    <x v="0"/>
    <x v="0"/>
    <x v="0"/>
    <x v="3"/>
    <x v="4"/>
    <n v="15000"/>
    <n v="8000"/>
    <x v="8"/>
    <n v="35000"/>
  </r>
  <r>
    <x v="25"/>
    <x v="32"/>
    <x v="8"/>
    <x v="2"/>
    <x v="0"/>
    <x v="1"/>
    <x v="1"/>
    <n v="18000"/>
    <n v="9000"/>
    <x v="20"/>
    <n v="27000"/>
  </r>
  <r>
    <x v="32"/>
    <x v="33"/>
    <x v="8"/>
    <x v="2"/>
    <x v="1"/>
    <x v="1"/>
    <x v="7"/>
    <n v="18000"/>
    <n v="9000"/>
    <x v="21"/>
    <n v="72000"/>
  </r>
  <r>
    <x v="33"/>
    <x v="34"/>
    <x v="5"/>
    <x v="0"/>
    <x v="1"/>
    <x v="3"/>
    <x v="6"/>
    <n v="10000"/>
    <n v="4500"/>
    <x v="22"/>
    <n v="22000"/>
  </r>
  <r>
    <x v="20"/>
    <x v="35"/>
    <x v="0"/>
    <x v="0"/>
    <x v="0"/>
    <x v="2"/>
    <x v="2"/>
    <n v="15000"/>
    <n v="8000"/>
    <x v="6"/>
    <n v="14000"/>
  </r>
  <r>
    <x v="34"/>
    <x v="36"/>
    <x v="10"/>
    <x v="1"/>
    <x v="1"/>
    <x v="2"/>
    <x v="1"/>
    <n v="14000"/>
    <n v="6500"/>
    <x v="23"/>
    <n v="22500"/>
  </r>
  <r>
    <x v="35"/>
    <x v="37"/>
    <x v="11"/>
    <x v="0"/>
    <x v="0"/>
    <x v="2"/>
    <x v="4"/>
    <n v="20000"/>
    <n v="11000"/>
    <x v="24"/>
    <n v="45000"/>
  </r>
  <r>
    <x v="36"/>
    <x v="38"/>
    <x v="10"/>
    <x v="1"/>
    <x v="0"/>
    <x v="0"/>
    <x v="6"/>
    <n v="14000"/>
    <n v="6500"/>
    <x v="25"/>
    <n v="30000"/>
  </r>
  <r>
    <x v="37"/>
    <x v="39"/>
    <x v="7"/>
    <x v="1"/>
    <x v="2"/>
    <x v="2"/>
    <x v="5"/>
    <n v="17000"/>
    <n v="8000"/>
    <x v="26"/>
    <n v="54000"/>
  </r>
  <r>
    <x v="38"/>
    <x v="40"/>
    <x v="1"/>
    <x v="0"/>
    <x v="1"/>
    <x v="0"/>
    <x v="6"/>
    <n v="22000"/>
    <n v="12000"/>
    <x v="27"/>
    <n v="40000"/>
  </r>
  <r>
    <x v="39"/>
    <x v="41"/>
    <x v="4"/>
    <x v="1"/>
    <x v="0"/>
    <x v="3"/>
    <x v="6"/>
    <n v="15000"/>
    <n v="7000"/>
    <x v="10"/>
    <n v="32000"/>
  </r>
  <r>
    <x v="40"/>
    <x v="42"/>
    <x v="0"/>
    <x v="0"/>
    <x v="1"/>
    <x v="1"/>
    <x v="0"/>
    <n v="15000"/>
    <n v="8000"/>
    <x v="0"/>
    <n v="7000"/>
  </r>
  <r>
    <x v="3"/>
    <x v="43"/>
    <x v="8"/>
    <x v="2"/>
    <x v="0"/>
    <x v="3"/>
    <x v="2"/>
    <n v="18000"/>
    <n v="9000"/>
    <x v="3"/>
    <n v="18000"/>
  </r>
  <r>
    <x v="14"/>
    <x v="44"/>
    <x v="7"/>
    <x v="1"/>
    <x v="1"/>
    <x v="3"/>
    <x v="7"/>
    <n v="17000"/>
    <n v="8000"/>
    <x v="17"/>
    <n v="72000"/>
  </r>
  <r>
    <x v="41"/>
    <x v="45"/>
    <x v="4"/>
    <x v="1"/>
    <x v="1"/>
    <x v="2"/>
    <x v="7"/>
    <n v="15000"/>
    <n v="7000"/>
    <x v="28"/>
    <n v="64000"/>
  </r>
  <r>
    <x v="42"/>
    <x v="46"/>
    <x v="1"/>
    <x v="0"/>
    <x v="1"/>
    <x v="2"/>
    <x v="2"/>
    <n v="22000"/>
    <n v="12000"/>
    <x v="29"/>
    <n v="20000"/>
  </r>
  <r>
    <x v="15"/>
    <x v="47"/>
    <x v="9"/>
    <x v="2"/>
    <x v="2"/>
    <x v="1"/>
    <x v="3"/>
    <n v="12000"/>
    <n v="5500"/>
    <x v="4"/>
    <n v="45500"/>
  </r>
  <r>
    <x v="43"/>
    <x v="48"/>
    <x v="7"/>
    <x v="1"/>
    <x v="1"/>
    <x v="2"/>
    <x v="2"/>
    <n v="17000"/>
    <n v="8000"/>
    <x v="30"/>
    <n v="18000"/>
  </r>
  <r>
    <x v="44"/>
    <x v="49"/>
    <x v="0"/>
    <x v="0"/>
    <x v="1"/>
    <x v="3"/>
    <x v="6"/>
    <n v="15000"/>
    <n v="8000"/>
    <x v="10"/>
    <n v="28000"/>
  </r>
  <r>
    <x v="10"/>
    <x v="50"/>
    <x v="6"/>
    <x v="2"/>
    <x v="2"/>
    <x v="3"/>
    <x v="1"/>
    <n v="25000"/>
    <n v="13000"/>
    <x v="8"/>
    <n v="36000"/>
  </r>
  <r>
    <x v="14"/>
    <x v="51"/>
    <x v="6"/>
    <x v="2"/>
    <x v="1"/>
    <x v="2"/>
    <x v="6"/>
    <n v="25000"/>
    <n v="13000"/>
    <x v="24"/>
    <n v="48000"/>
  </r>
  <r>
    <x v="35"/>
    <x v="52"/>
    <x v="0"/>
    <x v="0"/>
    <x v="0"/>
    <x v="1"/>
    <x v="0"/>
    <n v="15000"/>
    <n v="8000"/>
    <x v="0"/>
    <n v="7000"/>
  </r>
  <r>
    <x v="45"/>
    <x v="53"/>
    <x v="1"/>
    <x v="0"/>
    <x v="2"/>
    <x v="2"/>
    <x v="1"/>
    <n v="22000"/>
    <n v="12000"/>
    <x v="1"/>
    <n v="30000"/>
  </r>
  <r>
    <x v="46"/>
    <x v="54"/>
    <x v="1"/>
    <x v="0"/>
    <x v="1"/>
    <x v="3"/>
    <x v="3"/>
    <n v="22000"/>
    <n v="12000"/>
    <x v="31"/>
    <n v="70000"/>
  </r>
  <r>
    <x v="47"/>
    <x v="55"/>
    <x v="3"/>
    <x v="0"/>
    <x v="2"/>
    <x v="2"/>
    <x v="3"/>
    <n v="18000"/>
    <n v="10000"/>
    <x v="32"/>
    <n v="56000"/>
  </r>
  <r>
    <x v="48"/>
    <x v="56"/>
    <x v="9"/>
    <x v="2"/>
    <x v="1"/>
    <x v="3"/>
    <x v="7"/>
    <n v="12000"/>
    <n v="5500"/>
    <x v="33"/>
    <n v="52000"/>
  </r>
  <r>
    <x v="49"/>
    <x v="57"/>
    <x v="1"/>
    <x v="0"/>
    <x v="0"/>
    <x v="1"/>
    <x v="0"/>
    <n v="22000"/>
    <n v="12000"/>
    <x v="34"/>
    <n v="10000"/>
  </r>
  <r>
    <x v="50"/>
    <x v="58"/>
    <x v="3"/>
    <x v="0"/>
    <x v="0"/>
    <x v="2"/>
    <x v="0"/>
    <n v="18000"/>
    <n v="10000"/>
    <x v="15"/>
    <n v="8000"/>
  </r>
  <r>
    <x v="51"/>
    <x v="59"/>
    <x v="10"/>
    <x v="1"/>
    <x v="1"/>
    <x v="1"/>
    <x v="1"/>
    <n v="14000"/>
    <n v="6500"/>
    <x v="23"/>
    <n v="22500"/>
  </r>
  <r>
    <x v="52"/>
    <x v="60"/>
    <x v="0"/>
    <x v="0"/>
    <x v="0"/>
    <x v="3"/>
    <x v="2"/>
    <n v="15000"/>
    <n v="8000"/>
    <x v="6"/>
    <n v="14000"/>
  </r>
  <r>
    <x v="53"/>
    <x v="61"/>
    <x v="0"/>
    <x v="0"/>
    <x v="0"/>
    <x v="1"/>
    <x v="6"/>
    <n v="15000"/>
    <n v="8000"/>
    <x v="10"/>
    <n v="28000"/>
  </r>
  <r>
    <x v="54"/>
    <x v="62"/>
    <x v="0"/>
    <x v="0"/>
    <x v="0"/>
    <x v="0"/>
    <x v="3"/>
    <n v="15000"/>
    <n v="8000"/>
    <x v="7"/>
    <n v="49000"/>
  </r>
  <r>
    <x v="55"/>
    <x v="63"/>
    <x v="1"/>
    <x v="0"/>
    <x v="1"/>
    <x v="0"/>
    <x v="5"/>
    <n v="22000"/>
    <n v="12000"/>
    <x v="35"/>
    <n v="60000"/>
  </r>
  <r>
    <x v="21"/>
    <x v="64"/>
    <x v="11"/>
    <x v="0"/>
    <x v="2"/>
    <x v="0"/>
    <x v="4"/>
    <n v="20000"/>
    <n v="11000"/>
    <x v="24"/>
    <n v="45000"/>
  </r>
  <r>
    <x v="56"/>
    <x v="65"/>
    <x v="3"/>
    <x v="0"/>
    <x v="0"/>
    <x v="1"/>
    <x v="7"/>
    <n v="18000"/>
    <n v="10000"/>
    <x v="21"/>
    <n v="64000"/>
  </r>
  <r>
    <x v="56"/>
    <x v="66"/>
    <x v="10"/>
    <x v="1"/>
    <x v="0"/>
    <x v="0"/>
    <x v="6"/>
    <n v="14000"/>
    <n v="6500"/>
    <x v="25"/>
    <n v="30000"/>
  </r>
  <r>
    <x v="57"/>
    <x v="67"/>
    <x v="8"/>
    <x v="2"/>
    <x v="1"/>
    <x v="0"/>
    <x v="2"/>
    <n v="18000"/>
    <n v="9000"/>
    <x v="3"/>
    <n v="18000"/>
  </r>
  <r>
    <x v="58"/>
    <x v="68"/>
    <x v="11"/>
    <x v="0"/>
    <x v="0"/>
    <x v="0"/>
    <x v="7"/>
    <n v="20000"/>
    <n v="11000"/>
    <x v="36"/>
    <n v="72000"/>
  </r>
  <r>
    <x v="59"/>
    <x v="69"/>
    <x v="7"/>
    <x v="1"/>
    <x v="0"/>
    <x v="0"/>
    <x v="0"/>
    <n v="17000"/>
    <n v="8000"/>
    <x v="37"/>
    <n v="9000"/>
  </r>
  <r>
    <x v="60"/>
    <x v="70"/>
    <x v="0"/>
    <x v="0"/>
    <x v="2"/>
    <x v="1"/>
    <x v="1"/>
    <n v="15000"/>
    <n v="8000"/>
    <x v="38"/>
    <n v="21000"/>
  </r>
  <r>
    <x v="61"/>
    <x v="71"/>
    <x v="2"/>
    <x v="1"/>
    <x v="2"/>
    <x v="0"/>
    <x v="1"/>
    <n v="12000"/>
    <n v="5500"/>
    <x v="3"/>
    <n v="19500"/>
  </r>
  <r>
    <x v="62"/>
    <x v="72"/>
    <x v="1"/>
    <x v="0"/>
    <x v="1"/>
    <x v="0"/>
    <x v="5"/>
    <n v="22000"/>
    <n v="12000"/>
    <x v="35"/>
    <n v="60000"/>
  </r>
  <r>
    <x v="4"/>
    <x v="73"/>
    <x v="6"/>
    <x v="2"/>
    <x v="1"/>
    <x v="1"/>
    <x v="4"/>
    <n v="25000"/>
    <n v="13000"/>
    <x v="39"/>
    <n v="60000"/>
  </r>
  <r>
    <x v="63"/>
    <x v="74"/>
    <x v="9"/>
    <x v="2"/>
    <x v="1"/>
    <x v="1"/>
    <x v="4"/>
    <n v="12000"/>
    <n v="5500"/>
    <x v="10"/>
    <n v="32500"/>
  </r>
  <r>
    <x v="64"/>
    <x v="75"/>
    <x v="11"/>
    <x v="0"/>
    <x v="1"/>
    <x v="2"/>
    <x v="4"/>
    <n v="20000"/>
    <n v="11000"/>
    <x v="24"/>
    <n v="45000"/>
  </r>
  <r>
    <x v="65"/>
    <x v="76"/>
    <x v="2"/>
    <x v="1"/>
    <x v="0"/>
    <x v="1"/>
    <x v="3"/>
    <n v="12000"/>
    <n v="5500"/>
    <x v="4"/>
    <n v="45500"/>
  </r>
  <r>
    <x v="29"/>
    <x v="77"/>
    <x v="0"/>
    <x v="0"/>
    <x v="0"/>
    <x v="1"/>
    <x v="1"/>
    <n v="15000"/>
    <n v="8000"/>
    <x v="38"/>
    <n v="21000"/>
  </r>
  <r>
    <x v="66"/>
    <x v="78"/>
    <x v="4"/>
    <x v="1"/>
    <x v="2"/>
    <x v="3"/>
    <x v="1"/>
    <n v="15000"/>
    <n v="7000"/>
    <x v="38"/>
    <n v="24000"/>
  </r>
  <r>
    <x v="67"/>
    <x v="79"/>
    <x v="5"/>
    <x v="0"/>
    <x v="1"/>
    <x v="0"/>
    <x v="5"/>
    <n v="10000"/>
    <n v="4500"/>
    <x v="10"/>
    <n v="33000"/>
  </r>
  <r>
    <x v="68"/>
    <x v="80"/>
    <x v="7"/>
    <x v="1"/>
    <x v="0"/>
    <x v="1"/>
    <x v="6"/>
    <n v="17000"/>
    <n v="8000"/>
    <x v="40"/>
    <n v="36000"/>
  </r>
  <r>
    <x v="15"/>
    <x v="81"/>
    <x v="10"/>
    <x v="1"/>
    <x v="0"/>
    <x v="3"/>
    <x v="3"/>
    <n v="14000"/>
    <n v="6500"/>
    <x v="41"/>
    <n v="52500"/>
  </r>
  <r>
    <x v="69"/>
    <x v="82"/>
    <x v="11"/>
    <x v="0"/>
    <x v="2"/>
    <x v="1"/>
    <x v="1"/>
    <n v="20000"/>
    <n v="11000"/>
    <x v="10"/>
    <n v="27000"/>
  </r>
  <r>
    <x v="70"/>
    <x v="83"/>
    <x v="2"/>
    <x v="1"/>
    <x v="2"/>
    <x v="3"/>
    <x v="5"/>
    <n v="12000"/>
    <n v="5500"/>
    <x v="16"/>
    <n v="39000"/>
  </r>
  <r>
    <x v="71"/>
    <x v="84"/>
    <x v="11"/>
    <x v="0"/>
    <x v="2"/>
    <x v="1"/>
    <x v="2"/>
    <n v="20000"/>
    <n v="11000"/>
    <x v="22"/>
    <n v="18000"/>
  </r>
  <r>
    <x v="72"/>
    <x v="85"/>
    <x v="1"/>
    <x v="0"/>
    <x v="2"/>
    <x v="0"/>
    <x v="6"/>
    <n v="22000"/>
    <n v="12000"/>
    <x v="27"/>
    <n v="40000"/>
  </r>
  <r>
    <x v="73"/>
    <x v="86"/>
    <x v="1"/>
    <x v="0"/>
    <x v="1"/>
    <x v="3"/>
    <x v="6"/>
    <n v="22000"/>
    <n v="12000"/>
    <x v="27"/>
    <n v="40000"/>
  </r>
  <r>
    <x v="37"/>
    <x v="87"/>
    <x v="8"/>
    <x v="2"/>
    <x v="1"/>
    <x v="0"/>
    <x v="4"/>
    <n v="18000"/>
    <n v="9000"/>
    <x v="9"/>
    <n v="45000"/>
  </r>
  <r>
    <x v="74"/>
    <x v="88"/>
    <x v="7"/>
    <x v="1"/>
    <x v="0"/>
    <x v="0"/>
    <x v="3"/>
    <n v="17000"/>
    <n v="8000"/>
    <x v="42"/>
    <n v="63000"/>
  </r>
  <r>
    <x v="75"/>
    <x v="89"/>
    <x v="0"/>
    <x v="0"/>
    <x v="1"/>
    <x v="0"/>
    <x v="4"/>
    <n v="15000"/>
    <n v="8000"/>
    <x v="8"/>
    <n v="35000"/>
  </r>
  <r>
    <x v="76"/>
    <x v="90"/>
    <x v="0"/>
    <x v="0"/>
    <x v="2"/>
    <x v="0"/>
    <x v="3"/>
    <n v="15000"/>
    <n v="8000"/>
    <x v="7"/>
    <n v="49000"/>
  </r>
  <r>
    <x v="77"/>
    <x v="91"/>
    <x v="4"/>
    <x v="1"/>
    <x v="2"/>
    <x v="3"/>
    <x v="2"/>
    <n v="15000"/>
    <n v="7000"/>
    <x v="6"/>
    <n v="16000"/>
  </r>
  <r>
    <x v="78"/>
    <x v="92"/>
    <x v="3"/>
    <x v="0"/>
    <x v="1"/>
    <x v="3"/>
    <x v="3"/>
    <n v="18000"/>
    <n v="10000"/>
    <x v="32"/>
    <n v="56000"/>
  </r>
  <r>
    <x v="79"/>
    <x v="93"/>
    <x v="9"/>
    <x v="2"/>
    <x v="0"/>
    <x v="0"/>
    <x v="2"/>
    <n v="12000"/>
    <n v="5500"/>
    <x v="2"/>
    <n v="13000"/>
  </r>
  <r>
    <x v="80"/>
    <x v="94"/>
    <x v="8"/>
    <x v="2"/>
    <x v="0"/>
    <x v="0"/>
    <x v="2"/>
    <n v="18000"/>
    <n v="9000"/>
    <x v="3"/>
    <n v="18000"/>
  </r>
  <r>
    <x v="31"/>
    <x v="95"/>
    <x v="5"/>
    <x v="0"/>
    <x v="2"/>
    <x v="2"/>
    <x v="3"/>
    <n v="10000"/>
    <n v="4500"/>
    <x v="19"/>
    <n v="38500"/>
  </r>
  <r>
    <x v="81"/>
    <x v="96"/>
    <x v="5"/>
    <x v="0"/>
    <x v="1"/>
    <x v="2"/>
    <x v="1"/>
    <n v="10000"/>
    <n v="4500"/>
    <x v="6"/>
    <n v="16500"/>
  </r>
  <r>
    <x v="82"/>
    <x v="97"/>
    <x v="9"/>
    <x v="2"/>
    <x v="0"/>
    <x v="0"/>
    <x v="1"/>
    <n v="12000"/>
    <n v="5500"/>
    <x v="3"/>
    <n v="19500"/>
  </r>
  <r>
    <x v="83"/>
    <x v="98"/>
    <x v="10"/>
    <x v="1"/>
    <x v="2"/>
    <x v="0"/>
    <x v="0"/>
    <n v="14000"/>
    <n v="6500"/>
    <x v="43"/>
    <n v="7500"/>
  </r>
  <r>
    <x v="68"/>
    <x v="99"/>
    <x v="9"/>
    <x v="2"/>
    <x v="2"/>
    <x v="2"/>
    <x v="5"/>
    <n v="12000"/>
    <n v="5500"/>
    <x v="16"/>
    <n v="39000"/>
  </r>
  <r>
    <x v="84"/>
    <x v="100"/>
    <x v="7"/>
    <x v="1"/>
    <x v="0"/>
    <x v="2"/>
    <x v="6"/>
    <n v="17000"/>
    <n v="8000"/>
    <x v="40"/>
    <n v="36000"/>
  </r>
  <r>
    <x v="85"/>
    <x v="101"/>
    <x v="7"/>
    <x v="1"/>
    <x v="2"/>
    <x v="0"/>
    <x v="2"/>
    <n v="17000"/>
    <n v="8000"/>
    <x v="30"/>
    <n v="18000"/>
  </r>
  <r>
    <x v="45"/>
    <x v="102"/>
    <x v="1"/>
    <x v="0"/>
    <x v="1"/>
    <x v="3"/>
    <x v="4"/>
    <n v="22000"/>
    <n v="12000"/>
    <x v="12"/>
    <n v="50000"/>
  </r>
  <r>
    <x v="86"/>
    <x v="103"/>
    <x v="3"/>
    <x v="0"/>
    <x v="1"/>
    <x v="2"/>
    <x v="0"/>
    <n v="18000"/>
    <n v="10000"/>
    <x v="15"/>
    <n v="8000"/>
  </r>
  <r>
    <x v="87"/>
    <x v="104"/>
    <x v="0"/>
    <x v="0"/>
    <x v="2"/>
    <x v="3"/>
    <x v="7"/>
    <n v="15000"/>
    <n v="8000"/>
    <x v="28"/>
    <n v="56000"/>
  </r>
  <r>
    <x v="81"/>
    <x v="105"/>
    <x v="9"/>
    <x v="2"/>
    <x v="2"/>
    <x v="3"/>
    <x v="7"/>
    <n v="12000"/>
    <n v="5500"/>
    <x v="33"/>
    <n v="52000"/>
  </r>
  <r>
    <x v="86"/>
    <x v="106"/>
    <x v="7"/>
    <x v="1"/>
    <x v="1"/>
    <x v="2"/>
    <x v="0"/>
    <n v="17000"/>
    <n v="8000"/>
    <x v="37"/>
    <n v="9000"/>
  </r>
  <r>
    <x v="88"/>
    <x v="107"/>
    <x v="11"/>
    <x v="0"/>
    <x v="1"/>
    <x v="3"/>
    <x v="7"/>
    <n v="20000"/>
    <n v="11000"/>
    <x v="36"/>
    <n v="72000"/>
  </r>
  <r>
    <x v="89"/>
    <x v="108"/>
    <x v="6"/>
    <x v="2"/>
    <x v="2"/>
    <x v="0"/>
    <x v="1"/>
    <n v="25000"/>
    <n v="13000"/>
    <x v="8"/>
    <n v="36000"/>
  </r>
  <r>
    <x v="84"/>
    <x v="109"/>
    <x v="4"/>
    <x v="1"/>
    <x v="0"/>
    <x v="2"/>
    <x v="3"/>
    <n v="15000"/>
    <n v="7000"/>
    <x v="7"/>
    <n v="56000"/>
  </r>
  <r>
    <x v="90"/>
    <x v="110"/>
    <x v="2"/>
    <x v="1"/>
    <x v="2"/>
    <x v="0"/>
    <x v="7"/>
    <n v="12000"/>
    <n v="5500"/>
    <x v="33"/>
    <n v="52000"/>
  </r>
  <r>
    <x v="91"/>
    <x v="111"/>
    <x v="7"/>
    <x v="1"/>
    <x v="0"/>
    <x v="2"/>
    <x v="4"/>
    <n v="17000"/>
    <n v="8000"/>
    <x v="44"/>
    <n v="45000"/>
  </r>
  <r>
    <x v="92"/>
    <x v="112"/>
    <x v="1"/>
    <x v="0"/>
    <x v="2"/>
    <x v="1"/>
    <x v="4"/>
    <n v="22000"/>
    <n v="12000"/>
    <x v="12"/>
    <n v="50000"/>
  </r>
  <r>
    <x v="48"/>
    <x v="113"/>
    <x v="1"/>
    <x v="0"/>
    <x v="2"/>
    <x v="0"/>
    <x v="4"/>
    <n v="22000"/>
    <n v="12000"/>
    <x v="12"/>
    <n v="50000"/>
  </r>
  <r>
    <x v="93"/>
    <x v="114"/>
    <x v="0"/>
    <x v="0"/>
    <x v="1"/>
    <x v="3"/>
    <x v="1"/>
    <n v="15000"/>
    <n v="8000"/>
    <x v="38"/>
    <n v="21000"/>
  </r>
  <r>
    <x v="94"/>
    <x v="115"/>
    <x v="2"/>
    <x v="1"/>
    <x v="0"/>
    <x v="3"/>
    <x v="1"/>
    <n v="12000"/>
    <n v="5500"/>
    <x v="3"/>
    <n v="19500"/>
  </r>
  <r>
    <x v="95"/>
    <x v="116"/>
    <x v="9"/>
    <x v="2"/>
    <x v="2"/>
    <x v="2"/>
    <x v="3"/>
    <n v="12000"/>
    <n v="5500"/>
    <x v="4"/>
    <n v="45500"/>
  </r>
  <r>
    <x v="96"/>
    <x v="117"/>
    <x v="3"/>
    <x v="0"/>
    <x v="2"/>
    <x v="2"/>
    <x v="6"/>
    <n v="18000"/>
    <n v="10000"/>
    <x v="16"/>
    <n v="32000"/>
  </r>
  <r>
    <x v="97"/>
    <x v="118"/>
    <x v="2"/>
    <x v="1"/>
    <x v="0"/>
    <x v="2"/>
    <x v="0"/>
    <n v="12000"/>
    <n v="5500"/>
    <x v="45"/>
    <n v="6500"/>
  </r>
  <r>
    <x v="98"/>
    <x v="119"/>
    <x v="3"/>
    <x v="0"/>
    <x v="2"/>
    <x v="2"/>
    <x v="5"/>
    <n v="18000"/>
    <n v="10000"/>
    <x v="46"/>
    <n v="48000"/>
  </r>
  <r>
    <x v="99"/>
    <x v="120"/>
    <x v="10"/>
    <x v="1"/>
    <x v="2"/>
    <x v="3"/>
    <x v="6"/>
    <n v="14000"/>
    <n v="6500"/>
    <x v="25"/>
    <n v="30000"/>
  </r>
  <r>
    <x v="100"/>
    <x v="121"/>
    <x v="9"/>
    <x v="2"/>
    <x v="1"/>
    <x v="2"/>
    <x v="7"/>
    <n v="12000"/>
    <n v="5500"/>
    <x v="33"/>
    <n v="52000"/>
  </r>
  <r>
    <x v="101"/>
    <x v="122"/>
    <x v="7"/>
    <x v="1"/>
    <x v="0"/>
    <x v="3"/>
    <x v="3"/>
    <n v="17000"/>
    <n v="8000"/>
    <x v="42"/>
    <n v="63000"/>
  </r>
  <r>
    <x v="102"/>
    <x v="123"/>
    <x v="11"/>
    <x v="0"/>
    <x v="2"/>
    <x v="1"/>
    <x v="0"/>
    <n v="20000"/>
    <n v="11000"/>
    <x v="47"/>
    <n v="9000"/>
  </r>
  <r>
    <x v="103"/>
    <x v="124"/>
    <x v="7"/>
    <x v="1"/>
    <x v="1"/>
    <x v="2"/>
    <x v="3"/>
    <n v="17000"/>
    <n v="8000"/>
    <x v="42"/>
    <n v="63000"/>
  </r>
  <r>
    <x v="104"/>
    <x v="125"/>
    <x v="3"/>
    <x v="0"/>
    <x v="2"/>
    <x v="0"/>
    <x v="4"/>
    <n v="18000"/>
    <n v="10000"/>
    <x v="9"/>
    <n v="40000"/>
  </r>
  <r>
    <x v="36"/>
    <x v="126"/>
    <x v="6"/>
    <x v="2"/>
    <x v="2"/>
    <x v="2"/>
    <x v="5"/>
    <n v="25000"/>
    <n v="13000"/>
    <x v="11"/>
    <n v="72000"/>
  </r>
  <r>
    <x v="14"/>
    <x v="127"/>
    <x v="9"/>
    <x v="2"/>
    <x v="1"/>
    <x v="2"/>
    <x v="4"/>
    <n v="12000"/>
    <n v="5500"/>
    <x v="10"/>
    <n v="32500"/>
  </r>
  <r>
    <x v="105"/>
    <x v="128"/>
    <x v="2"/>
    <x v="1"/>
    <x v="2"/>
    <x v="3"/>
    <x v="0"/>
    <n v="12000"/>
    <n v="5500"/>
    <x v="45"/>
    <n v="6500"/>
  </r>
  <r>
    <x v="5"/>
    <x v="129"/>
    <x v="0"/>
    <x v="0"/>
    <x v="1"/>
    <x v="3"/>
    <x v="0"/>
    <n v="15000"/>
    <n v="8000"/>
    <x v="0"/>
    <n v="7000"/>
  </r>
  <r>
    <x v="106"/>
    <x v="130"/>
    <x v="3"/>
    <x v="0"/>
    <x v="1"/>
    <x v="3"/>
    <x v="1"/>
    <n v="18000"/>
    <n v="10000"/>
    <x v="20"/>
    <n v="24000"/>
  </r>
  <r>
    <x v="107"/>
    <x v="131"/>
    <x v="7"/>
    <x v="1"/>
    <x v="0"/>
    <x v="3"/>
    <x v="2"/>
    <n v="17000"/>
    <n v="8000"/>
    <x v="30"/>
    <n v="18000"/>
  </r>
  <r>
    <x v="108"/>
    <x v="132"/>
    <x v="2"/>
    <x v="1"/>
    <x v="2"/>
    <x v="3"/>
    <x v="4"/>
    <n v="12000"/>
    <n v="5500"/>
    <x v="10"/>
    <n v="32500"/>
  </r>
  <r>
    <x v="109"/>
    <x v="133"/>
    <x v="4"/>
    <x v="1"/>
    <x v="1"/>
    <x v="0"/>
    <x v="2"/>
    <n v="15000"/>
    <n v="7000"/>
    <x v="6"/>
    <n v="16000"/>
  </r>
  <r>
    <x v="110"/>
    <x v="134"/>
    <x v="4"/>
    <x v="1"/>
    <x v="2"/>
    <x v="2"/>
    <x v="0"/>
    <n v="15000"/>
    <n v="7000"/>
    <x v="0"/>
    <n v="8000"/>
  </r>
  <r>
    <x v="111"/>
    <x v="135"/>
    <x v="2"/>
    <x v="1"/>
    <x v="1"/>
    <x v="3"/>
    <x v="6"/>
    <n v="12000"/>
    <n v="5500"/>
    <x v="48"/>
    <n v="26000"/>
  </r>
  <r>
    <x v="8"/>
    <x v="136"/>
    <x v="2"/>
    <x v="1"/>
    <x v="0"/>
    <x v="1"/>
    <x v="4"/>
    <n v="12000"/>
    <n v="5500"/>
    <x v="10"/>
    <n v="32500"/>
  </r>
  <r>
    <x v="112"/>
    <x v="137"/>
    <x v="3"/>
    <x v="0"/>
    <x v="0"/>
    <x v="2"/>
    <x v="5"/>
    <n v="18000"/>
    <n v="10000"/>
    <x v="46"/>
    <n v="48000"/>
  </r>
  <r>
    <x v="113"/>
    <x v="138"/>
    <x v="8"/>
    <x v="2"/>
    <x v="0"/>
    <x v="0"/>
    <x v="2"/>
    <n v="18000"/>
    <n v="9000"/>
    <x v="3"/>
    <n v="18000"/>
  </r>
  <r>
    <x v="114"/>
    <x v="139"/>
    <x v="9"/>
    <x v="2"/>
    <x v="1"/>
    <x v="2"/>
    <x v="7"/>
    <n v="12000"/>
    <n v="5500"/>
    <x v="33"/>
    <n v="52000"/>
  </r>
  <r>
    <x v="33"/>
    <x v="140"/>
    <x v="7"/>
    <x v="1"/>
    <x v="0"/>
    <x v="3"/>
    <x v="7"/>
    <n v="17000"/>
    <n v="8000"/>
    <x v="17"/>
    <n v="72000"/>
  </r>
  <r>
    <x v="115"/>
    <x v="141"/>
    <x v="11"/>
    <x v="0"/>
    <x v="0"/>
    <x v="2"/>
    <x v="4"/>
    <n v="20000"/>
    <n v="11000"/>
    <x v="24"/>
    <n v="45000"/>
  </r>
  <r>
    <x v="108"/>
    <x v="142"/>
    <x v="9"/>
    <x v="2"/>
    <x v="2"/>
    <x v="3"/>
    <x v="4"/>
    <n v="12000"/>
    <n v="5500"/>
    <x v="10"/>
    <n v="32500"/>
  </r>
  <r>
    <x v="116"/>
    <x v="143"/>
    <x v="5"/>
    <x v="0"/>
    <x v="1"/>
    <x v="2"/>
    <x v="7"/>
    <n v="10000"/>
    <n v="4500"/>
    <x v="49"/>
    <n v="44000"/>
  </r>
  <r>
    <x v="117"/>
    <x v="144"/>
    <x v="4"/>
    <x v="1"/>
    <x v="2"/>
    <x v="1"/>
    <x v="3"/>
    <n v="15000"/>
    <n v="7000"/>
    <x v="7"/>
    <n v="56000"/>
  </r>
  <r>
    <x v="118"/>
    <x v="145"/>
    <x v="8"/>
    <x v="2"/>
    <x v="2"/>
    <x v="3"/>
    <x v="1"/>
    <n v="18000"/>
    <n v="9000"/>
    <x v="20"/>
    <n v="27000"/>
  </r>
  <r>
    <x v="15"/>
    <x v="146"/>
    <x v="5"/>
    <x v="0"/>
    <x v="2"/>
    <x v="0"/>
    <x v="5"/>
    <n v="10000"/>
    <n v="4500"/>
    <x v="10"/>
    <n v="33000"/>
  </r>
  <r>
    <x v="119"/>
    <x v="147"/>
    <x v="3"/>
    <x v="0"/>
    <x v="1"/>
    <x v="3"/>
    <x v="6"/>
    <n v="18000"/>
    <n v="10000"/>
    <x v="16"/>
    <n v="32000"/>
  </r>
  <r>
    <x v="42"/>
    <x v="148"/>
    <x v="6"/>
    <x v="2"/>
    <x v="0"/>
    <x v="2"/>
    <x v="6"/>
    <n v="25000"/>
    <n v="13000"/>
    <x v="24"/>
    <n v="48000"/>
  </r>
  <r>
    <x v="120"/>
    <x v="149"/>
    <x v="2"/>
    <x v="1"/>
    <x v="2"/>
    <x v="1"/>
    <x v="7"/>
    <n v="12000"/>
    <n v="5500"/>
    <x v="33"/>
    <n v="52000"/>
  </r>
  <r>
    <x v="45"/>
    <x v="150"/>
    <x v="5"/>
    <x v="0"/>
    <x v="2"/>
    <x v="3"/>
    <x v="6"/>
    <n v="10000"/>
    <n v="4500"/>
    <x v="22"/>
    <n v="22000"/>
  </r>
  <r>
    <x v="73"/>
    <x v="151"/>
    <x v="7"/>
    <x v="1"/>
    <x v="2"/>
    <x v="0"/>
    <x v="5"/>
    <n v="17000"/>
    <n v="8000"/>
    <x v="26"/>
    <n v="54000"/>
  </r>
  <r>
    <x v="121"/>
    <x v="152"/>
    <x v="2"/>
    <x v="1"/>
    <x v="2"/>
    <x v="2"/>
    <x v="5"/>
    <n v="12000"/>
    <n v="5500"/>
    <x v="16"/>
    <n v="39000"/>
  </r>
  <r>
    <x v="122"/>
    <x v="153"/>
    <x v="5"/>
    <x v="0"/>
    <x v="1"/>
    <x v="1"/>
    <x v="4"/>
    <n v="10000"/>
    <n v="4500"/>
    <x v="18"/>
    <n v="27500"/>
  </r>
  <r>
    <x v="123"/>
    <x v="154"/>
    <x v="8"/>
    <x v="2"/>
    <x v="0"/>
    <x v="3"/>
    <x v="2"/>
    <n v="18000"/>
    <n v="9000"/>
    <x v="3"/>
    <n v="18000"/>
  </r>
  <r>
    <x v="123"/>
    <x v="155"/>
    <x v="1"/>
    <x v="0"/>
    <x v="2"/>
    <x v="0"/>
    <x v="7"/>
    <n v="22000"/>
    <n v="12000"/>
    <x v="50"/>
    <n v="80000"/>
  </r>
  <r>
    <x v="124"/>
    <x v="156"/>
    <x v="1"/>
    <x v="0"/>
    <x v="1"/>
    <x v="0"/>
    <x v="4"/>
    <n v="22000"/>
    <n v="12000"/>
    <x v="12"/>
    <n v="50000"/>
  </r>
  <r>
    <x v="70"/>
    <x v="157"/>
    <x v="5"/>
    <x v="0"/>
    <x v="0"/>
    <x v="3"/>
    <x v="0"/>
    <n v="10000"/>
    <n v="4500"/>
    <x v="5"/>
    <n v="5500"/>
  </r>
  <r>
    <x v="125"/>
    <x v="158"/>
    <x v="3"/>
    <x v="0"/>
    <x v="0"/>
    <x v="0"/>
    <x v="0"/>
    <n v="18000"/>
    <n v="10000"/>
    <x v="15"/>
    <n v="8000"/>
  </r>
  <r>
    <x v="126"/>
    <x v="159"/>
    <x v="11"/>
    <x v="0"/>
    <x v="1"/>
    <x v="1"/>
    <x v="7"/>
    <n v="20000"/>
    <n v="11000"/>
    <x v="36"/>
    <n v="72000"/>
  </r>
  <r>
    <x v="127"/>
    <x v="160"/>
    <x v="5"/>
    <x v="0"/>
    <x v="2"/>
    <x v="2"/>
    <x v="7"/>
    <n v="10000"/>
    <n v="4500"/>
    <x v="49"/>
    <n v="44000"/>
  </r>
  <r>
    <x v="7"/>
    <x v="161"/>
    <x v="11"/>
    <x v="0"/>
    <x v="2"/>
    <x v="2"/>
    <x v="0"/>
    <n v="20000"/>
    <n v="11000"/>
    <x v="47"/>
    <n v="9000"/>
  </r>
  <r>
    <x v="128"/>
    <x v="162"/>
    <x v="0"/>
    <x v="0"/>
    <x v="2"/>
    <x v="1"/>
    <x v="3"/>
    <n v="15000"/>
    <n v="8000"/>
    <x v="7"/>
    <n v="49000"/>
  </r>
  <r>
    <x v="129"/>
    <x v="163"/>
    <x v="7"/>
    <x v="1"/>
    <x v="1"/>
    <x v="3"/>
    <x v="0"/>
    <n v="17000"/>
    <n v="8000"/>
    <x v="37"/>
    <n v="9000"/>
  </r>
  <r>
    <x v="130"/>
    <x v="164"/>
    <x v="5"/>
    <x v="0"/>
    <x v="1"/>
    <x v="1"/>
    <x v="2"/>
    <n v="10000"/>
    <n v="4500"/>
    <x v="47"/>
    <n v="11000"/>
  </r>
  <r>
    <x v="131"/>
    <x v="165"/>
    <x v="9"/>
    <x v="2"/>
    <x v="0"/>
    <x v="2"/>
    <x v="6"/>
    <n v="12000"/>
    <n v="5500"/>
    <x v="48"/>
    <n v="26000"/>
  </r>
  <r>
    <x v="132"/>
    <x v="166"/>
    <x v="6"/>
    <x v="2"/>
    <x v="0"/>
    <x v="2"/>
    <x v="4"/>
    <n v="25000"/>
    <n v="13000"/>
    <x v="39"/>
    <n v="60000"/>
  </r>
  <r>
    <x v="73"/>
    <x v="167"/>
    <x v="4"/>
    <x v="1"/>
    <x v="0"/>
    <x v="1"/>
    <x v="0"/>
    <n v="15000"/>
    <n v="7000"/>
    <x v="0"/>
    <n v="8000"/>
  </r>
  <r>
    <x v="133"/>
    <x v="168"/>
    <x v="7"/>
    <x v="1"/>
    <x v="2"/>
    <x v="1"/>
    <x v="6"/>
    <n v="17000"/>
    <n v="8000"/>
    <x v="40"/>
    <n v="36000"/>
  </r>
  <r>
    <x v="134"/>
    <x v="169"/>
    <x v="1"/>
    <x v="0"/>
    <x v="0"/>
    <x v="1"/>
    <x v="1"/>
    <n v="22000"/>
    <n v="12000"/>
    <x v="1"/>
    <n v="30000"/>
  </r>
  <r>
    <x v="134"/>
    <x v="170"/>
    <x v="3"/>
    <x v="0"/>
    <x v="2"/>
    <x v="2"/>
    <x v="3"/>
    <n v="18000"/>
    <n v="10000"/>
    <x v="32"/>
    <n v="56000"/>
  </r>
  <r>
    <x v="135"/>
    <x v="171"/>
    <x v="3"/>
    <x v="0"/>
    <x v="2"/>
    <x v="0"/>
    <x v="6"/>
    <n v="18000"/>
    <n v="10000"/>
    <x v="16"/>
    <n v="32000"/>
  </r>
  <r>
    <x v="136"/>
    <x v="172"/>
    <x v="6"/>
    <x v="2"/>
    <x v="0"/>
    <x v="3"/>
    <x v="2"/>
    <n v="25000"/>
    <n v="13000"/>
    <x v="18"/>
    <n v="24000"/>
  </r>
  <r>
    <x v="137"/>
    <x v="173"/>
    <x v="7"/>
    <x v="1"/>
    <x v="2"/>
    <x v="1"/>
    <x v="6"/>
    <n v="17000"/>
    <n v="8000"/>
    <x v="40"/>
    <n v="36000"/>
  </r>
  <r>
    <x v="138"/>
    <x v="174"/>
    <x v="1"/>
    <x v="0"/>
    <x v="2"/>
    <x v="3"/>
    <x v="1"/>
    <n v="22000"/>
    <n v="12000"/>
    <x v="1"/>
    <n v="30000"/>
  </r>
  <r>
    <x v="139"/>
    <x v="175"/>
    <x v="3"/>
    <x v="0"/>
    <x v="2"/>
    <x v="0"/>
    <x v="1"/>
    <n v="18000"/>
    <n v="10000"/>
    <x v="20"/>
    <n v="24000"/>
  </r>
  <r>
    <x v="140"/>
    <x v="176"/>
    <x v="0"/>
    <x v="0"/>
    <x v="0"/>
    <x v="0"/>
    <x v="7"/>
    <n v="15000"/>
    <n v="8000"/>
    <x v="28"/>
    <n v="56000"/>
  </r>
  <r>
    <x v="141"/>
    <x v="177"/>
    <x v="9"/>
    <x v="2"/>
    <x v="0"/>
    <x v="2"/>
    <x v="4"/>
    <n v="12000"/>
    <n v="5500"/>
    <x v="10"/>
    <n v="32500"/>
  </r>
  <r>
    <x v="140"/>
    <x v="178"/>
    <x v="0"/>
    <x v="0"/>
    <x v="2"/>
    <x v="0"/>
    <x v="0"/>
    <n v="15000"/>
    <n v="8000"/>
    <x v="0"/>
    <n v="7000"/>
  </r>
  <r>
    <x v="62"/>
    <x v="179"/>
    <x v="5"/>
    <x v="0"/>
    <x v="1"/>
    <x v="3"/>
    <x v="0"/>
    <n v="10000"/>
    <n v="4500"/>
    <x v="5"/>
    <n v="5500"/>
  </r>
  <r>
    <x v="142"/>
    <x v="180"/>
    <x v="4"/>
    <x v="1"/>
    <x v="0"/>
    <x v="0"/>
    <x v="0"/>
    <n v="15000"/>
    <n v="7000"/>
    <x v="0"/>
    <n v="8000"/>
  </r>
  <r>
    <x v="129"/>
    <x v="181"/>
    <x v="3"/>
    <x v="0"/>
    <x v="2"/>
    <x v="2"/>
    <x v="1"/>
    <n v="18000"/>
    <n v="10000"/>
    <x v="20"/>
    <n v="24000"/>
  </r>
  <r>
    <x v="14"/>
    <x v="182"/>
    <x v="11"/>
    <x v="0"/>
    <x v="0"/>
    <x v="2"/>
    <x v="3"/>
    <n v="20000"/>
    <n v="11000"/>
    <x v="51"/>
    <n v="63000"/>
  </r>
  <r>
    <x v="143"/>
    <x v="183"/>
    <x v="6"/>
    <x v="2"/>
    <x v="2"/>
    <x v="0"/>
    <x v="5"/>
    <n v="25000"/>
    <n v="13000"/>
    <x v="11"/>
    <n v="72000"/>
  </r>
  <r>
    <x v="144"/>
    <x v="184"/>
    <x v="7"/>
    <x v="1"/>
    <x v="1"/>
    <x v="0"/>
    <x v="2"/>
    <n v="17000"/>
    <n v="8000"/>
    <x v="30"/>
    <n v="18000"/>
  </r>
  <r>
    <x v="145"/>
    <x v="185"/>
    <x v="2"/>
    <x v="1"/>
    <x v="2"/>
    <x v="2"/>
    <x v="7"/>
    <n v="12000"/>
    <n v="5500"/>
    <x v="33"/>
    <n v="52000"/>
  </r>
  <r>
    <x v="35"/>
    <x v="186"/>
    <x v="3"/>
    <x v="0"/>
    <x v="1"/>
    <x v="0"/>
    <x v="7"/>
    <n v="18000"/>
    <n v="10000"/>
    <x v="21"/>
    <n v="64000"/>
  </r>
  <r>
    <x v="146"/>
    <x v="187"/>
    <x v="8"/>
    <x v="2"/>
    <x v="2"/>
    <x v="1"/>
    <x v="2"/>
    <n v="18000"/>
    <n v="9000"/>
    <x v="3"/>
    <n v="18000"/>
  </r>
  <r>
    <x v="147"/>
    <x v="188"/>
    <x v="10"/>
    <x v="1"/>
    <x v="2"/>
    <x v="1"/>
    <x v="7"/>
    <n v="14000"/>
    <n v="6500"/>
    <x v="52"/>
    <n v="60000"/>
  </r>
  <r>
    <x v="148"/>
    <x v="189"/>
    <x v="10"/>
    <x v="1"/>
    <x v="0"/>
    <x v="2"/>
    <x v="5"/>
    <n v="14000"/>
    <n v="6500"/>
    <x v="4"/>
    <n v="45000"/>
  </r>
  <r>
    <x v="92"/>
    <x v="190"/>
    <x v="6"/>
    <x v="2"/>
    <x v="1"/>
    <x v="0"/>
    <x v="0"/>
    <n v="25000"/>
    <n v="13000"/>
    <x v="53"/>
    <n v="12000"/>
  </r>
  <r>
    <x v="35"/>
    <x v="191"/>
    <x v="11"/>
    <x v="0"/>
    <x v="2"/>
    <x v="2"/>
    <x v="4"/>
    <n v="20000"/>
    <n v="11000"/>
    <x v="24"/>
    <n v="45000"/>
  </r>
  <r>
    <x v="89"/>
    <x v="192"/>
    <x v="3"/>
    <x v="0"/>
    <x v="0"/>
    <x v="3"/>
    <x v="6"/>
    <n v="18000"/>
    <n v="10000"/>
    <x v="16"/>
    <n v="32000"/>
  </r>
  <r>
    <x v="149"/>
    <x v="193"/>
    <x v="10"/>
    <x v="1"/>
    <x v="0"/>
    <x v="2"/>
    <x v="0"/>
    <n v="14000"/>
    <n v="6500"/>
    <x v="43"/>
    <n v="7500"/>
  </r>
  <r>
    <x v="45"/>
    <x v="194"/>
    <x v="1"/>
    <x v="0"/>
    <x v="2"/>
    <x v="1"/>
    <x v="2"/>
    <n v="22000"/>
    <n v="12000"/>
    <x v="29"/>
    <n v="20000"/>
  </r>
  <r>
    <x v="150"/>
    <x v="195"/>
    <x v="11"/>
    <x v="0"/>
    <x v="0"/>
    <x v="0"/>
    <x v="7"/>
    <n v="20000"/>
    <n v="11000"/>
    <x v="36"/>
    <n v="72000"/>
  </r>
  <r>
    <x v="24"/>
    <x v="196"/>
    <x v="2"/>
    <x v="1"/>
    <x v="2"/>
    <x v="2"/>
    <x v="4"/>
    <n v="12000"/>
    <n v="5500"/>
    <x v="10"/>
    <n v="32500"/>
  </r>
  <r>
    <x v="151"/>
    <x v="197"/>
    <x v="1"/>
    <x v="0"/>
    <x v="0"/>
    <x v="3"/>
    <x v="7"/>
    <n v="22000"/>
    <n v="12000"/>
    <x v="50"/>
    <n v="80000"/>
  </r>
  <r>
    <x v="94"/>
    <x v="198"/>
    <x v="1"/>
    <x v="0"/>
    <x v="1"/>
    <x v="0"/>
    <x v="1"/>
    <n v="22000"/>
    <n v="12000"/>
    <x v="1"/>
    <n v="30000"/>
  </r>
  <r>
    <x v="96"/>
    <x v="199"/>
    <x v="8"/>
    <x v="2"/>
    <x v="1"/>
    <x v="0"/>
    <x v="4"/>
    <n v="18000"/>
    <n v="9000"/>
    <x v="9"/>
    <n v="45000"/>
  </r>
  <r>
    <x v="152"/>
    <x v="200"/>
    <x v="4"/>
    <x v="1"/>
    <x v="1"/>
    <x v="2"/>
    <x v="7"/>
    <n v="15000"/>
    <n v="7000"/>
    <x v="28"/>
    <n v="64000"/>
  </r>
  <r>
    <x v="153"/>
    <x v="201"/>
    <x v="6"/>
    <x v="2"/>
    <x v="2"/>
    <x v="2"/>
    <x v="5"/>
    <n v="25000"/>
    <n v="13000"/>
    <x v="11"/>
    <n v="72000"/>
  </r>
  <r>
    <x v="154"/>
    <x v="202"/>
    <x v="8"/>
    <x v="2"/>
    <x v="0"/>
    <x v="3"/>
    <x v="6"/>
    <n v="18000"/>
    <n v="9000"/>
    <x v="16"/>
    <n v="36000"/>
  </r>
  <r>
    <x v="41"/>
    <x v="203"/>
    <x v="9"/>
    <x v="2"/>
    <x v="2"/>
    <x v="1"/>
    <x v="6"/>
    <n v="12000"/>
    <n v="5500"/>
    <x v="48"/>
    <n v="26000"/>
  </r>
  <r>
    <x v="155"/>
    <x v="204"/>
    <x v="2"/>
    <x v="1"/>
    <x v="0"/>
    <x v="2"/>
    <x v="7"/>
    <n v="12000"/>
    <n v="5500"/>
    <x v="33"/>
    <n v="52000"/>
  </r>
  <r>
    <x v="156"/>
    <x v="205"/>
    <x v="7"/>
    <x v="1"/>
    <x v="2"/>
    <x v="1"/>
    <x v="1"/>
    <n v="17000"/>
    <n v="8000"/>
    <x v="13"/>
    <n v="27000"/>
  </r>
  <r>
    <x v="157"/>
    <x v="206"/>
    <x v="10"/>
    <x v="1"/>
    <x v="1"/>
    <x v="2"/>
    <x v="5"/>
    <n v="14000"/>
    <n v="6500"/>
    <x v="4"/>
    <n v="45000"/>
  </r>
  <r>
    <x v="124"/>
    <x v="207"/>
    <x v="10"/>
    <x v="1"/>
    <x v="1"/>
    <x v="3"/>
    <x v="7"/>
    <n v="14000"/>
    <n v="6500"/>
    <x v="52"/>
    <n v="60000"/>
  </r>
  <r>
    <x v="158"/>
    <x v="208"/>
    <x v="7"/>
    <x v="1"/>
    <x v="1"/>
    <x v="2"/>
    <x v="1"/>
    <n v="17000"/>
    <n v="8000"/>
    <x v="13"/>
    <n v="27000"/>
  </r>
  <r>
    <x v="137"/>
    <x v="209"/>
    <x v="8"/>
    <x v="2"/>
    <x v="0"/>
    <x v="1"/>
    <x v="3"/>
    <n v="18000"/>
    <n v="9000"/>
    <x v="32"/>
    <n v="63000"/>
  </r>
  <r>
    <x v="159"/>
    <x v="210"/>
    <x v="7"/>
    <x v="1"/>
    <x v="2"/>
    <x v="2"/>
    <x v="3"/>
    <n v="17000"/>
    <n v="8000"/>
    <x v="42"/>
    <n v="63000"/>
  </r>
  <r>
    <x v="160"/>
    <x v="211"/>
    <x v="3"/>
    <x v="0"/>
    <x v="1"/>
    <x v="0"/>
    <x v="2"/>
    <n v="18000"/>
    <n v="10000"/>
    <x v="3"/>
    <n v="16000"/>
  </r>
  <r>
    <x v="161"/>
    <x v="212"/>
    <x v="2"/>
    <x v="1"/>
    <x v="2"/>
    <x v="1"/>
    <x v="2"/>
    <n v="12000"/>
    <n v="5500"/>
    <x v="2"/>
    <n v="13000"/>
  </r>
  <r>
    <x v="63"/>
    <x v="213"/>
    <x v="2"/>
    <x v="1"/>
    <x v="2"/>
    <x v="3"/>
    <x v="2"/>
    <n v="12000"/>
    <n v="5500"/>
    <x v="2"/>
    <n v="13000"/>
  </r>
  <r>
    <x v="162"/>
    <x v="214"/>
    <x v="5"/>
    <x v="0"/>
    <x v="1"/>
    <x v="0"/>
    <x v="0"/>
    <n v="10000"/>
    <n v="4500"/>
    <x v="5"/>
    <n v="5500"/>
  </r>
  <r>
    <x v="163"/>
    <x v="215"/>
    <x v="5"/>
    <x v="0"/>
    <x v="2"/>
    <x v="2"/>
    <x v="5"/>
    <n v="10000"/>
    <n v="4500"/>
    <x v="10"/>
    <n v="33000"/>
  </r>
  <r>
    <x v="164"/>
    <x v="216"/>
    <x v="1"/>
    <x v="0"/>
    <x v="0"/>
    <x v="3"/>
    <x v="3"/>
    <n v="22000"/>
    <n v="12000"/>
    <x v="31"/>
    <n v="70000"/>
  </r>
  <r>
    <x v="165"/>
    <x v="217"/>
    <x v="11"/>
    <x v="0"/>
    <x v="0"/>
    <x v="2"/>
    <x v="2"/>
    <n v="20000"/>
    <n v="11000"/>
    <x v="22"/>
    <n v="18000"/>
  </r>
  <r>
    <x v="54"/>
    <x v="218"/>
    <x v="7"/>
    <x v="1"/>
    <x v="2"/>
    <x v="3"/>
    <x v="6"/>
    <n v="17000"/>
    <n v="8000"/>
    <x v="40"/>
    <n v="36000"/>
  </r>
  <r>
    <x v="166"/>
    <x v="219"/>
    <x v="6"/>
    <x v="2"/>
    <x v="2"/>
    <x v="0"/>
    <x v="4"/>
    <n v="25000"/>
    <n v="13000"/>
    <x v="39"/>
    <n v="60000"/>
  </r>
  <r>
    <x v="167"/>
    <x v="220"/>
    <x v="3"/>
    <x v="0"/>
    <x v="2"/>
    <x v="3"/>
    <x v="7"/>
    <n v="18000"/>
    <n v="10000"/>
    <x v="21"/>
    <n v="64000"/>
  </r>
  <r>
    <x v="56"/>
    <x v="221"/>
    <x v="6"/>
    <x v="2"/>
    <x v="0"/>
    <x v="0"/>
    <x v="5"/>
    <n v="25000"/>
    <n v="13000"/>
    <x v="11"/>
    <n v="72000"/>
  </r>
  <r>
    <x v="0"/>
    <x v="222"/>
    <x v="9"/>
    <x v="2"/>
    <x v="2"/>
    <x v="0"/>
    <x v="4"/>
    <n v="12000"/>
    <n v="5500"/>
    <x v="10"/>
    <n v="32500"/>
  </r>
  <r>
    <x v="168"/>
    <x v="223"/>
    <x v="9"/>
    <x v="2"/>
    <x v="1"/>
    <x v="3"/>
    <x v="7"/>
    <n v="12000"/>
    <n v="5500"/>
    <x v="33"/>
    <n v="52000"/>
  </r>
  <r>
    <x v="169"/>
    <x v="224"/>
    <x v="4"/>
    <x v="1"/>
    <x v="0"/>
    <x v="0"/>
    <x v="5"/>
    <n v="15000"/>
    <n v="7000"/>
    <x v="9"/>
    <n v="48000"/>
  </r>
  <r>
    <x v="141"/>
    <x v="225"/>
    <x v="5"/>
    <x v="0"/>
    <x v="0"/>
    <x v="2"/>
    <x v="0"/>
    <n v="10000"/>
    <n v="4500"/>
    <x v="5"/>
    <n v="5500"/>
  </r>
  <r>
    <x v="125"/>
    <x v="226"/>
    <x v="3"/>
    <x v="0"/>
    <x v="0"/>
    <x v="2"/>
    <x v="0"/>
    <n v="18000"/>
    <n v="10000"/>
    <x v="15"/>
    <n v="8000"/>
  </r>
  <r>
    <x v="48"/>
    <x v="227"/>
    <x v="1"/>
    <x v="0"/>
    <x v="1"/>
    <x v="3"/>
    <x v="5"/>
    <n v="22000"/>
    <n v="12000"/>
    <x v="35"/>
    <n v="60000"/>
  </r>
  <r>
    <x v="54"/>
    <x v="228"/>
    <x v="5"/>
    <x v="0"/>
    <x v="0"/>
    <x v="1"/>
    <x v="1"/>
    <n v="10000"/>
    <n v="4500"/>
    <x v="6"/>
    <n v="16500"/>
  </r>
  <r>
    <x v="11"/>
    <x v="229"/>
    <x v="7"/>
    <x v="1"/>
    <x v="2"/>
    <x v="2"/>
    <x v="0"/>
    <n v="17000"/>
    <n v="8000"/>
    <x v="37"/>
    <n v="9000"/>
  </r>
  <r>
    <x v="170"/>
    <x v="230"/>
    <x v="4"/>
    <x v="1"/>
    <x v="0"/>
    <x v="3"/>
    <x v="5"/>
    <n v="15000"/>
    <n v="7000"/>
    <x v="9"/>
    <n v="48000"/>
  </r>
  <r>
    <x v="143"/>
    <x v="231"/>
    <x v="5"/>
    <x v="0"/>
    <x v="0"/>
    <x v="2"/>
    <x v="5"/>
    <n v="10000"/>
    <n v="4500"/>
    <x v="10"/>
    <n v="33000"/>
  </r>
  <r>
    <x v="171"/>
    <x v="232"/>
    <x v="1"/>
    <x v="0"/>
    <x v="0"/>
    <x v="0"/>
    <x v="1"/>
    <n v="22000"/>
    <n v="12000"/>
    <x v="1"/>
    <n v="30000"/>
  </r>
  <r>
    <x v="172"/>
    <x v="233"/>
    <x v="10"/>
    <x v="1"/>
    <x v="1"/>
    <x v="0"/>
    <x v="4"/>
    <n v="14000"/>
    <n v="6500"/>
    <x v="19"/>
    <n v="37500"/>
  </r>
  <r>
    <x v="46"/>
    <x v="234"/>
    <x v="5"/>
    <x v="0"/>
    <x v="1"/>
    <x v="2"/>
    <x v="5"/>
    <n v="10000"/>
    <n v="4500"/>
    <x v="10"/>
    <n v="33000"/>
  </r>
  <r>
    <x v="173"/>
    <x v="235"/>
    <x v="11"/>
    <x v="0"/>
    <x v="0"/>
    <x v="2"/>
    <x v="6"/>
    <n v="20000"/>
    <n v="11000"/>
    <x v="49"/>
    <n v="36000"/>
  </r>
  <r>
    <x v="131"/>
    <x v="236"/>
    <x v="8"/>
    <x v="2"/>
    <x v="2"/>
    <x v="1"/>
    <x v="2"/>
    <n v="18000"/>
    <n v="9000"/>
    <x v="3"/>
    <n v="18000"/>
  </r>
  <r>
    <x v="137"/>
    <x v="237"/>
    <x v="10"/>
    <x v="1"/>
    <x v="2"/>
    <x v="0"/>
    <x v="2"/>
    <n v="14000"/>
    <n v="6500"/>
    <x v="54"/>
    <n v="15000"/>
  </r>
  <r>
    <x v="43"/>
    <x v="238"/>
    <x v="2"/>
    <x v="1"/>
    <x v="0"/>
    <x v="2"/>
    <x v="4"/>
    <n v="12000"/>
    <n v="5500"/>
    <x v="10"/>
    <n v="32500"/>
  </r>
  <r>
    <x v="174"/>
    <x v="239"/>
    <x v="8"/>
    <x v="2"/>
    <x v="0"/>
    <x v="3"/>
    <x v="2"/>
    <n v="18000"/>
    <n v="9000"/>
    <x v="3"/>
    <n v="18000"/>
  </r>
  <r>
    <x v="151"/>
    <x v="240"/>
    <x v="3"/>
    <x v="0"/>
    <x v="0"/>
    <x v="3"/>
    <x v="5"/>
    <n v="18000"/>
    <n v="10000"/>
    <x v="46"/>
    <n v="48000"/>
  </r>
  <r>
    <x v="150"/>
    <x v="241"/>
    <x v="0"/>
    <x v="0"/>
    <x v="0"/>
    <x v="0"/>
    <x v="7"/>
    <n v="15000"/>
    <n v="8000"/>
    <x v="28"/>
    <n v="56000"/>
  </r>
  <r>
    <x v="5"/>
    <x v="242"/>
    <x v="9"/>
    <x v="2"/>
    <x v="1"/>
    <x v="1"/>
    <x v="2"/>
    <n v="12000"/>
    <n v="5500"/>
    <x v="2"/>
    <n v="13000"/>
  </r>
  <r>
    <x v="76"/>
    <x v="243"/>
    <x v="5"/>
    <x v="0"/>
    <x v="1"/>
    <x v="1"/>
    <x v="7"/>
    <n v="10000"/>
    <n v="4500"/>
    <x v="49"/>
    <n v="44000"/>
  </r>
  <r>
    <x v="175"/>
    <x v="244"/>
    <x v="10"/>
    <x v="1"/>
    <x v="2"/>
    <x v="2"/>
    <x v="1"/>
    <n v="14000"/>
    <n v="6500"/>
    <x v="23"/>
    <n v="22500"/>
  </r>
  <r>
    <x v="66"/>
    <x v="245"/>
    <x v="7"/>
    <x v="1"/>
    <x v="0"/>
    <x v="3"/>
    <x v="3"/>
    <n v="17000"/>
    <n v="8000"/>
    <x v="42"/>
    <n v="63000"/>
  </r>
  <r>
    <x v="96"/>
    <x v="246"/>
    <x v="7"/>
    <x v="1"/>
    <x v="2"/>
    <x v="2"/>
    <x v="2"/>
    <n v="17000"/>
    <n v="8000"/>
    <x v="30"/>
    <n v="18000"/>
  </r>
  <r>
    <x v="176"/>
    <x v="247"/>
    <x v="3"/>
    <x v="0"/>
    <x v="1"/>
    <x v="2"/>
    <x v="5"/>
    <n v="18000"/>
    <n v="10000"/>
    <x v="46"/>
    <n v="48000"/>
  </r>
  <r>
    <x v="177"/>
    <x v="248"/>
    <x v="1"/>
    <x v="0"/>
    <x v="1"/>
    <x v="0"/>
    <x v="5"/>
    <n v="22000"/>
    <n v="12000"/>
    <x v="35"/>
    <n v="60000"/>
  </r>
  <r>
    <x v="138"/>
    <x v="249"/>
    <x v="7"/>
    <x v="1"/>
    <x v="1"/>
    <x v="2"/>
    <x v="5"/>
    <n v="17000"/>
    <n v="8000"/>
    <x v="26"/>
    <n v="54000"/>
  </r>
  <r>
    <x v="178"/>
    <x v="250"/>
    <x v="1"/>
    <x v="0"/>
    <x v="2"/>
    <x v="1"/>
    <x v="2"/>
    <n v="22000"/>
    <n v="12000"/>
    <x v="29"/>
    <n v="20000"/>
  </r>
  <r>
    <x v="60"/>
    <x v="251"/>
    <x v="1"/>
    <x v="0"/>
    <x v="1"/>
    <x v="0"/>
    <x v="0"/>
    <n v="22000"/>
    <n v="12000"/>
    <x v="34"/>
    <n v="10000"/>
  </r>
  <r>
    <x v="179"/>
    <x v="252"/>
    <x v="11"/>
    <x v="0"/>
    <x v="1"/>
    <x v="3"/>
    <x v="6"/>
    <n v="20000"/>
    <n v="11000"/>
    <x v="49"/>
    <n v="36000"/>
  </r>
  <r>
    <x v="180"/>
    <x v="253"/>
    <x v="1"/>
    <x v="0"/>
    <x v="2"/>
    <x v="3"/>
    <x v="6"/>
    <n v="22000"/>
    <n v="12000"/>
    <x v="27"/>
    <n v="40000"/>
  </r>
  <r>
    <x v="26"/>
    <x v="254"/>
    <x v="3"/>
    <x v="0"/>
    <x v="1"/>
    <x v="3"/>
    <x v="4"/>
    <n v="18000"/>
    <n v="10000"/>
    <x v="9"/>
    <n v="40000"/>
  </r>
  <r>
    <x v="93"/>
    <x v="255"/>
    <x v="5"/>
    <x v="0"/>
    <x v="1"/>
    <x v="1"/>
    <x v="1"/>
    <n v="10000"/>
    <n v="4500"/>
    <x v="6"/>
    <n v="16500"/>
  </r>
  <r>
    <x v="57"/>
    <x v="256"/>
    <x v="3"/>
    <x v="0"/>
    <x v="1"/>
    <x v="0"/>
    <x v="5"/>
    <n v="18000"/>
    <n v="10000"/>
    <x v="46"/>
    <n v="48000"/>
  </r>
  <r>
    <x v="181"/>
    <x v="257"/>
    <x v="11"/>
    <x v="0"/>
    <x v="1"/>
    <x v="3"/>
    <x v="4"/>
    <n v="20000"/>
    <n v="11000"/>
    <x v="24"/>
    <n v="45000"/>
  </r>
  <r>
    <x v="182"/>
    <x v="258"/>
    <x v="10"/>
    <x v="1"/>
    <x v="0"/>
    <x v="1"/>
    <x v="2"/>
    <n v="14000"/>
    <n v="6500"/>
    <x v="54"/>
    <n v="15000"/>
  </r>
  <r>
    <x v="183"/>
    <x v="259"/>
    <x v="6"/>
    <x v="2"/>
    <x v="0"/>
    <x v="1"/>
    <x v="5"/>
    <n v="25000"/>
    <n v="13000"/>
    <x v="11"/>
    <n v="72000"/>
  </r>
  <r>
    <x v="184"/>
    <x v="260"/>
    <x v="10"/>
    <x v="1"/>
    <x v="0"/>
    <x v="1"/>
    <x v="6"/>
    <n v="14000"/>
    <n v="6500"/>
    <x v="25"/>
    <n v="30000"/>
  </r>
  <r>
    <x v="185"/>
    <x v="261"/>
    <x v="10"/>
    <x v="1"/>
    <x v="2"/>
    <x v="1"/>
    <x v="4"/>
    <n v="14000"/>
    <n v="6500"/>
    <x v="19"/>
    <n v="37500"/>
  </r>
  <r>
    <x v="186"/>
    <x v="262"/>
    <x v="6"/>
    <x v="2"/>
    <x v="2"/>
    <x v="1"/>
    <x v="3"/>
    <n v="25000"/>
    <n v="13000"/>
    <x v="14"/>
    <n v="84000"/>
  </r>
  <r>
    <x v="187"/>
    <x v="263"/>
    <x v="2"/>
    <x v="1"/>
    <x v="1"/>
    <x v="1"/>
    <x v="7"/>
    <n v="12000"/>
    <n v="5500"/>
    <x v="33"/>
    <n v="52000"/>
  </r>
  <r>
    <x v="144"/>
    <x v="264"/>
    <x v="4"/>
    <x v="1"/>
    <x v="1"/>
    <x v="3"/>
    <x v="1"/>
    <n v="15000"/>
    <n v="7000"/>
    <x v="38"/>
    <n v="24000"/>
  </r>
  <r>
    <x v="125"/>
    <x v="265"/>
    <x v="4"/>
    <x v="1"/>
    <x v="2"/>
    <x v="0"/>
    <x v="5"/>
    <n v="15000"/>
    <n v="7000"/>
    <x v="9"/>
    <n v="48000"/>
  </r>
  <r>
    <x v="188"/>
    <x v="266"/>
    <x v="10"/>
    <x v="1"/>
    <x v="1"/>
    <x v="1"/>
    <x v="3"/>
    <n v="14000"/>
    <n v="6500"/>
    <x v="41"/>
    <n v="52500"/>
  </r>
  <r>
    <x v="189"/>
    <x v="267"/>
    <x v="7"/>
    <x v="1"/>
    <x v="2"/>
    <x v="2"/>
    <x v="6"/>
    <n v="17000"/>
    <n v="8000"/>
    <x v="40"/>
    <n v="36000"/>
  </r>
  <r>
    <x v="161"/>
    <x v="268"/>
    <x v="9"/>
    <x v="2"/>
    <x v="2"/>
    <x v="2"/>
    <x v="5"/>
    <n v="12000"/>
    <n v="5500"/>
    <x v="16"/>
    <n v="39000"/>
  </r>
  <r>
    <x v="96"/>
    <x v="269"/>
    <x v="2"/>
    <x v="1"/>
    <x v="2"/>
    <x v="2"/>
    <x v="2"/>
    <n v="12000"/>
    <n v="5500"/>
    <x v="2"/>
    <n v="13000"/>
  </r>
  <r>
    <x v="50"/>
    <x v="270"/>
    <x v="7"/>
    <x v="1"/>
    <x v="2"/>
    <x v="3"/>
    <x v="4"/>
    <n v="17000"/>
    <n v="8000"/>
    <x v="44"/>
    <n v="45000"/>
  </r>
  <r>
    <x v="190"/>
    <x v="271"/>
    <x v="6"/>
    <x v="2"/>
    <x v="1"/>
    <x v="1"/>
    <x v="2"/>
    <n v="25000"/>
    <n v="13000"/>
    <x v="18"/>
    <n v="24000"/>
  </r>
  <r>
    <x v="45"/>
    <x v="272"/>
    <x v="9"/>
    <x v="2"/>
    <x v="0"/>
    <x v="0"/>
    <x v="2"/>
    <n v="12000"/>
    <n v="5500"/>
    <x v="2"/>
    <n v="13000"/>
  </r>
  <r>
    <x v="191"/>
    <x v="273"/>
    <x v="10"/>
    <x v="1"/>
    <x v="0"/>
    <x v="0"/>
    <x v="0"/>
    <n v="14000"/>
    <n v="6500"/>
    <x v="43"/>
    <n v="7500"/>
  </r>
  <r>
    <x v="192"/>
    <x v="274"/>
    <x v="0"/>
    <x v="0"/>
    <x v="2"/>
    <x v="2"/>
    <x v="3"/>
    <n v="15000"/>
    <n v="8000"/>
    <x v="7"/>
    <n v="49000"/>
  </r>
  <r>
    <x v="193"/>
    <x v="275"/>
    <x v="5"/>
    <x v="0"/>
    <x v="2"/>
    <x v="1"/>
    <x v="4"/>
    <n v="10000"/>
    <n v="4500"/>
    <x v="18"/>
    <n v="27500"/>
  </r>
  <r>
    <x v="129"/>
    <x v="276"/>
    <x v="10"/>
    <x v="1"/>
    <x v="1"/>
    <x v="2"/>
    <x v="6"/>
    <n v="14000"/>
    <n v="6500"/>
    <x v="25"/>
    <n v="30000"/>
  </r>
  <r>
    <x v="194"/>
    <x v="277"/>
    <x v="0"/>
    <x v="0"/>
    <x v="0"/>
    <x v="0"/>
    <x v="5"/>
    <n v="15000"/>
    <n v="8000"/>
    <x v="9"/>
    <n v="42000"/>
  </r>
  <r>
    <x v="128"/>
    <x v="278"/>
    <x v="5"/>
    <x v="0"/>
    <x v="2"/>
    <x v="1"/>
    <x v="6"/>
    <n v="10000"/>
    <n v="4500"/>
    <x v="22"/>
    <n v="22000"/>
  </r>
  <r>
    <x v="16"/>
    <x v="279"/>
    <x v="7"/>
    <x v="1"/>
    <x v="1"/>
    <x v="3"/>
    <x v="4"/>
    <n v="17000"/>
    <n v="8000"/>
    <x v="44"/>
    <n v="45000"/>
  </r>
  <r>
    <x v="100"/>
    <x v="280"/>
    <x v="2"/>
    <x v="1"/>
    <x v="2"/>
    <x v="0"/>
    <x v="4"/>
    <n v="12000"/>
    <n v="5500"/>
    <x v="10"/>
    <n v="32500"/>
  </r>
  <r>
    <x v="40"/>
    <x v="281"/>
    <x v="11"/>
    <x v="0"/>
    <x v="0"/>
    <x v="2"/>
    <x v="1"/>
    <n v="20000"/>
    <n v="11000"/>
    <x v="10"/>
    <n v="27000"/>
  </r>
  <r>
    <x v="34"/>
    <x v="282"/>
    <x v="11"/>
    <x v="0"/>
    <x v="1"/>
    <x v="3"/>
    <x v="0"/>
    <n v="20000"/>
    <n v="11000"/>
    <x v="47"/>
    <n v="9000"/>
  </r>
  <r>
    <x v="195"/>
    <x v="283"/>
    <x v="9"/>
    <x v="2"/>
    <x v="2"/>
    <x v="3"/>
    <x v="7"/>
    <n v="12000"/>
    <n v="5500"/>
    <x v="33"/>
    <n v="52000"/>
  </r>
  <r>
    <x v="66"/>
    <x v="284"/>
    <x v="5"/>
    <x v="0"/>
    <x v="0"/>
    <x v="1"/>
    <x v="5"/>
    <n v="10000"/>
    <n v="4500"/>
    <x v="10"/>
    <n v="33000"/>
  </r>
  <r>
    <x v="193"/>
    <x v="285"/>
    <x v="11"/>
    <x v="0"/>
    <x v="0"/>
    <x v="1"/>
    <x v="1"/>
    <n v="20000"/>
    <n v="11000"/>
    <x v="10"/>
    <n v="27000"/>
  </r>
  <r>
    <x v="142"/>
    <x v="286"/>
    <x v="0"/>
    <x v="0"/>
    <x v="2"/>
    <x v="2"/>
    <x v="4"/>
    <n v="15000"/>
    <n v="8000"/>
    <x v="8"/>
    <n v="35000"/>
  </r>
  <r>
    <x v="196"/>
    <x v="287"/>
    <x v="4"/>
    <x v="1"/>
    <x v="2"/>
    <x v="0"/>
    <x v="7"/>
    <n v="15000"/>
    <n v="7000"/>
    <x v="28"/>
    <n v="64000"/>
  </r>
  <r>
    <x v="197"/>
    <x v="288"/>
    <x v="10"/>
    <x v="1"/>
    <x v="2"/>
    <x v="2"/>
    <x v="2"/>
    <n v="14000"/>
    <n v="6500"/>
    <x v="54"/>
    <n v="15000"/>
  </r>
  <r>
    <x v="198"/>
    <x v="289"/>
    <x v="5"/>
    <x v="0"/>
    <x v="0"/>
    <x v="0"/>
    <x v="7"/>
    <n v="10000"/>
    <n v="4500"/>
    <x v="49"/>
    <n v="44000"/>
  </r>
  <r>
    <x v="199"/>
    <x v="290"/>
    <x v="1"/>
    <x v="0"/>
    <x v="0"/>
    <x v="1"/>
    <x v="3"/>
    <n v="22000"/>
    <n v="12000"/>
    <x v="31"/>
    <n v="70000"/>
  </r>
  <r>
    <x v="40"/>
    <x v="291"/>
    <x v="1"/>
    <x v="0"/>
    <x v="1"/>
    <x v="3"/>
    <x v="4"/>
    <n v="22000"/>
    <n v="12000"/>
    <x v="12"/>
    <n v="50000"/>
  </r>
  <r>
    <x v="78"/>
    <x v="292"/>
    <x v="5"/>
    <x v="0"/>
    <x v="1"/>
    <x v="1"/>
    <x v="5"/>
    <n v="10000"/>
    <n v="4500"/>
    <x v="10"/>
    <n v="33000"/>
  </r>
  <r>
    <x v="200"/>
    <x v="293"/>
    <x v="2"/>
    <x v="1"/>
    <x v="1"/>
    <x v="3"/>
    <x v="3"/>
    <n v="12000"/>
    <n v="5500"/>
    <x v="4"/>
    <n v="45500"/>
  </r>
  <r>
    <x v="47"/>
    <x v="294"/>
    <x v="10"/>
    <x v="1"/>
    <x v="0"/>
    <x v="0"/>
    <x v="6"/>
    <n v="14000"/>
    <n v="6500"/>
    <x v="25"/>
    <n v="30000"/>
  </r>
  <r>
    <x v="139"/>
    <x v="295"/>
    <x v="9"/>
    <x v="2"/>
    <x v="2"/>
    <x v="1"/>
    <x v="0"/>
    <n v="12000"/>
    <n v="5500"/>
    <x v="45"/>
    <n v="6500"/>
  </r>
  <r>
    <x v="201"/>
    <x v="296"/>
    <x v="0"/>
    <x v="0"/>
    <x v="0"/>
    <x v="2"/>
    <x v="5"/>
    <n v="15000"/>
    <n v="8000"/>
    <x v="9"/>
    <n v="42000"/>
  </r>
  <r>
    <x v="127"/>
    <x v="297"/>
    <x v="9"/>
    <x v="2"/>
    <x v="2"/>
    <x v="1"/>
    <x v="3"/>
    <n v="12000"/>
    <n v="5500"/>
    <x v="4"/>
    <n v="45500"/>
  </r>
  <r>
    <x v="83"/>
    <x v="298"/>
    <x v="3"/>
    <x v="0"/>
    <x v="1"/>
    <x v="2"/>
    <x v="5"/>
    <n v="18000"/>
    <n v="10000"/>
    <x v="46"/>
    <n v="48000"/>
  </r>
  <r>
    <x v="202"/>
    <x v="299"/>
    <x v="8"/>
    <x v="2"/>
    <x v="2"/>
    <x v="1"/>
    <x v="2"/>
    <n v="18000"/>
    <n v="9000"/>
    <x v="3"/>
    <n v="1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9B6186-5105-4BB1-B93C-60EA5EA697FB}" name="PivotTable2" cacheId="2" applyNumberFormats="0" applyBorderFormats="0" applyFontFormats="0" applyPatternFormats="0" applyAlignmentFormats="0" applyWidthHeightFormats="1" dataCaption="Nilai" updatedVersion="7" minRefreshableVersion="3" useAutoFormatting="1" itemPrintTitles="1" createdVersion="7" indent="0" outline="1" outlineData="1" multipleFieldFilters="0" chartFormat="4">
  <location ref="F3:G13" firstHeaderRow="1" firstDataRow="1" firstDataCol="1"/>
  <pivotFields count="11">
    <pivotField numFmtId="14" showAll="0">
      <items count="15">
        <item x="0"/>
        <item x="1"/>
        <item x="2"/>
        <item x="3"/>
        <item x="4"/>
        <item x="5"/>
        <item x="6"/>
        <item x="7"/>
        <item x="8"/>
        <item x="9"/>
        <item x="10"/>
        <item x="11"/>
        <item x="12"/>
        <item x="13"/>
        <item t="default"/>
      </items>
    </pivotField>
    <pivotField showAll="0"/>
    <pivotField axis="axisRow" showAll="0">
      <items count="13">
        <item x="0"/>
        <item x="6"/>
        <item x="11"/>
        <item x="8"/>
        <item x="9"/>
        <item x="3"/>
        <item x="2"/>
        <item x="1"/>
        <item x="10"/>
        <item x="4"/>
        <item x="7"/>
        <item x="5"/>
        <item t="default"/>
      </items>
    </pivotField>
    <pivotField showAll="0">
      <items count="4">
        <item x="1"/>
        <item x="0"/>
        <item h="1" x="2"/>
        <item t="default"/>
      </items>
    </pivotField>
    <pivotField showAll="0">
      <items count="4">
        <item x="0"/>
        <item x="1"/>
        <item x="2"/>
        <item t="default"/>
      </items>
    </pivotField>
    <pivotField showAll="0">
      <items count="5">
        <item x="1"/>
        <item x="0"/>
        <item x="2"/>
        <item x="3"/>
        <item t="default"/>
      </items>
    </pivotField>
    <pivotField dataField="1" showAll="0"/>
    <pivotField numFmtId="3" showAll="0"/>
    <pivotField numFmtId="3" showAll="0"/>
    <pivotField numFmtId="3" showAll="0"/>
    <pivotField numFmtId="3" showAll="0"/>
  </pivotFields>
  <rowFields count="1">
    <field x="2"/>
  </rowFields>
  <rowItems count="10">
    <i>
      <x/>
    </i>
    <i>
      <x v="2"/>
    </i>
    <i>
      <x v="5"/>
    </i>
    <i>
      <x v="6"/>
    </i>
    <i>
      <x v="7"/>
    </i>
    <i>
      <x v="8"/>
    </i>
    <i>
      <x v="9"/>
    </i>
    <i>
      <x v="10"/>
    </i>
    <i>
      <x v="11"/>
    </i>
    <i t="grand">
      <x/>
    </i>
  </rowItems>
  <colItems count="1">
    <i/>
  </colItems>
  <dataFields count="1">
    <dataField name="Jumlah dari Qty" fld="6" baseField="0" baseItem="0" numFmtId="164"/>
  </dataFields>
  <formats count="1">
    <format dxfId="27">
      <pivotArea outline="0" collapsedLevelsAreSubtotals="1" fieldPosition="0"/>
    </format>
  </formats>
  <chartFormats count="2">
    <chartFormat chart="2"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16F1DD-D907-4397-AA83-D2967BA1DD25}" name="PivotTable7" cacheId="2" applyNumberFormats="0" applyBorderFormats="0" applyFontFormats="0" applyPatternFormats="0" applyAlignmentFormats="0" applyWidthHeightFormats="1" dataCaption="Nilai" updatedVersion="7" minRefreshableVersion="3" useAutoFormatting="1" itemPrintTitles="1" createdVersion="7" indent="0" outline="1" outlineData="1" multipleFieldFilters="0" chartFormat="5">
  <location ref="E21:F34" firstHeaderRow="1" firstDataRow="1" firstDataCol="1"/>
  <pivotFields count="11">
    <pivotField axis="axisRow" numFmtId="14" showAll="0">
      <items count="15">
        <item x="0"/>
        <item x="1"/>
        <item x="2"/>
        <item x="3"/>
        <item x="4"/>
        <item x="5"/>
        <item x="6"/>
        <item x="7"/>
        <item x="8"/>
        <item x="9"/>
        <item x="10"/>
        <item x="11"/>
        <item x="12"/>
        <item x="13"/>
        <item t="default"/>
      </items>
    </pivotField>
    <pivotField showAll="0"/>
    <pivotField showAll="0"/>
    <pivotField showAll="0">
      <items count="4">
        <item x="1"/>
        <item x="0"/>
        <item h="1" x="2"/>
        <item t="default"/>
      </items>
    </pivotField>
    <pivotField showAll="0">
      <items count="4">
        <item x="0"/>
        <item x="1"/>
        <item x="2"/>
        <item t="default"/>
      </items>
    </pivotField>
    <pivotField showAll="0">
      <items count="5">
        <item x="1"/>
        <item x="0"/>
        <item x="2"/>
        <item x="3"/>
        <item t="default"/>
      </items>
    </pivotField>
    <pivotField showAll="0"/>
    <pivotField numFmtId="3" showAll="0"/>
    <pivotField numFmtId="3" showAll="0"/>
    <pivotField dataField="1" numFmtId="3" showAll="0"/>
    <pivotField numFmtId="3" showAll="0"/>
  </pivotFields>
  <rowFields count="1">
    <field x="0"/>
  </rowFields>
  <rowItems count="13">
    <i>
      <x v="1"/>
    </i>
    <i>
      <x v="2"/>
    </i>
    <i>
      <x v="3"/>
    </i>
    <i>
      <x v="4"/>
    </i>
    <i>
      <x v="5"/>
    </i>
    <i>
      <x v="6"/>
    </i>
    <i>
      <x v="7"/>
    </i>
    <i>
      <x v="8"/>
    </i>
    <i>
      <x v="9"/>
    </i>
    <i>
      <x v="10"/>
    </i>
    <i>
      <x v="11"/>
    </i>
    <i>
      <x v="12"/>
    </i>
    <i t="grand">
      <x/>
    </i>
  </rowItems>
  <colItems count="1">
    <i/>
  </colItems>
  <dataFields count="1">
    <dataField name="Jumlah dari Omzet" fld="9" baseField="0" baseItem="2" numFmtId="164"/>
  </dataFields>
  <formats count="1">
    <format dxfId="2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4ED34D-8443-4587-A0D2-43E55895B732}" name="PivotTable11" cacheId="2" applyNumberFormats="0" applyBorderFormats="0" applyFontFormats="0" applyPatternFormats="0" applyAlignmentFormats="0" applyWidthHeightFormats="1" dataCaption="Nilai" updatedVersion="7" minRefreshableVersion="3" useAutoFormatting="1" itemPrintTitles="1" createdVersion="7" indent="0" outline="1" outlineData="1" multipleFieldFilters="0" chartFormat="4">
  <location ref="V21:W26" firstHeaderRow="1" firstDataRow="1" firstDataCol="1"/>
  <pivotFields count="11">
    <pivotField numFmtId="14" showAll="0"/>
    <pivotField showAll="0"/>
    <pivotField showAll="0"/>
    <pivotField showAll="0">
      <items count="4">
        <item x="1"/>
        <item x="0"/>
        <item h="1" x="2"/>
        <item t="default"/>
      </items>
    </pivotField>
    <pivotField showAll="0">
      <items count="4">
        <item x="0"/>
        <item x="1"/>
        <item x="2"/>
        <item t="default"/>
      </items>
    </pivotField>
    <pivotField axis="axisRow" showAll="0">
      <items count="5">
        <item x="1"/>
        <item x="0"/>
        <item x="2"/>
        <item x="3"/>
        <item t="default"/>
      </items>
    </pivotField>
    <pivotField showAll="0">
      <items count="9">
        <item x="0"/>
        <item x="2"/>
        <item x="1"/>
        <item x="6"/>
        <item x="4"/>
        <item x="5"/>
        <item x="3"/>
        <item x="7"/>
        <item t="default"/>
      </items>
    </pivotField>
    <pivotField numFmtId="3" showAll="0"/>
    <pivotField numFmtId="3" showAll="0"/>
    <pivotField dataField="1" numFmtId="3" showAll="0"/>
    <pivotField numFmtId="3" showAll="0"/>
  </pivotFields>
  <rowFields count="1">
    <field x="5"/>
  </rowFields>
  <rowItems count="5">
    <i>
      <x/>
    </i>
    <i>
      <x v="1"/>
    </i>
    <i>
      <x v="2"/>
    </i>
    <i>
      <x v="3"/>
    </i>
    <i t="grand">
      <x/>
    </i>
  </rowItems>
  <colItems count="1">
    <i/>
  </colItems>
  <dataFields count="1">
    <dataField name="Jumlah dari Omzet" fld="9" baseField="0" baseItem="0" numFmtId="164"/>
  </dataFields>
  <formats count="1">
    <format dxfId="29">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A464C2-AF66-4EB5-9F51-014B309D4508}" name="PivotTable1" cacheId="0" applyNumberFormats="0" applyBorderFormats="0" applyFontFormats="0" applyPatternFormats="0" applyAlignmentFormats="0" applyWidthHeightFormats="1" dataCaption="Nilai" updatedVersion="7" minRefreshableVersion="3" useAutoFormatting="1" itemPrintTitles="1" createdVersion="7" indent="0" outline="1" outlineData="1" multipleFieldFilters="0">
  <location ref="A3:B7" firstHeaderRow="1" firstDataRow="1" firstDataCol="1"/>
  <pivotFields count="11">
    <pivotField numFmtId="14" showAll="0"/>
    <pivotField showAll="0"/>
    <pivotField showAll="0"/>
    <pivotField axis="axisRow" showAll="0">
      <items count="4">
        <item x="1"/>
        <item x="0"/>
        <item x="2"/>
        <item t="default"/>
      </items>
    </pivotField>
    <pivotField showAll="0"/>
    <pivotField showAll="0"/>
    <pivotField showAll="0"/>
    <pivotField numFmtId="3" showAll="0"/>
    <pivotField numFmtId="3" showAll="0"/>
    <pivotField dataField="1" numFmtId="3" showAll="0"/>
    <pivotField numFmtId="3" showAll="0"/>
  </pivotFields>
  <rowFields count="1">
    <field x="3"/>
  </rowFields>
  <rowItems count="4">
    <i>
      <x/>
    </i>
    <i>
      <x v="1"/>
    </i>
    <i>
      <x v="2"/>
    </i>
    <i t="grand">
      <x/>
    </i>
  </rowItems>
  <colItems count="1">
    <i/>
  </colItems>
  <dataFields count="1">
    <dataField name="Jumlah dari Omzet" fld="9" baseField="0" baseItem="0" numFmtId="164"/>
  </dataFields>
  <formats count="2">
    <format dxfId="51">
      <pivotArea outline="0" collapsedLevelsAreSubtotals="1" fieldPosition="0"/>
    </format>
    <format dxfId="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51A39B-8B27-40F4-ADFC-52B1B685C962}" name="PivotTable6" cacheId="2" applyNumberFormats="0" applyBorderFormats="0" applyFontFormats="0" applyPatternFormats="0" applyAlignmentFormats="0" applyWidthHeightFormats="1" dataCaption="Nilai" updatedVersion="7" minRefreshableVersion="3" useAutoFormatting="1" itemPrintTitles="1" createdVersion="7" indent="0" outline="1" outlineData="1" multipleFieldFilters="0">
  <location ref="A21:B34" firstHeaderRow="1" firstDataRow="1" firstDataCol="1"/>
  <pivotFields count="11">
    <pivotField axis="axisRow" numFmtId="14" showAll="0">
      <items count="15">
        <item x="0"/>
        <item x="1"/>
        <item x="2"/>
        <item x="3"/>
        <item x="4"/>
        <item x="5"/>
        <item x="6"/>
        <item x="7"/>
        <item x="8"/>
        <item x="9"/>
        <item x="10"/>
        <item x="11"/>
        <item x="12"/>
        <item x="13"/>
        <item t="default"/>
      </items>
    </pivotField>
    <pivotField showAll="0"/>
    <pivotField showAll="0"/>
    <pivotField showAll="0">
      <items count="4">
        <item x="1"/>
        <item x="0"/>
        <item h="1" x="2"/>
        <item t="default"/>
      </items>
    </pivotField>
    <pivotField showAll="0">
      <items count="4">
        <item x="0"/>
        <item x="1"/>
        <item x="2"/>
        <item t="default"/>
      </items>
    </pivotField>
    <pivotField showAll="0">
      <items count="5">
        <item x="1"/>
        <item x="0"/>
        <item x="2"/>
        <item x="3"/>
        <item t="default"/>
      </items>
    </pivotField>
    <pivotField showAll="0"/>
    <pivotField numFmtId="3" showAll="0"/>
    <pivotField numFmtId="3" showAll="0"/>
    <pivotField numFmtId="3" showAll="0"/>
    <pivotField dataField="1" numFmtId="3" showAll="0"/>
  </pivotFields>
  <rowFields count="1">
    <field x="0"/>
  </rowFields>
  <rowItems count="13">
    <i>
      <x v="1"/>
    </i>
    <i>
      <x v="2"/>
    </i>
    <i>
      <x v="3"/>
    </i>
    <i>
      <x v="4"/>
    </i>
    <i>
      <x v="5"/>
    </i>
    <i>
      <x v="6"/>
    </i>
    <i>
      <x v="7"/>
    </i>
    <i>
      <x v="8"/>
    </i>
    <i>
      <x v="9"/>
    </i>
    <i>
      <x v="10"/>
    </i>
    <i>
      <x v="11"/>
    </i>
    <i>
      <x v="12"/>
    </i>
    <i t="grand">
      <x/>
    </i>
  </rowItems>
  <colItems count="1">
    <i/>
  </colItems>
  <dataFields count="1">
    <dataField name="Jumlah dari Profit" fld="10" baseField="0" baseItem="0" numFmtId="164"/>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DC1383-F40E-4203-B821-2087B6C20D4B}" name="PivotTable5" cacheId="2" applyNumberFormats="0" applyBorderFormats="0" applyFontFormats="0" applyPatternFormats="0" applyAlignmentFormats="0" applyWidthHeightFormats="1" dataCaption="Nilai" updatedVersion="7" minRefreshableVersion="3" useAutoFormatting="1" itemPrintTitles="1" createdVersion="7" indent="0" outline="1" outlineData="1" multipleFieldFilters="0">
  <location ref="V3:W7" firstHeaderRow="1" firstDataRow="1" firstDataCol="1"/>
  <pivotFields count="11">
    <pivotField numFmtId="14" showAll="0">
      <items count="15">
        <item x="0"/>
        <item x="1"/>
        <item x="2"/>
        <item x="3"/>
        <item x="4"/>
        <item x="5"/>
        <item x="6"/>
        <item x="7"/>
        <item x="8"/>
        <item x="9"/>
        <item x="10"/>
        <item x="11"/>
        <item x="12"/>
        <item x="13"/>
        <item t="default"/>
      </items>
    </pivotField>
    <pivotField showAll="0"/>
    <pivotField showAll="0"/>
    <pivotField showAll="0">
      <items count="4">
        <item x="1"/>
        <item x="0"/>
        <item h="1" x="2"/>
        <item t="default"/>
      </items>
    </pivotField>
    <pivotField axis="axisRow" showAll="0">
      <items count="4">
        <item x="0"/>
        <item x="1"/>
        <item x="2"/>
        <item t="default"/>
      </items>
    </pivotField>
    <pivotField showAll="0">
      <items count="5">
        <item x="1"/>
        <item x="0"/>
        <item x="2"/>
        <item x="3"/>
        <item t="default"/>
      </items>
    </pivotField>
    <pivotField showAll="0"/>
    <pivotField numFmtId="3" showAll="0"/>
    <pivotField numFmtId="3" showAll="0"/>
    <pivotField dataField="1" numFmtId="3" showAll="0"/>
    <pivotField numFmtId="3" showAll="0"/>
  </pivotFields>
  <rowFields count="1">
    <field x="4"/>
  </rowFields>
  <rowItems count="4">
    <i>
      <x/>
    </i>
    <i>
      <x v="1"/>
    </i>
    <i>
      <x v="2"/>
    </i>
    <i t="grand">
      <x/>
    </i>
  </rowItems>
  <colItems count="1">
    <i/>
  </colItems>
  <dataFields count="1">
    <dataField name="Jumlah dari Omzet" fld="9" baseField="0" baseItem="0" numFmtId="164"/>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8723AF-9724-4A10-BAF9-0488E55B4916}" name="PivotTable10" cacheId="2" applyNumberFormats="0" applyBorderFormats="0" applyFontFormats="0" applyPatternFormats="0" applyAlignmentFormats="0" applyWidthHeightFormats="1" dataCaption="Nilai" updatedVersion="7" minRefreshableVersion="3" useAutoFormatting="1" itemPrintTitles="1" createdVersion="7" indent="0" outline="1" outlineData="1" multipleFieldFilters="0">
  <location ref="S21:T25" firstHeaderRow="1" firstDataRow="1" firstDataCol="1"/>
  <pivotFields count="11">
    <pivotField numFmtId="14" showAll="0"/>
    <pivotField showAll="0"/>
    <pivotField showAll="0"/>
    <pivotField showAll="0">
      <items count="4">
        <item x="1"/>
        <item x="0"/>
        <item h="1" x="2"/>
        <item t="default"/>
      </items>
    </pivotField>
    <pivotField axis="axisRow" showAll="0">
      <items count="4">
        <item x="0"/>
        <item x="1"/>
        <item x="2"/>
        <item t="default"/>
      </items>
    </pivotField>
    <pivotField showAll="0">
      <items count="5">
        <item x="1"/>
        <item x="0"/>
        <item x="2"/>
        <item x="3"/>
        <item t="default"/>
      </items>
    </pivotField>
    <pivotField showAll="0"/>
    <pivotField numFmtId="3" showAll="0"/>
    <pivotField numFmtId="3" showAll="0"/>
    <pivotField dataField="1" numFmtId="3" showAll="0"/>
    <pivotField numFmtId="3" showAll="0"/>
  </pivotFields>
  <rowFields count="1">
    <field x="4"/>
  </rowFields>
  <rowItems count="4">
    <i>
      <x/>
    </i>
    <i>
      <x v="1"/>
    </i>
    <i>
      <x v="2"/>
    </i>
    <i t="grand">
      <x/>
    </i>
  </rowItems>
  <colItems count="1">
    <i/>
  </colItems>
  <dataFields count="1">
    <dataField name="Jumlah dari Omzet" fld="9" baseField="0" baseItem="0" numFmtId="164"/>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D519A1-B580-45DC-A9D2-94EFF6632662}" name="PivotTable4" cacheId="2" applyNumberFormats="0" applyBorderFormats="0" applyFontFormats="0" applyPatternFormats="0" applyAlignmentFormats="0" applyWidthHeightFormats="1" dataCaption="Nilai" updatedVersion="7" minRefreshableVersion="3" useAutoFormatting="1" itemPrintTitles="1" createdVersion="7" indent="0" outline="1" outlineData="1" multipleFieldFilters="0">
  <location ref="P3:Q8" firstHeaderRow="1" firstDataRow="1" firstDataCol="1"/>
  <pivotFields count="11">
    <pivotField numFmtId="14" showAll="0">
      <items count="15">
        <item x="0"/>
        <item x="1"/>
        <item x="2"/>
        <item x="3"/>
        <item x="4"/>
        <item x="5"/>
        <item x="6"/>
        <item x="7"/>
        <item x="8"/>
        <item x="9"/>
        <item x="10"/>
        <item x="11"/>
        <item x="12"/>
        <item x="13"/>
        <item t="default"/>
      </items>
    </pivotField>
    <pivotField showAll="0"/>
    <pivotField showAll="0"/>
    <pivotField showAll="0">
      <items count="4">
        <item x="1"/>
        <item x="0"/>
        <item h="1" x="2"/>
        <item t="default"/>
      </items>
    </pivotField>
    <pivotField showAll="0">
      <items count="4">
        <item x="0"/>
        <item x="1"/>
        <item x="2"/>
        <item t="default"/>
      </items>
    </pivotField>
    <pivotField axis="axisRow" showAll="0">
      <items count="5">
        <item x="1"/>
        <item x="0"/>
        <item x="2"/>
        <item x="3"/>
        <item t="default"/>
      </items>
    </pivotField>
    <pivotField showAll="0"/>
    <pivotField numFmtId="3" showAll="0"/>
    <pivotField numFmtId="3" showAll="0"/>
    <pivotField dataField="1" numFmtId="3" showAll="0">
      <items count="56">
        <item x="5"/>
        <item x="45"/>
        <item x="43"/>
        <item x="0"/>
        <item x="37"/>
        <item x="15"/>
        <item x="47"/>
        <item x="34"/>
        <item x="2"/>
        <item x="53"/>
        <item x="54"/>
        <item x="6"/>
        <item x="30"/>
        <item x="3"/>
        <item x="22"/>
        <item x="23"/>
        <item x="29"/>
        <item x="38"/>
        <item x="48"/>
        <item x="18"/>
        <item x="13"/>
        <item x="20"/>
        <item x="25"/>
        <item x="10"/>
        <item x="1"/>
        <item x="40"/>
        <item x="19"/>
        <item x="16"/>
        <item x="8"/>
        <item x="49"/>
        <item x="4"/>
        <item x="44"/>
        <item x="27"/>
        <item x="9"/>
        <item x="33"/>
        <item x="41"/>
        <item x="24"/>
        <item x="26"/>
        <item x="7"/>
        <item x="46"/>
        <item x="12"/>
        <item x="52"/>
        <item x="42"/>
        <item x="28"/>
        <item x="39"/>
        <item x="32"/>
        <item x="35"/>
        <item x="17"/>
        <item x="51"/>
        <item x="21"/>
        <item x="11"/>
        <item x="31"/>
        <item x="36"/>
        <item x="14"/>
        <item x="50"/>
        <item t="default"/>
      </items>
    </pivotField>
    <pivotField numFmtId="3" showAll="0"/>
  </pivotFields>
  <rowFields count="1">
    <field x="5"/>
  </rowFields>
  <rowItems count="5">
    <i>
      <x/>
    </i>
    <i>
      <x v="1"/>
    </i>
    <i>
      <x v="2"/>
    </i>
    <i>
      <x v="3"/>
    </i>
    <i t="grand">
      <x/>
    </i>
  </rowItems>
  <colItems count="1">
    <i/>
  </colItems>
  <dataFields count="1">
    <dataField name="Jumlah dari Omzet" fld="9" baseField="0" baseItem="0" numFmtId="164"/>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8DA30F-2556-4AD9-B2E5-9522DA90A4B4}" name="PivotTable9" cacheId="2" applyNumberFormats="0" applyBorderFormats="0" applyFontFormats="0" applyPatternFormats="0" applyAlignmentFormats="0" applyWidthHeightFormats="1" dataCaption="Nilai" updatedVersion="7" minRefreshableVersion="3" useAutoFormatting="1" itemPrintTitles="1" createdVersion="7" indent="0" outline="1" outlineData="1" multipleFieldFilters="0" chartFormat="4">
  <location ref="P21:Q24" firstHeaderRow="1" firstDataRow="1" firstDataCol="1"/>
  <pivotFields count="11">
    <pivotField numFmtId="14" showAll="0"/>
    <pivotField showAll="0"/>
    <pivotField showAll="0"/>
    <pivotField axis="axisRow" showAll="0">
      <items count="4">
        <item x="1"/>
        <item x="0"/>
        <item h="1" x="2"/>
        <item t="default"/>
      </items>
    </pivotField>
    <pivotField showAll="0">
      <items count="4">
        <item x="0"/>
        <item x="1"/>
        <item x="2"/>
        <item t="default"/>
      </items>
    </pivotField>
    <pivotField showAll="0">
      <items count="5">
        <item x="1"/>
        <item x="0"/>
        <item x="2"/>
        <item x="3"/>
        <item t="default"/>
      </items>
    </pivotField>
    <pivotField showAll="0"/>
    <pivotField numFmtId="3" showAll="0"/>
    <pivotField numFmtId="3" showAll="0"/>
    <pivotField dataField="1" numFmtId="3" showAll="0"/>
    <pivotField numFmtId="3" showAll="0"/>
  </pivotFields>
  <rowFields count="1">
    <field x="3"/>
  </rowFields>
  <rowItems count="3">
    <i>
      <x/>
    </i>
    <i>
      <x v="1"/>
    </i>
    <i t="grand">
      <x/>
    </i>
  </rowItems>
  <colItems count="1">
    <i/>
  </colItems>
  <dataFields count="1">
    <dataField name="Jumlah dari Omzet" fld="9" baseField="0" baseItem="0" numFmtId="164"/>
  </dataFields>
  <formats count="1">
    <format dxfId="2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9C5286-B917-4F01-9A5C-DDD67E5D06C4}" name="PivotTable3" cacheId="2" applyNumberFormats="0" applyBorderFormats="0" applyFontFormats="0" applyPatternFormats="0" applyAlignmentFormats="0" applyWidthHeightFormats="1" dataCaption="Nilai" updatedVersion="7" minRefreshableVersion="3" useAutoFormatting="1" itemPrintTitles="1" createdVersion="7" indent="0" outline="1" outlineData="1" multipleFieldFilters="0">
  <location ref="K3:L13" firstHeaderRow="1" firstDataRow="1" firstDataCol="1"/>
  <pivotFields count="11">
    <pivotField numFmtId="14" showAll="0">
      <items count="15">
        <item x="0"/>
        <item x="1"/>
        <item x="2"/>
        <item x="3"/>
        <item x="4"/>
        <item x="5"/>
        <item x="6"/>
        <item x="7"/>
        <item x="8"/>
        <item x="9"/>
        <item x="10"/>
        <item x="11"/>
        <item x="12"/>
        <item x="13"/>
        <item t="default"/>
      </items>
    </pivotField>
    <pivotField showAll="0"/>
    <pivotField axis="axisRow" showAll="0">
      <items count="13">
        <item x="0"/>
        <item x="6"/>
        <item x="11"/>
        <item x="8"/>
        <item x="9"/>
        <item x="3"/>
        <item x="2"/>
        <item x="1"/>
        <item x="10"/>
        <item x="4"/>
        <item x="7"/>
        <item x="5"/>
        <item t="default"/>
      </items>
    </pivotField>
    <pivotField showAll="0">
      <items count="4">
        <item x="1"/>
        <item x="0"/>
        <item h="1" x="2"/>
        <item t="default"/>
      </items>
    </pivotField>
    <pivotField showAll="0">
      <items count="4">
        <item x="0"/>
        <item x="1"/>
        <item x="2"/>
        <item t="default"/>
      </items>
    </pivotField>
    <pivotField showAll="0">
      <items count="5">
        <item x="1"/>
        <item x="0"/>
        <item x="2"/>
        <item x="3"/>
        <item t="default"/>
      </items>
    </pivotField>
    <pivotField showAll="0"/>
    <pivotField numFmtId="3" showAll="0"/>
    <pivotField numFmtId="3" showAll="0"/>
    <pivotField numFmtId="3" showAll="0"/>
    <pivotField dataField="1" numFmtId="3" showAll="0"/>
  </pivotFields>
  <rowFields count="1">
    <field x="2"/>
  </rowFields>
  <rowItems count="10">
    <i>
      <x/>
    </i>
    <i>
      <x v="2"/>
    </i>
    <i>
      <x v="5"/>
    </i>
    <i>
      <x v="6"/>
    </i>
    <i>
      <x v="7"/>
    </i>
    <i>
      <x v="8"/>
    </i>
    <i>
      <x v="9"/>
    </i>
    <i>
      <x v="10"/>
    </i>
    <i>
      <x v="11"/>
    </i>
    <i t="grand">
      <x/>
    </i>
  </rowItems>
  <colItems count="1">
    <i/>
  </colItems>
  <dataFields count="1">
    <dataField name="Jumlah dari Profit" fld="10" baseField="0" baseItem="0" numFmtId="164"/>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6B26F9-7E65-44A9-A9EA-6B7A23D21EE6}" name="PivotTable8" cacheId="2" applyNumberFormats="0" applyBorderFormats="0" applyFontFormats="0" applyPatternFormats="0" applyAlignmentFormats="0" applyWidthHeightFormats="1" dataCaption="Nilai" updatedVersion="7" minRefreshableVersion="3" useAutoFormatting="1" itemPrintTitles="1" createdVersion="7" indent="0" outline="1" outlineData="1" multipleFieldFilters="0" chartFormat="4">
  <location ref="M21:N27" firstHeaderRow="1" firstDataRow="1" firstDataCol="1"/>
  <pivotFields count="11">
    <pivotField numFmtId="14" showAll="0"/>
    <pivotField showAll="0"/>
    <pivotField axis="axisRow" showAll="0" measureFilter="1" sortType="descending">
      <items count="13">
        <item x="0"/>
        <item x="6"/>
        <item x="11"/>
        <item x="8"/>
        <item x="9"/>
        <item x="3"/>
        <item x="2"/>
        <item x="1"/>
        <item x="10"/>
        <item x="4"/>
        <item x="7"/>
        <item x="5"/>
        <item t="default"/>
      </items>
      <autoSortScope>
        <pivotArea dataOnly="0" outline="0" fieldPosition="0">
          <references count="1">
            <reference field="4294967294" count="1" selected="0">
              <x v="0"/>
            </reference>
          </references>
        </pivotArea>
      </autoSortScope>
    </pivotField>
    <pivotField showAll="0">
      <items count="4">
        <item x="1"/>
        <item x="0"/>
        <item h="1" x="2"/>
        <item t="default"/>
      </items>
    </pivotField>
    <pivotField showAll="0">
      <items count="4">
        <item x="0"/>
        <item x="1"/>
        <item x="2"/>
        <item t="default"/>
      </items>
    </pivotField>
    <pivotField showAll="0">
      <items count="5">
        <item x="1"/>
        <item x="0"/>
        <item x="2"/>
        <item x="3"/>
        <item t="default"/>
      </items>
    </pivotField>
    <pivotField dataField="1" showAll="0"/>
    <pivotField numFmtId="3" showAll="0"/>
    <pivotField numFmtId="3" showAll="0"/>
    <pivotField numFmtId="3" showAll="0"/>
    <pivotField numFmtId="3" showAll="0"/>
  </pivotFields>
  <rowFields count="1">
    <field x="2"/>
  </rowFields>
  <rowItems count="6">
    <i>
      <x v="10"/>
    </i>
    <i>
      <x v="7"/>
    </i>
    <i>
      <x/>
    </i>
    <i>
      <x v="11"/>
    </i>
    <i>
      <x v="6"/>
    </i>
    <i t="grand">
      <x/>
    </i>
  </rowItems>
  <colItems count="1">
    <i/>
  </colItems>
  <dataFields count="1">
    <dataField name="Jumlah dari Qty"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585E56-7E94-4879-ACF4-F5EE5DFCB55E}" name="PivotTable14" cacheId="2" applyNumberFormats="0" applyBorderFormats="0" applyFontFormats="0" applyPatternFormats="0" applyAlignmentFormats="0" applyWidthHeightFormats="1" dataCaption="Nilai" updatedVersion="7" minRefreshableVersion="3" useAutoFormatting="1" itemPrintTitles="1" createdVersion="7" indent="0" outline="1" outlineData="1" multipleFieldFilters="0">
  <location ref="E41:H42" firstHeaderRow="0" firstDataRow="1" firstDataCol="0"/>
  <pivotFields count="11">
    <pivotField numFmtId="14" showAll="0"/>
    <pivotField dataField="1" showAll="0"/>
    <pivotField showAll="0"/>
    <pivotField showAll="0">
      <items count="4">
        <item x="1"/>
        <item x="0"/>
        <item h="1" x="2"/>
        <item t="default"/>
      </items>
    </pivotField>
    <pivotField showAll="0">
      <items count="4">
        <item x="0"/>
        <item x="1"/>
        <item x="2"/>
        <item t="default"/>
      </items>
    </pivotField>
    <pivotField showAll="0">
      <items count="5">
        <item x="1"/>
        <item x="0"/>
        <item x="2"/>
        <item x="3"/>
        <item t="default"/>
      </items>
    </pivotField>
    <pivotField dataField="1" showAll="0"/>
    <pivotField numFmtId="3" showAll="0"/>
    <pivotField numFmtId="3" showAll="0"/>
    <pivotField dataField="1" numFmtId="3" showAll="0"/>
    <pivotField dataField="1" numFmtId="3" showAll="0"/>
  </pivotFields>
  <rowItems count="1">
    <i/>
  </rowItems>
  <colFields count="1">
    <field x="-2"/>
  </colFields>
  <colItems count="4">
    <i>
      <x/>
    </i>
    <i i="1">
      <x v="1"/>
    </i>
    <i i="2">
      <x v="2"/>
    </i>
    <i i="3">
      <x v="3"/>
    </i>
  </colItems>
  <dataFields count="4">
    <dataField name="Jumlah dari Omzet" fld="9" baseField="0" baseItem="32" numFmtId="164"/>
    <dataField name="Jumlah dari Profit" fld="10" baseField="0" baseItem="0"/>
    <dataField name="Jumlah dari Qty" fld="6" baseField="0" baseItem="0"/>
    <dataField name="jumlah transaksi" fld="1" subtotal="count" baseField="0" baseItem="3"/>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830D655-8C14-4F3E-95AA-8362B298D9A3}" name="PivotTable12" cacheId="2" dataPosition="0" applyNumberFormats="0" applyBorderFormats="0" applyFontFormats="0" applyPatternFormats="0" applyAlignmentFormats="0" applyWidthHeightFormats="1" dataCaption="Nilai" updatedVersion="7" minRefreshableVersion="3" useAutoFormatting="1" itemPrintTitles="1" createdVersion="7" indent="0" outline="1" outlineData="1" multipleFieldFilters="0">
  <location ref="A40:C53" firstHeaderRow="0" firstDataRow="1" firstDataCol="1"/>
  <pivotFields count="11">
    <pivotField axis="axisRow" numFmtId="14" showAll="0">
      <items count="15">
        <item x="0"/>
        <item x="1"/>
        <item x="2"/>
        <item x="3"/>
        <item x="4"/>
        <item x="5"/>
        <item x="6"/>
        <item x="7"/>
        <item x="8"/>
        <item x="9"/>
        <item x="10"/>
        <item x="11"/>
        <item x="12"/>
        <item x="13"/>
        <item t="default"/>
      </items>
    </pivotField>
    <pivotField showAll="0"/>
    <pivotField multipleItemSelectionAllowed="1" showAll="0">
      <items count="13">
        <item h="1" x="0"/>
        <item h="1" x="6"/>
        <item h="1" x="11"/>
        <item h="1" x="8"/>
        <item h="1" x="9"/>
        <item x="3"/>
        <item x="2"/>
        <item h="1" x="1"/>
        <item x="10"/>
        <item h="1" x="4"/>
        <item h="1" x="7"/>
        <item h="1" x="5"/>
        <item t="default"/>
      </items>
    </pivotField>
    <pivotField showAll="0">
      <items count="4">
        <item x="1"/>
        <item x="0"/>
        <item h="1" x="2"/>
        <item t="default"/>
      </items>
    </pivotField>
    <pivotField showAll="0">
      <items count="4">
        <item x="0"/>
        <item x="1"/>
        <item x="2"/>
        <item t="default"/>
      </items>
    </pivotField>
    <pivotField showAll="0">
      <items count="5">
        <item x="1"/>
        <item x="0"/>
        <item x="2"/>
        <item x="3"/>
        <item t="default"/>
      </items>
    </pivotField>
    <pivotField showAll="0"/>
    <pivotField numFmtId="3" showAll="0"/>
    <pivotField numFmtId="3" showAll="0"/>
    <pivotField dataField="1" numFmtId="3" showAll="0"/>
    <pivotField dataField="1" numFmtId="3" showAll="0"/>
  </pivotFields>
  <rowFields count="1">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Jumlah dari Omzet" fld="9" baseField="0" baseItem="0"/>
    <dataField name="Jumlah dari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Kategori" xr10:uid="{46522905-F526-458E-8C57-91751EB5074D}" sourceName="Kategori">
  <pivotTables>
    <pivotTable tabId="5" name="PivotTable9"/>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12"/>
    <pivotTable tabId="5" name="PivotTable14"/>
  </pivotTables>
  <data>
    <tabular pivotCacheId="276534861">
      <items count="3">
        <i x="1" s="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Jenis_Penjualan" xr10:uid="{C4523EAD-B235-44E9-9062-D01EE1D878C1}" sourceName="Jenis Penjualan">
  <pivotTables>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2"/>
    <pivotTable tabId="5" name="PivotTable14"/>
  </pivotTables>
  <data>
    <tabular pivotCacheId="27653486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Metode_Pembayaran" xr10:uid="{0674E5D9-8C3C-4B5B-8F04-51CD89BD632C}" sourceName="Metode Pembayaran">
  <pivotTables>
    <pivotTable tabId="5" name="PivotTable1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2"/>
    <pivotTable tabId="5" name="PivotTable14"/>
  </pivotTables>
  <data>
    <tabular pivotCacheId="276534861">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 xr10:uid="{B7668E5B-F73A-4012-B69E-21A08620AAA4}" cache="Pemotong_Kategori" caption="Kategori" columnCount="2" rowHeight="234950"/>
  <slicer name="Jenis Penjualan" xr10:uid="{62F039AC-F02E-4627-807D-F5307604B30D}" cache="Pemotong_Jenis_Penjualan" caption="Jenis Penjualan" columnCount="2" rowHeight="234950"/>
  <slicer name="Metode Pembayaran" xr10:uid="{AC90F1CB-301A-4B06-829E-9CB18F2D8F32}" cache="Pemotong_Metode_Pembayaran" caption="Metode Pembayaran"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73E0A4-1C7B-4886-A952-4D6C279259BA}" name="data" displayName="data" ref="A1:K301" totalsRowShown="0" headerRowDxfId="57">
  <autoFilter ref="A1:K301" xr:uid="{00000000-0009-0000-0000-000000000000}"/>
  <tableColumns count="11">
    <tableColumn id="1" xr3:uid="{323FAF63-C759-4EA3-A02B-ADFDD7BCBA49}" name="Tanggal" dataDxfId="56"/>
    <tableColumn id="2" xr3:uid="{C6D91721-7013-4259-8E90-A959CC2C0ED9}" name="No Invoice"/>
    <tableColumn id="3" xr3:uid="{CA2EE001-41CB-408A-A09D-DE47E7CAA882}" name="Produk"/>
    <tableColumn id="4" xr3:uid="{894DDE65-9B90-4728-91E8-9CE405B006C1}" name="Kategori"/>
    <tableColumn id="5" xr3:uid="{85716135-F441-4046-9F3D-FF7153380D38}" name="Jenis Penjualan"/>
    <tableColumn id="6" xr3:uid="{040708CC-61F1-4450-9C95-E608F9610D3D}" name="Metode Pembayaran"/>
    <tableColumn id="7" xr3:uid="{B0748073-C081-4A8A-86DB-66DF1E3D5B06}" name="Qty"/>
    <tableColumn id="8" xr3:uid="{EDD76EFD-2C05-4389-A709-778DA663AFA9}" name="Harga Jual" dataDxfId="55"/>
    <tableColumn id="9" xr3:uid="{BB1571D0-D170-4D4E-8108-3917AA055BD2}" name="Harga Modal" dataDxfId="54"/>
    <tableColumn id="10" xr3:uid="{2CFBAA4A-FD55-4950-9F7A-D1BAFA434527}" name="Omzet" dataDxfId="53"/>
    <tableColumn id="11" xr3:uid="{14865FC7-27D8-4210-9972-F1FB457CEF25}" name="Profit" dataDxfId="5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1"/>
  <sheetViews>
    <sheetView workbookViewId="0">
      <pane ySplit="1" topLeftCell="A267" activePane="bottomLeft" state="frozen"/>
      <selection pane="bottomLeft" activeCell="D285" sqref="D285"/>
    </sheetView>
  </sheetViews>
  <sheetFormatPr defaultRowHeight="14.4" x14ac:dyDescent="0.3"/>
  <cols>
    <col min="1" max="2" width="14" customWidth="1"/>
    <col min="3" max="3" width="20" customWidth="1"/>
    <col min="4" max="4" width="15" customWidth="1"/>
    <col min="5" max="5" width="18" customWidth="1"/>
    <col min="6" max="6" width="20.6640625" customWidth="1"/>
    <col min="7" max="7" width="10" customWidth="1"/>
    <col min="8" max="9" width="14" customWidth="1"/>
    <col min="10" max="11" width="16"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2">
        <v>45985</v>
      </c>
      <c r="B2" t="s">
        <v>11</v>
      </c>
      <c r="C2" t="s">
        <v>12</v>
      </c>
      <c r="D2" t="s">
        <v>13</v>
      </c>
      <c r="E2" t="s">
        <v>14</v>
      </c>
      <c r="F2" t="s">
        <v>15</v>
      </c>
      <c r="G2">
        <v>1</v>
      </c>
      <c r="H2" s="3">
        <v>15000</v>
      </c>
      <c r="I2" s="3">
        <v>8000</v>
      </c>
      <c r="J2" s="3">
        <v>15000</v>
      </c>
      <c r="K2" s="3">
        <v>7000</v>
      </c>
    </row>
    <row r="3" spans="1:11" x14ac:dyDescent="0.3">
      <c r="A3" s="2">
        <v>45783</v>
      </c>
      <c r="B3" t="s">
        <v>16</v>
      </c>
      <c r="C3" t="s">
        <v>17</v>
      </c>
      <c r="D3" t="s">
        <v>13</v>
      </c>
      <c r="E3" t="s">
        <v>14</v>
      </c>
      <c r="F3" t="s">
        <v>18</v>
      </c>
      <c r="G3">
        <v>3</v>
      </c>
      <c r="H3" s="3">
        <v>22000</v>
      </c>
      <c r="I3" s="3">
        <v>12000</v>
      </c>
      <c r="J3" s="3">
        <v>66000</v>
      </c>
      <c r="K3" s="3">
        <v>30000</v>
      </c>
    </row>
    <row r="4" spans="1:11" x14ac:dyDescent="0.3">
      <c r="A4" s="2">
        <v>46004</v>
      </c>
      <c r="B4" t="s">
        <v>19</v>
      </c>
      <c r="C4" t="s">
        <v>20</v>
      </c>
      <c r="D4" t="s">
        <v>21</v>
      </c>
      <c r="E4" t="s">
        <v>14</v>
      </c>
      <c r="F4" t="s">
        <v>22</v>
      </c>
      <c r="G4">
        <v>2</v>
      </c>
      <c r="H4" s="3">
        <v>12000</v>
      </c>
      <c r="I4" s="3">
        <v>5500</v>
      </c>
      <c r="J4" s="3">
        <v>24000</v>
      </c>
      <c r="K4" s="3">
        <v>13000</v>
      </c>
    </row>
    <row r="5" spans="1:11" x14ac:dyDescent="0.3">
      <c r="A5" s="2">
        <v>45674</v>
      </c>
      <c r="B5" t="s">
        <v>23</v>
      </c>
      <c r="C5" t="s">
        <v>24</v>
      </c>
      <c r="D5" t="s">
        <v>13</v>
      </c>
      <c r="E5" t="s">
        <v>25</v>
      </c>
      <c r="F5" t="s">
        <v>26</v>
      </c>
      <c r="G5">
        <v>2</v>
      </c>
      <c r="H5" s="3">
        <v>18000</v>
      </c>
      <c r="I5" s="3">
        <v>10000</v>
      </c>
      <c r="J5" s="3">
        <v>36000</v>
      </c>
      <c r="K5" s="3">
        <v>16000</v>
      </c>
    </row>
    <row r="6" spans="1:11" x14ac:dyDescent="0.3">
      <c r="A6" s="2">
        <v>45916</v>
      </c>
      <c r="B6" t="s">
        <v>27</v>
      </c>
      <c r="C6" t="s">
        <v>28</v>
      </c>
      <c r="D6" t="s">
        <v>21</v>
      </c>
      <c r="E6" t="s">
        <v>14</v>
      </c>
      <c r="F6" t="s">
        <v>26</v>
      </c>
      <c r="G6">
        <v>1</v>
      </c>
      <c r="H6" s="3">
        <v>15000</v>
      </c>
      <c r="I6" s="3">
        <v>7000</v>
      </c>
      <c r="J6" s="3">
        <v>15000</v>
      </c>
      <c r="K6" s="3">
        <v>8000</v>
      </c>
    </row>
    <row r="7" spans="1:11" x14ac:dyDescent="0.3">
      <c r="A7" s="2">
        <v>45990</v>
      </c>
      <c r="B7" t="s">
        <v>29</v>
      </c>
      <c r="C7" t="s">
        <v>20</v>
      </c>
      <c r="D7" t="s">
        <v>21</v>
      </c>
      <c r="E7" t="s">
        <v>25</v>
      </c>
      <c r="F7" t="s">
        <v>22</v>
      </c>
      <c r="G7">
        <v>7</v>
      </c>
      <c r="H7" s="3">
        <v>12000</v>
      </c>
      <c r="I7" s="3">
        <v>5500</v>
      </c>
      <c r="J7" s="3">
        <v>84000</v>
      </c>
      <c r="K7" s="3">
        <v>45500</v>
      </c>
    </row>
    <row r="8" spans="1:11" x14ac:dyDescent="0.3">
      <c r="A8" s="2">
        <v>45959</v>
      </c>
      <c r="B8" t="s">
        <v>30</v>
      </c>
      <c r="C8" t="s">
        <v>31</v>
      </c>
      <c r="D8" t="s">
        <v>13</v>
      </c>
      <c r="E8" t="s">
        <v>25</v>
      </c>
      <c r="F8" t="s">
        <v>22</v>
      </c>
      <c r="G8">
        <v>1</v>
      </c>
      <c r="H8" s="3">
        <v>10000</v>
      </c>
      <c r="I8" s="3">
        <v>4500</v>
      </c>
      <c r="J8" s="3">
        <v>10000</v>
      </c>
      <c r="K8" s="3">
        <v>5500</v>
      </c>
    </row>
    <row r="9" spans="1:11" x14ac:dyDescent="0.3">
      <c r="A9" s="2">
        <v>45832</v>
      </c>
      <c r="B9" t="s">
        <v>32</v>
      </c>
      <c r="C9" t="s">
        <v>31</v>
      </c>
      <c r="D9" t="s">
        <v>13</v>
      </c>
      <c r="E9" t="s">
        <v>25</v>
      </c>
      <c r="F9" t="s">
        <v>15</v>
      </c>
      <c r="G9">
        <v>3</v>
      </c>
      <c r="H9" s="3">
        <v>10000</v>
      </c>
      <c r="I9" s="3">
        <v>4500</v>
      </c>
      <c r="J9" s="3">
        <v>30000</v>
      </c>
      <c r="K9" s="3">
        <v>16500</v>
      </c>
    </row>
    <row r="10" spans="1:11" x14ac:dyDescent="0.3">
      <c r="A10" s="2">
        <v>45710</v>
      </c>
      <c r="B10" t="s">
        <v>33</v>
      </c>
      <c r="C10" t="s">
        <v>12</v>
      </c>
      <c r="D10" t="s">
        <v>13</v>
      </c>
      <c r="E10" t="s">
        <v>25</v>
      </c>
      <c r="F10" t="s">
        <v>15</v>
      </c>
      <c r="G10">
        <v>7</v>
      </c>
      <c r="H10" s="3">
        <v>15000</v>
      </c>
      <c r="I10" s="3">
        <v>8000</v>
      </c>
      <c r="J10" s="3">
        <v>105000</v>
      </c>
      <c r="K10" s="3">
        <v>49000</v>
      </c>
    </row>
    <row r="11" spans="1:11" x14ac:dyDescent="0.3">
      <c r="A11" s="2">
        <v>45834</v>
      </c>
      <c r="B11" t="s">
        <v>34</v>
      </c>
      <c r="C11" t="s">
        <v>28</v>
      </c>
      <c r="D11" t="s">
        <v>21</v>
      </c>
      <c r="E11" t="s">
        <v>25</v>
      </c>
      <c r="F11" t="s">
        <v>22</v>
      </c>
      <c r="G11">
        <v>5</v>
      </c>
      <c r="H11" s="3">
        <v>15000</v>
      </c>
      <c r="I11" s="3">
        <v>7000</v>
      </c>
      <c r="J11" s="3">
        <v>75000</v>
      </c>
      <c r="K11" s="3">
        <v>40000</v>
      </c>
    </row>
    <row r="12" spans="1:11" x14ac:dyDescent="0.3">
      <c r="A12" s="2">
        <v>45932</v>
      </c>
      <c r="B12" t="s">
        <v>35</v>
      </c>
      <c r="C12" t="s">
        <v>12</v>
      </c>
      <c r="D12" t="s">
        <v>13</v>
      </c>
      <c r="E12" t="s">
        <v>25</v>
      </c>
      <c r="F12" t="s">
        <v>15</v>
      </c>
      <c r="G12">
        <v>7</v>
      </c>
      <c r="H12" s="3">
        <v>15000</v>
      </c>
      <c r="I12" s="3">
        <v>8000</v>
      </c>
      <c r="J12" s="3">
        <v>105000</v>
      </c>
      <c r="K12" s="3">
        <v>49000</v>
      </c>
    </row>
    <row r="13" spans="1:11" x14ac:dyDescent="0.3">
      <c r="A13" s="2">
        <v>45979</v>
      </c>
      <c r="B13" t="s">
        <v>36</v>
      </c>
      <c r="C13" t="s">
        <v>28</v>
      </c>
      <c r="D13" t="s">
        <v>21</v>
      </c>
      <c r="E13" t="s">
        <v>14</v>
      </c>
      <c r="F13" t="s">
        <v>26</v>
      </c>
      <c r="G13">
        <v>6</v>
      </c>
      <c r="H13" s="3">
        <v>15000</v>
      </c>
      <c r="I13" s="3">
        <v>7000</v>
      </c>
      <c r="J13" s="3">
        <v>90000</v>
      </c>
      <c r="K13" s="3">
        <v>48000</v>
      </c>
    </row>
    <row r="14" spans="1:11" x14ac:dyDescent="0.3">
      <c r="A14" s="2">
        <v>46018</v>
      </c>
      <c r="B14" t="s">
        <v>37</v>
      </c>
      <c r="C14" t="s">
        <v>12</v>
      </c>
      <c r="D14" t="s">
        <v>13</v>
      </c>
      <c r="E14" t="s">
        <v>14</v>
      </c>
      <c r="F14" t="s">
        <v>26</v>
      </c>
      <c r="G14">
        <v>1</v>
      </c>
      <c r="H14" s="3">
        <v>15000</v>
      </c>
      <c r="I14" s="3">
        <v>8000</v>
      </c>
      <c r="J14" s="3">
        <v>15000</v>
      </c>
      <c r="K14" s="3">
        <v>7000</v>
      </c>
    </row>
    <row r="15" spans="1:11" x14ac:dyDescent="0.3">
      <c r="A15" s="2">
        <v>45806</v>
      </c>
      <c r="B15" t="s">
        <v>38</v>
      </c>
      <c r="C15" t="s">
        <v>12</v>
      </c>
      <c r="D15" t="s">
        <v>13</v>
      </c>
      <c r="E15" t="s">
        <v>25</v>
      </c>
      <c r="F15" t="s">
        <v>22</v>
      </c>
      <c r="G15">
        <v>4</v>
      </c>
      <c r="H15" s="3">
        <v>15000</v>
      </c>
      <c r="I15" s="3">
        <v>8000</v>
      </c>
      <c r="J15" s="3">
        <v>60000</v>
      </c>
      <c r="K15" s="3">
        <v>28000</v>
      </c>
    </row>
    <row r="16" spans="1:11" x14ac:dyDescent="0.3">
      <c r="A16" s="2">
        <v>45800</v>
      </c>
      <c r="B16" t="s">
        <v>39</v>
      </c>
      <c r="C16" t="s">
        <v>40</v>
      </c>
      <c r="D16" t="s">
        <v>41</v>
      </c>
      <c r="E16" t="s">
        <v>25</v>
      </c>
      <c r="F16" t="s">
        <v>15</v>
      </c>
      <c r="G16">
        <v>6</v>
      </c>
      <c r="H16" s="3">
        <v>25000</v>
      </c>
      <c r="I16" s="3">
        <v>13000</v>
      </c>
      <c r="J16" s="3">
        <v>150000</v>
      </c>
      <c r="K16" s="3">
        <v>72000</v>
      </c>
    </row>
    <row r="17" spans="1:11" x14ac:dyDescent="0.3">
      <c r="A17" s="2">
        <v>45839</v>
      </c>
      <c r="B17" t="s">
        <v>42</v>
      </c>
      <c r="C17" t="s">
        <v>17</v>
      </c>
      <c r="D17" t="s">
        <v>13</v>
      </c>
      <c r="E17" t="s">
        <v>14</v>
      </c>
      <c r="F17" t="s">
        <v>18</v>
      </c>
      <c r="G17">
        <v>5</v>
      </c>
      <c r="H17" s="3">
        <v>22000</v>
      </c>
      <c r="I17" s="3">
        <v>12000</v>
      </c>
      <c r="J17" s="3">
        <v>110000</v>
      </c>
      <c r="K17" s="3">
        <v>50000</v>
      </c>
    </row>
    <row r="18" spans="1:11" x14ac:dyDescent="0.3">
      <c r="A18" s="2">
        <v>45969</v>
      </c>
      <c r="B18" t="s">
        <v>43</v>
      </c>
      <c r="C18" t="s">
        <v>44</v>
      </c>
      <c r="D18" t="s">
        <v>21</v>
      </c>
      <c r="E18" t="s">
        <v>14</v>
      </c>
      <c r="F18" t="s">
        <v>26</v>
      </c>
      <c r="G18">
        <v>3</v>
      </c>
      <c r="H18" s="3">
        <v>17000</v>
      </c>
      <c r="I18" s="3">
        <v>8000</v>
      </c>
      <c r="J18" s="3">
        <v>51000</v>
      </c>
      <c r="K18" s="3">
        <v>27000</v>
      </c>
    </row>
    <row r="19" spans="1:11" x14ac:dyDescent="0.3">
      <c r="A19" s="2">
        <v>45741</v>
      </c>
      <c r="B19" t="s">
        <v>45</v>
      </c>
      <c r="C19" t="s">
        <v>40</v>
      </c>
      <c r="D19" t="s">
        <v>41</v>
      </c>
      <c r="E19" t="s">
        <v>46</v>
      </c>
      <c r="F19" t="s">
        <v>26</v>
      </c>
      <c r="G19">
        <v>7</v>
      </c>
      <c r="H19" s="3">
        <v>25000</v>
      </c>
      <c r="I19" s="3">
        <v>13000</v>
      </c>
      <c r="J19" s="3">
        <v>175000</v>
      </c>
      <c r="K19" s="3">
        <v>84000</v>
      </c>
    </row>
    <row r="20" spans="1:11" x14ac:dyDescent="0.3">
      <c r="A20" s="2">
        <v>46008</v>
      </c>
      <c r="B20" t="s">
        <v>47</v>
      </c>
      <c r="C20" t="s">
        <v>48</v>
      </c>
      <c r="D20" t="s">
        <v>41</v>
      </c>
      <c r="E20" t="s">
        <v>25</v>
      </c>
      <c r="F20" t="s">
        <v>18</v>
      </c>
      <c r="G20">
        <v>1</v>
      </c>
      <c r="H20" s="3">
        <v>18000</v>
      </c>
      <c r="I20" s="3">
        <v>9000</v>
      </c>
      <c r="J20" s="3">
        <v>18000</v>
      </c>
      <c r="K20" s="3">
        <v>9000</v>
      </c>
    </row>
    <row r="21" spans="1:11" x14ac:dyDescent="0.3">
      <c r="A21" s="2">
        <v>45819</v>
      </c>
      <c r="B21" t="s">
        <v>49</v>
      </c>
      <c r="C21" t="s">
        <v>50</v>
      </c>
      <c r="D21" t="s">
        <v>41</v>
      </c>
      <c r="E21" t="s">
        <v>25</v>
      </c>
      <c r="F21" t="s">
        <v>26</v>
      </c>
      <c r="G21">
        <v>5</v>
      </c>
      <c r="H21" s="3">
        <v>12000</v>
      </c>
      <c r="I21" s="3">
        <v>5500</v>
      </c>
      <c r="J21" s="3">
        <v>60000</v>
      </c>
      <c r="K21" s="3">
        <v>32500</v>
      </c>
    </row>
    <row r="22" spans="1:11" x14ac:dyDescent="0.3">
      <c r="A22" s="2">
        <v>45948</v>
      </c>
      <c r="B22" t="s">
        <v>51</v>
      </c>
      <c r="C22" t="s">
        <v>20</v>
      </c>
      <c r="D22" t="s">
        <v>21</v>
      </c>
      <c r="E22" t="s">
        <v>25</v>
      </c>
      <c r="F22" t="s">
        <v>22</v>
      </c>
      <c r="G22">
        <v>6</v>
      </c>
      <c r="H22" s="3">
        <v>12000</v>
      </c>
      <c r="I22" s="3">
        <v>5500</v>
      </c>
      <c r="J22" s="3">
        <v>72000</v>
      </c>
      <c r="K22" s="3">
        <v>39000</v>
      </c>
    </row>
    <row r="23" spans="1:11" x14ac:dyDescent="0.3">
      <c r="A23" s="2">
        <v>45860</v>
      </c>
      <c r="B23" t="s">
        <v>52</v>
      </c>
      <c r="C23" t="s">
        <v>44</v>
      </c>
      <c r="D23" t="s">
        <v>21</v>
      </c>
      <c r="E23" t="s">
        <v>25</v>
      </c>
      <c r="F23" t="s">
        <v>15</v>
      </c>
      <c r="G23">
        <v>8</v>
      </c>
      <c r="H23" s="3">
        <v>17000</v>
      </c>
      <c r="I23" s="3">
        <v>8000</v>
      </c>
      <c r="J23" s="3">
        <v>136000</v>
      </c>
      <c r="K23" s="3">
        <v>72000</v>
      </c>
    </row>
    <row r="24" spans="1:11" x14ac:dyDescent="0.3">
      <c r="A24" s="2">
        <v>45729</v>
      </c>
      <c r="B24" t="s">
        <v>53</v>
      </c>
      <c r="C24" t="s">
        <v>17</v>
      </c>
      <c r="D24" t="s">
        <v>13</v>
      </c>
      <c r="E24" t="s">
        <v>14</v>
      </c>
      <c r="F24" t="s">
        <v>22</v>
      </c>
      <c r="G24">
        <v>5</v>
      </c>
      <c r="H24" s="3">
        <v>22000</v>
      </c>
      <c r="I24" s="3">
        <v>12000</v>
      </c>
      <c r="J24" s="3">
        <v>110000</v>
      </c>
      <c r="K24" s="3">
        <v>50000</v>
      </c>
    </row>
    <row r="25" spans="1:11" x14ac:dyDescent="0.3">
      <c r="A25" s="2">
        <v>45956</v>
      </c>
      <c r="B25" t="s">
        <v>54</v>
      </c>
      <c r="C25" t="s">
        <v>50</v>
      </c>
      <c r="D25" t="s">
        <v>41</v>
      </c>
      <c r="E25" t="s">
        <v>25</v>
      </c>
      <c r="F25" t="s">
        <v>26</v>
      </c>
      <c r="G25">
        <v>6</v>
      </c>
      <c r="H25" s="3">
        <v>12000</v>
      </c>
      <c r="I25" s="3">
        <v>5500</v>
      </c>
      <c r="J25" s="3">
        <v>72000</v>
      </c>
      <c r="K25" s="3">
        <v>39000</v>
      </c>
    </row>
    <row r="26" spans="1:11" x14ac:dyDescent="0.3">
      <c r="A26" s="2">
        <v>45918</v>
      </c>
      <c r="B26" t="s">
        <v>55</v>
      </c>
      <c r="C26" t="s">
        <v>40</v>
      </c>
      <c r="D26" t="s">
        <v>41</v>
      </c>
      <c r="E26" t="s">
        <v>25</v>
      </c>
      <c r="F26" t="s">
        <v>18</v>
      </c>
      <c r="G26">
        <v>2</v>
      </c>
      <c r="H26" s="3">
        <v>25000</v>
      </c>
      <c r="I26" s="3">
        <v>13000</v>
      </c>
      <c r="J26" s="3">
        <v>50000</v>
      </c>
      <c r="K26" s="3">
        <v>24000</v>
      </c>
    </row>
    <row r="27" spans="1:11" x14ac:dyDescent="0.3">
      <c r="A27" s="2">
        <v>45736</v>
      </c>
      <c r="B27" t="s">
        <v>56</v>
      </c>
      <c r="C27" t="s">
        <v>44</v>
      </c>
      <c r="D27" t="s">
        <v>21</v>
      </c>
      <c r="E27" t="s">
        <v>14</v>
      </c>
      <c r="F27" t="s">
        <v>22</v>
      </c>
      <c r="G27">
        <v>3</v>
      </c>
      <c r="H27" s="3">
        <v>17000</v>
      </c>
      <c r="I27" s="3">
        <v>8000</v>
      </c>
      <c r="J27" s="3">
        <v>51000</v>
      </c>
      <c r="K27" s="3">
        <v>27000</v>
      </c>
    </row>
    <row r="28" spans="1:11" x14ac:dyDescent="0.3">
      <c r="A28" s="2">
        <v>45963</v>
      </c>
      <c r="B28" t="s">
        <v>57</v>
      </c>
      <c r="C28" t="s">
        <v>12</v>
      </c>
      <c r="D28" t="s">
        <v>13</v>
      </c>
      <c r="E28" t="s">
        <v>46</v>
      </c>
      <c r="F28" t="s">
        <v>22</v>
      </c>
      <c r="G28">
        <v>7</v>
      </c>
      <c r="H28" s="3">
        <v>15000</v>
      </c>
      <c r="I28" s="3">
        <v>8000</v>
      </c>
      <c r="J28" s="3">
        <v>105000</v>
      </c>
      <c r="K28" s="3">
        <v>49000</v>
      </c>
    </row>
    <row r="29" spans="1:11" x14ac:dyDescent="0.3">
      <c r="A29" s="2">
        <v>45928</v>
      </c>
      <c r="B29" t="s">
        <v>58</v>
      </c>
      <c r="C29" t="s">
        <v>31</v>
      </c>
      <c r="D29" t="s">
        <v>13</v>
      </c>
      <c r="E29" t="s">
        <v>14</v>
      </c>
      <c r="F29" t="s">
        <v>18</v>
      </c>
      <c r="G29">
        <v>1</v>
      </c>
      <c r="H29" s="3">
        <v>10000</v>
      </c>
      <c r="I29" s="3">
        <v>4500</v>
      </c>
      <c r="J29" s="3">
        <v>10000</v>
      </c>
      <c r="K29" s="3">
        <v>5500</v>
      </c>
    </row>
    <row r="30" spans="1:11" x14ac:dyDescent="0.3">
      <c r="A30" s="2">
        <v>46007</v>
      </c>
      <c r="B30" t="s">
        <v>59</v>
      </c>
      <c r="C30" t="s">
        <v>60</v>
      </c>
      <c r="D30" t="s">
        <v>21</v>
      </c>
      <c r="E30" t="s">
        <v>14</v>
      </c>
      <c r="F30" t="s">
        <v>15</v>
      </c>
      <c r="G30">
        <v>5</v>
      </c>
      <c r="H30" s="3">
        <v>14000</v>
      </c>
      <c r="I30" s="3">
        <v>6500</v>
      </c>
      <c r="J30" s="3">
        <v>70000</v>
      </c>
      <c r="K30" s="3">
        <v>37500</v>
      </c>
    </row>
    <row r="31" spans="1:11" x14ac:dyDescent="0.3">
      <c r="A31" s="2">
        <v>45715</v>
      </c>
      <c r="B31" t="s">
        <v>61</v>
      </c>
      <c r="C31" t="s">
        <v>31</v>
      </c>
      <c r="D31" t="s">
        <v>13</v>
      </c>
      <c r="E31" t="s">
        <v>25</v>
      </c>
      <c r="F31" t="s">
        <v>22</v>
      </c>
      <c r="G31">
        <v>7</v>
      </c>
      <c r="H31" s="3">
        <v>10000</v>
      </c>
      <c r="I31" s="3">
        <v>4500</v>
      </c>
      <c r="J31" s="3">
        <v>70000</v>
      </c>
      <c r="K31" s="3">
        <v>38500</v>
      </c>
    </row>
    <row r="32" spans="1:11" x14ac:dyDescent="0.3">
      <c r="A32" s="2">
        <v>45659</v>
      </c>
      <c r="B32" t="s">
        <v>62</v>
      </c>
      <c r="C32" t="s">
        <v>20</v>
      </c>
      <c r="D32" t="s">
        <v>21</v>
      </c>
      <c r="E32" t="s">
        <v>14</v>
      </c>
      <c r="F32" t="s">
        <v>26</v>
      </c>
      <c r="G32">
        <v>5</v>
      </c>
      <c r="H32" s="3">
        <v>12000</v>
      </c>
      <c r="I32" s="3">
        <v>5500</v>
      </c>
      <c r="J32" s="3">
        <v>60000</v>
      </c>
      <c r="K32" s="3">
        <v>32500</v>
      </c>
    </row>
    <row r="33" spans="1:11" x14ac:dyDescent="0.3">
      <c r="A33" s="2">
        <v>45917</v>
      </c>
      <c r="B33" t="s">
        <v>63</v>
      </c>
      <c r="C33" t="s">
        <v>12</v>
      </c>
      <c r="D33" t="s">
        <v>13</v>
      </c>
      <c r="E33" t="s">
        <v>14</v>
      </c>
      <c r="F33" t="s">
        <v>26</v>
      </c>
      <c r="G33">
        <v>5</v>
      </c>
      <c r="H33" s="3">
        <v>15000</v>
      </c>
      <c r="I33" s="3">
        <v>8000</v>
      </c>
      <c r="J33" s="3">
        <v>75000</v>
      </c>
      <c r="K33" s="3">
        <v>35000</v>
      </c>
    </row>
    <row r="34" spans="1:11" x14ac:dyDescent="0.3">
      <c r="A34" s="2">
        <v>45736</v>
      </c>
      <c r="B34" t="s">
        <v>64</v>
      </c>
      <c r="C34" t="s">
        <v>48</v>
      </c>
      <c r="D34" t="s">
        <v>41</v>
      </c>
      <c r="E34" t="s">
        <v>14</v>
      </c>
      <c r="F34" t="s">
        <v>18</v>
      </c>
      <c r="G34">
        <v>3</v>
      </c>
      <c r="H34" s="3">
        <v>18000</v>
      </c>
      <c r="I34" s="3">
        <v>9000</v>
      </c>
      <c r="J34" s="3">
        <v>54000</v>
      </c>
      <c r="K34" s="3">
        <v>27000</v>
      </c>
    </row>
    <row r="35" spans="1:11" x14ac:dyDescent="0.3">
      <c r="A35" s="2">
        <v>45964</v>
      </c>
      <c r="B35" t="s">
        <v>65</v>
      </c>
      <c r="C35" t="s">
        <v>48</v>
      </c>
      <c r="D35" t="s">
        <v>41</v>
      </c>
      <c r="E35" t="s">
        <v>25</v>
      </c>
      <c r="F35" t="s">
        <v>18</v>
      </c>
      <c r="G35">
        <v>8</v>
      </c>
      <c r="H35" s="3">
        <v>18000</v>
      </c>
      <c r="I35" s="3">
        <v>9000</v>
      </c>
      <c r="J35" s="3">
        <v>144000</v>
      </c>
      <c r="K35" s="3">
        <v>72000</v>
      </c>
    </row>
    <row r="36" spans="1:11" x14ac:dyDescent="0.3">
      <c r="A36" s="2">
        <v>45843</v>
      </c>
      <c r="B36" t="s">
        <v>66</v>
      </c>
      <c r="C36" t="s">
        <v>31</v>
      </c>
      <c r="D36" t="s">
        <v>13</v>
      </c>
      <c r="E36" t="s">
        <v>25</v>
      </c>
      <c r="F36" t="s">
        <v>26</v>
      </c>
      <c r="G36">
        <v>4</v>
      </c>
      <c r="H36" s="3">
        <v>10000</v>
      </c>
      <c r="I36" s="3">
        <v>4500</v>
      </c>
      <c r="J36" s="3">
        <v>40000</v>
      </c>
      <c r="K36" s="3">
        <v>22000</v>
      </c>
    </row>
    <row r="37" spans="1:11" x14ac:dyDescent="0.3">
      <c r="A37" s="2">
        <v>45948</v>
      </c>
      <c r="B37" t="s">
        <v>67</v>
      </c>
      <c r="C37" t="s">
        <v>12</v>
      </c>
      <c r="D37" t="s">
        <v>13</v>
      </c>
      <c r="E37" t="s">
        <v>14</v>
      </c>
      <c r="F37" t="s">
        <v>22</v>
      </c>
      <c r="G37">
        <v>2</v>
      </c>
      <c r="H37" s="3">
        <v>15000</v>
      </c>
      <c r="I37" s="3">
        <v>8000</v>
      </c>
      <c r="J37" s="3">
        <v>30000</v>
      </c>
      <c r="K37" s="3">
        <v>14000</v>
      </c>
    </row>
    <row r="38" spans="1:11" x14ac:dyDescent="0.3">
      <c r="A38" s="2">
        <v>45693</v>
      </c>
      <c r="B38" t="s">
        <v>68</v>
      </c>
      <c r="C38" t="s">
        <v>60</v>
      </c>
      <c r="D38" t="s">
        <v>21</v>
      </c>
      <c r="E38" t="s">
        <v>25</v>
      </c>
      <c r="F38" t="s">
        <v>22</v>
      </c>
      <c r="G38">
        <v>3</v>
      </c>
      <c r="H38" s="3">
        <v>14000</v>
      </c>
      <c r="I38" s="3">
        <v>6500</v>
      </c>
      <c r="J38" s="3">
        <v>42000</v>
      </c>
      <c r="K38" s="3">
        <v>22500</v>
      </c>
    </row>
    <row r="39" spans="1:11" x14ac:dyDescent="0.3">
      <c r="A39" s="2">
        <v>45939</v>
      </c>
      <c r="B39" t="s">
        <v>69</v>
      </c>
      <c r="C39" t="s">
        <v>70</v>
      </c>
      <c r="D39" t="s">
        <v>13</v>
      </c>
      <c r="E39" t="s">
        <v>14</v>
      </c>
      <c r="F39" t="s">
        <v>22</v>
      </c>
      <c r="G39">
        <v>5</v>
      </c>
      <c r="H39" s="3">
        <v>20000</v>
      </c>
      <c r="I39" s="3">
        <v>11000</v>
      </c>
      <c r="J39" s="3">
        <v>100000</v>
      </c>
      <c r="K39" s="3">
        <v>45000</v>
      </c>
    </row>
    <row r="40" spans="1:11" x14ac:dyDescent="0.3">
      <c r="A40" s="2">
        <v>45766</v>
      </c>
      <c r="B40" t="s">
        <v>71</v>
      </c>
      <c r="C40" t="s">
        <v>60</v>
      </c>
      <c r="D40" t="s">
        <v>21</v>
      </c>
      <c r="E40" t="s">
        <v>14</v>
      </c>
      <c r="F40" t="s">
        <v>15</v>
      </c>
      <c r="G40">
        <v>4</v>
      </c>
      <c r="H40" s="3">
        <v>14000</v>
      </c>
      <c r="I40" s="3">
        <v>6500</v>
      </c>
      <c r="J40" s="3">
        <v>56000</v>
      </c>
      <c r="K40" s="3">
        <v>30000</v>
      </c>
    </row>
    <row r="41" spans="1:11" x14ac:dyDescent="0.3">
      <c r="A41" s="2">
        <v>45862</v>
      </c>
      <c r="B41" t="s">
        <v>72</v>
      </c>
      <c r="C41" t="s">
        <v>44</v>
      </c>
      <c r="D41" t="s">
        <v>21</v>
      </c>
      <c r="E41" t="s">
        <v>46</v>
      </c>
      <c r="F41" t="s">
        <v>22</v>
      </c>
      <c r="G41">
        <v>6</v>
      </c>
      <c r="H41" s="3">
        <v>17000</v>
      </c>
      <c r="I41" s="3">
        <v>8000</v>
      </c>
      <c r="J41" s="3">
        <v>102000</v>
      </c>
      <c r="K41" s="3">
        <v>54000</v>
      </c>
    </row>
    <row r="42" spans="1:11" x14ac:dyDescent="0.3">
      <c r="A42" s="2">
        <v>45719</v>
      </c>
      <c r="B42" t="s">
        <v>73</v>
      </c>
      <c r="C42" t="s">
        <v>17</v>
      </c>
      <c r="D42" t="s">
        <v>13</v>
      </c>
      <c r="E42" t="s">
        <v>25</v>
      </c>
      <c r="F42" t="s">
        <v>15</v>
      </c>
      <c r="G42">
        <v>4</v>
      </c>
      <c r="H42" s="3">
        <v>22000</v>
      </c>
      <c r="I42" s="3">
        <v>12000</v>
      </c>
      <c r="J42" s="3">
        <v>88000</v>
      </c>
      <c r="K42" s="3">
        <v>40000</v>
      </c>
    </row>
    <row r="43" spans="1:11" x14ac:dyDescent="0.3">
      <c r="A43" s="2">
        <v>45668</v>
      </c>
      <c r="B43" t="s">
        <v>74</v>
      </c>
      <c r="C43" t="s">
        <v>28</v>
      </c>
      <c r="D43" t="s">
        <v>21</v>
      </c>
      <c r="E43" t="s">
        <v>14</v>
      </c>
      <c r="F43" t="s">
        <v>26</v>
      </c>
      <c r="G43">
        <v>4</v>
      </c>
      <c r="H43" s="3">
        <v>15000</v>
      </c>
      <c r="I43" s="3">
        <v>7000</v>
      </c>
      <c r="J43" s="3">
        <v>60000</v>
      </c>
      <c r="K43" s="3">
        <v>32000</v>
      </c>
    </row>
    <row r="44" spans="1:11" x14ac:dyDescent="0.3">
      <c r="A44" s="2">
        <v>45661</v>
      </c>
      <c r="B44" t="s">
        <v>75</v>
      </c>
      <c r="C44" t="s">
        <v>12</v>
      </c>
      <c r="D44" t="s">
        <v>13</v>
      </c>
      <c r="E44" t="s">
        <v>25</v>
      </c>
      <c r="F44" t="s">
        <v>18</v>
      </c>
      <c r="G44">
        <v>1</v>
      </c>
      <c r="H44" s="3">
        <v>15000</v>
      </c>
      <c r="I44" s="3">
        <v>8000</v>
      </c>
      <c r="J44" s="3">
        <v>15000</v>
      </c>
      <c r="K44" s="3">
        <v>7000</v>
      </c>
    </row>
    <row r="45" spans="1:11" x14ac:dyDescent="0.3">
      <c r="A45" s="2">
        <v>45674</v>
      </c>
      <c r="B45" t="s">
        <v>76</v>
      </c>
      <c r="C45" t="s">
        <v>48</v>
      </c>
      <c r="D45" t="s">
        <v>41</v>
      </c>
      <c r="E45" t="s">
        <v>14</v>
      </c>
      <c r="F45" t="s">
        <v>26</v>
      </c>
      <c r="G45">
        <v>2</v>
      </c>
      <c r="H45" s="3">
        <v>18000</v>
      </c>
      <c r="I45" s="3">
        <v>9000</v>
      </c>
      <c r="J45" s="3">
        <v>36000</v>
      </c>
      <c r="K45" s="3">
        <v>18000</v>
      </c>
    </row>
    <row r="46" spans="1:11" x14ac:dyDescent="0.3">
      <c r="A46" s="2">
        <v>45800</v>
      </c>
      <c r="B46" t="s">
        <v>77</v>
      </c>
      <c r="C46" t="s">
        <v>44</v>
      </c>
      <c r="D46" t="s">
        <v>21</v>
      </c>
      <c r="E46" t="s">
        <v>25</v>
      </c>
      <c r="F46" t="s">
        <v>26</v>
      </c>
      <c r="G46">
        <v>8</v>
      </c>
      <c r="H46" s="3">
        <v>17000</v>
      </c>
      <c r="I46" s="3">
        <v>8000</v>
      </c>
      <c r="J46" s="3">
        <v>136000</v>
      </c>
      <c r="K46" s="3">
        <v>72000</v>
      </c>
    </row>
    <row r="47" spans="1:11" x14ac:dyDescent="0.3">
      <c r="A47" s="2">
        <v>45950</v>
      </c>
      <c r="B47" t="s">
        <v>78</v>
      </c>
      <c r="C47" t="s">
        <v>28</v>
      </c>
      <c r="D47" t="s">
        <v>21</v>
      </c>
      <c r="E47" t="s">
        <v>25</v>
      </c>
      <c r="F47" t="s">
        <v>22</v>
      </c>
      <c r="G47">
        <v>8</v>
      </c>
      <c r="H47" s="3">
        <v>15000</v>
      </c>
      <c r="I47" s="3">
        <v>7000</v>
      </c>
      <c r="J47" s="3">
        <v>120000</v>
      </c>
      <c r="K47" s="3">
        <v>64000</v>
      </c>
    </row>
    <row r="48" spans="1:11" x14ac:dyDescent="0.3">
      <c r="A48" s="2">
        <v>45866</v>
      </c>
      <c r="B48" t="s">
        <v>79</v>
      </c>
      <c r="C48" t="s">
        <v>17</v>
      </c>
      <c r="D48" t="s">
        <v>13</v>
      </c>
      <c r="E48" t="s">
        <v>25</v>
      </c>
      <c r="F48" t="s">
        <v>22</v>
      </c>
      <c r="G48">
        <v>2</v>
      </c>
      <c r="H48" s="3">
        <v>22000</v>
      </c>
      <c r="I48" s="3">
        <v>12000</v>
      </c>
      <c r="J48" s="3">
        <v>44000</v>
      </c>
      <c r="K48" s="3">
        <v>20000</v>
      </c>
    </row>
    <row r="49" spans="1:11" x14ac:dyDescent="0.3">
      <c r="A49" s="2">
        <v>45839</v>
      </c>
      <c r="B49" t="s">
        <v>80</v>
      </c>
      <c r="C49" t="s">
        <v>50</v>
      </c>
      <c r="D49" t="s">
        <v>41</v>
      </c>
      <c r="E49" t="s">
        <v>46</v>
      </c>
      <c r="F49" t="s">
        <v>18</v>
      </c>
      <c r="G49">
        <v>7</v>
      </c>
      <c r="H49" s="3">
        <v>12000</v>
      </c>
      <c r="I49" s="3">
        <v>5500</v>
      </c>
      <c r="J49" s="3">
        <v>84000</v>
      </c>
      <c r="K49" s="3">
        <v>45500</v>
      </c>
    </row>
    <row r="50" spans="1:11" x14ac:dyDescent="0.3">
      <c r="A50" s="2">
        <v>46002</v>
      </c>
      <c r="B50" t="s">
        <v>81</v>
      </c>
      <c r="C50" t="s">
        <v>44</v>
      </c>
      <c r="D50" t="s">
        <v>21</v>
      </c>
      <c r="E50" t="s">
        <v>25</v>
      </c>
      <c r="F50" t="s">
        <v>22</v>
      </c>
      <c r="G50">
        <v>2</v>
      </c>
      <c r="H50" s="3">
        <v>17000</v>
      </c>
      <c r="I50" s="3">
        <v>8000</v>
      </c>
      <c r="J50" s="3">
        <v>34000</v>
      </c>
      <c r="K50" s="3">
        <v>18000</v>
      </c>
    </row>
    <row r="51" spans="1:11" x14ac:dyDescent="0.3">
      <c r="A51" s="2">
        <v>45831</v>
      </c>
      <c r="B51" t="s">
        <v>82</v>
      </c>
      <c r="C51" t="s">
        <v>12</v>
      </c>
      <c r="D51" t="s">
        <v>13</v>
      </c>
      <c r="E51" t="s">
        <v>25</v>
      </c>
      <c r="F51" t="s">
        <v>26</v>
      </c>
      <c r="G51">
        <v>4</v>
      </c>
      <c r="H51" s="3">
        <v>15000</v>
      </c>
      <c r="I51" s="3">
        <v>8000</v>
      </c>
      <c r="J51" s="3">
        <v>60000</v>
      </c>
      <c r="K51" s="3">
        <v>28000</v>
      </c>
    </row>
    <row r="52" spans="1:11" x14ac:dyDescent="0.3">
      <c r="A52" s="2">
        <v>45932</v>
      </c>
      <c r="B52" t="s">
        <v>83</v>
      </c>
      <c r="C52" t="s">
        <v>40</v>
      </c>
      <c r="D52" t="s">
        <v>41</v>
      </c>
      <c r="E52" t="s">
        <v>46</v>
      </c>
      <c r="F52" t="s">
        <v>26</v>
      </c>
      <c r="G52">
        <v>3</v>
      </c>
      <c r="H52" s="3">
        <v>25000</v>
      </c>
      <c r="I52" s="3">
        <v>13000</v>
      </c>
      <c r="J52" s="3">
        <v>75000</v>
      </c>
      <c r="K52" s="3">
        <v>36000</v>
      </c>
    </row>
    <row r="53" spans="1:11" x14ac:dyDescent="0.3">
      <c r="A53" s="2">
        <v>45800</v>
      </c>
      <c r="B53" t="s">
        <v>84</v>
      </c>
      <c r="C53" t="s">
        <v>40</v>
      </c>
      <c r="D53" t="s">
        <v>41</v>
      </c>
      <c r="E53" t="s">
        <v>25</v>
      </c>
      <c r="F53" t="s">
        <v>22</v>
      </c>
      <c r="G53">
        <v>4</v>
      </c>
      <c r="H53" s="3">
        <v>25000</v>
      </c>
      <c r="I53" s="3">
        <v>13000</v>
      </c>
      <c r="J53" s="3">
        <v>100000</v>
      </c>
      <c r="K53" s="3">
        <v>48000</v>
      </c>
    </row>
    <row r="54" spans="1:11" x14ac:dyDescent="0.3">
      <c r="A54" s="2">
        <v>45939</v>
      </c>
      <c r="B54" t="s">
        <v>85</v>
      </c>
      <c r="C54" t="s">
        <v>12</v>
      </c>
      <c r="D54" t="s">
        <v>13</v>
      </c>
      <c r="E54" t="s">
        <v>14</v>
      </c>
      <c r="F54" t="s">
        <v>18</v>
      </c>
      <c r="G54">
        <v>1</v>
      </c>
      <c r="H54" s="3">
        <v>15000</v>
      </c>
      <c r="I54" s="3">
        <v>8000</v>
      </c>
      <c r="J54" s="3">
        <v>15000</v>
      </c>
      <c r="K54" s="3">
        <v>7000</v>
      </c>
    </row>
    <row r="55" spans="1:11" x14ac:dyDescent="0.3">
      <c r="A55" s="2">
        <v>45705</v>
      </c>
      <c r="B55" t="s">
        <v>86</v>
      </c>
      <c r="C55" t="s">
        <v>17</v>
      </c>
      <c r="D55" t="s">
        <v>13</v>
      </c>
      <c r="E55" t="s">
        <v>46</v>
      </c>
      <c r="F55" t="s">
        <v>22</v>
      </c>
      <c r="G55">
        <v>3</v>
      </c>
      <c r="H55" s="3">
        <v>22000</v>
      </c>
      <c r="I55" s="3">
        <v>12000</v>
      </c>
      <c r="J55" s="3">
        <v>66000</v>
      </c>
      <c r="K55" s="3">
        <v>30000</v>
      </c>
    </row>
    <row r="56" spans="1:11" x14ac:dyDescent="0.3">
      <c r="A56" s="2">
        <v>45904</v>
      </c>
      <c r="B56" t="s">
        <v>87</v>
      </c>
      <c r="C56" t="s">
        <v>17</v>
      </c>
      <c r="D56" t="s">
        <v>13</v>
      </c>
      <c r="E56" t="s">
        <v>25</v>
      </c>
      <c r="F56" t="s">
        <v>26</v>
      </c>
      <c r="G56">
        <v>7</v>
      </c>
      <c r="H56" s="3">
        <v>22000</v>
      </c>
      <c r="I56" s="3">
        <v>12000</v>
      </c>
      <c r="J56" s="3">
        <v>154000</v>
      </c>
      <c r="K56" s="3">
        <v>70000</v>
      </c>
    </row>
    <row r="57" spans="1:11" x14ac:dyDescent="0.3">
      <c r="A57" s="2">
        <v>45852</v>
      </c>
      <c r="B57" t="s">
        <v>88</v>
      </c>
      <c r="C57" t="s">
        <v>24</v>
      </c>
      <c r="D57" t="s">
        <v>13</v>
      </c>
      <c r="E57" t="s">
        <v>46</v>
      </c>
      <c r="F57" t="s">
        <v>22</v>
      </c>
      <c r="G57">
        <v>7</v>
      </c>
      <c r="H57" s="3">
        <v>18000</v>
      </c>
      <c r="I57" s="3">
        <v>10000</v>
      </c>
      <c r="J57" s="3">
        <v>126000</v>
      </c>
      <c r="K57" s="3">
        <v>56000</v>
      </c>
    </row>
    <row r="58" spans="1:11" x14ac:dyDescent="0.3">
      <c r="A58" s="2">
        <v>45804</v>
      </c>
      <c r="B58" t="s">
        <v>89</v>
      </c>
      <c r="C58" t="s">
        <v>50</v>
      </c>
      <c r="D58" t="s">
        <v>41</v>
      </c>
      <c r="E58" t="s">
        <v>25</v>
      </c>
      <c r="F58" t="s">
        <v>26</v>
      </c>
      <c r="G58">
        <v>8</v>
      </c>
      <c r="H58" s="3">
        <v>12000</v>
      </c>
      <c r="I58" s="3">
        <v>5500</v>
      </c>
      <c r="J58" s="3">
        <v>96000</v>
      </c>
      <c r="K58" s="3">
        <v>52000</v>
      </c>
    </row>
    <row r="59" spans="1:11" x14ac:dyDescent="0.3">
      <c r="A59" s="2">
        <v>45809</v>
      </c>
      <c r="B59" t="s">
        <v>90</v>
      </c>
      <c r="C59" t="s">
        <v>17</v>
      </c>
      <c r="D59" t="s">
        <v>13</v>
      </c>
      <c r="E59" t="s">
        <v>14</v>
      </c>
      <c r="F59" t="s">
        <v>18</v>
      </c>
      <c r="G59">
        <v>1</v>
      </c>
      <c r="H59" s="3">
        <v>22000</v>
      </c>
      <c r="I59" s="3">
        <v>12000</v>
      </c>
      <c r="J59" s="3">
        <v>22000</v>
      </c>
      <c r="K59" s="3">
        <v>10000</v>
      </c>
    </row>
    <row r="60" spans="1:11" x14ac:dyDescent="0.3">
      <c r="A60" s="2">
        <v>45818</v>
      </c>
      <c r="B60" t="s">
        <v>91</v>
      </c>
      <c r="C60" t="s">
        <v>24</v>
      </c>
      <c r="D60" t="s">
        <v>13</v>
      </c>
      <c r="E60" t="s">
        <v>14</v>
      </c>
      <c r="F60" t="s">
        <v>22</v>
      </c>
      <c r="G60">
        <v>1</v>
      </c>
      <c r="H60" s="3">
        <v>18000</v>
      </c>
      <c r="I60" s="3">
        <v>10000</v>
      </c>
      <c r="J60" s="3">
        <v>18000</v>
      </c>
      <c r="K60" s="3">
        <v>8000</v>
      </c>
    </row>
    <row r="61" spans="1:11" x14ac:dyDescent="0.3">
      <c r="A61" s="2">
        <v>45915</v>
      </c>
      <c r="B61" t="s">
        <v>92</v>
      </c>
      <c r="C61" t="s">
        <v>60</v>
      </c>
      <c r="D61" t="s">
        <v>21</v>
      </c>
      <c r="E61" t="s">
        <v>25</v>
      </c>
      <c r="F61" t="s">
        <v>18</v>
      </c>
      <c r="G61">
        <v>3</v>
      </c>
      <c r="H61" s="3">
        <v>14000</v>
      </c>
      <c r="I61" s="3">
        <v>6500</v>
      </c>
      <c r="J61" s="3">
        <v>42000</v>
      </c>
      <c r="K61" s="3">
        <v>22500</v>
      </c>
    </row>
    <row r="62" spans="1:11" x14ac:dyDescent="0.3">
      <c r="A62" s="2">
        <v>45753</v>
      </c>
      <c r="B62" t="s">
        <v>93</v>
      </c>
      <c r="C62" t="s">
        <v>12</v>
      </c>
      <c r="D62" t="s">
        <v>13</v>
      </c>
      <c r="E62" t="s">
        <v>14</v>
      </c>
      <c r="F62" t="s">
        <v>26</v>
      </c>
      <c r="G62">
        <v>2</v>
      </c>
      <c r="H62" s="3">
        <v>15000</v>
      </c>
      <c r="I62" s="3">
        <v>8000</v>
      </c>
      <c r="J62" s="3">
        <v>30000</v>
      </c>
      <c r="K62" s="3">
        <v>14000</v>
      </c>
    </row>
    <row r="63" spans="1:11" x14ac:dyDescent="0.3">
      <c r="A63" s="2">
        <v>45864</v>
      </c>
      <c r="B63" t="s">
        <v>94</v>
      </c>
      <c r="C63" t="s">
        <v>12</v>
      </c>
      <c r="D63" t="s">
        <v>13</v>
      </c>
      <c r="E63" t="s">
        <v>14</v>
      </c>
      <c r="F63" t="s">
        <v>18</v>
      </c>
      <c r="G63">
        <v>4</v>
      </c>
      <c r="H63" s="3">
        <v>15000</v>
      </c>
      <c r="I63" s="3">
        <v>8000</v>
      </c>
      <c r="J63" s="3">
        <v>60000</v>
      </c>
      <c r="K63" s="3">
        <v>28000</v>
      </c>
    </row>
    <row r="64" spans="1:11" x14ac:dyDescent="0.3">
      <c r="A64" s="2">
        <v>45975</v>
      </c>
      <c r="B64" t="s">
        <v>95</v>
      </c>
      <c r="C64" t="s">
        <v>12</v>
      </c>
      <c r="D64" t="s">
        <v>13</v>
      </c>
      <c r="E64" t="s">
        <v>14</v>
      </c>
      <c r="F64" t="s">
        <v>15</v>
      </c>
      <c r="G64">
        <v>7</v>
      </c>
      <c r="H64" s="3">
        <v>15000</v>
      </c>
      <c r="I64" s="3">
        <v>8000</v>
      </c>
      <c r="J64" s="3">
        <v>105000</v>
      </c>
      <c r="K64" s="3">
        <v>49000</v>
      </c>
    </row>
    <row r="65" spans="1:11" x14ac:dyDescent="0.3">
      <c r="A65" s="2">
        <v>45791</v>
      </c>
      <c r="B65" t="s">
        <v>96</v>
      </c>
      <c r="C65" t="s">
        <v>17</v>
      </c>
      <c r="D65" t="s">
        <v>13</v>
      </c>
      <c r="E65" t="s">
        <v>25</v>
      </c>
      <c r="F65" t="s">
        <v>15</v>
      </c>
      <c r="G65">
        <v>6</v>
      </c>
      <c r="H65" s="3">
        <v>22000</v>
      </c>
      <c r="I65" s="3">
        <v>12000</v>
      </c>
      <c r="J65" s="3">
        <v>132000</v>
      </c>
      <c r="K65" s="3">
        <v>60000</v>
      </c>
    </row>
    <row r="66" spans="1:11" x14ac:dyDescent="0.3">
      <c r="A66" s="2">
        <v>45860</v>
      </c>
      <c r="B66" t="s">
        <v>97</v>
      </c>
      <c r="C66" t="s">
        <v>70</v>
      </c>
      <c r="D66" t="s">
        <v>13</v>
      </c>
      <c r="E66" t="s">
        <v>46</v>
      </c>
      <c r="F66" t="s">
        <v>15</v>
      </c>
      <c r="G66">
        <v>5</v>
      </c>
      <c r="H66" s="3">
        <v>20000</v>
      </c>
      <c r="I66" s="3">
        <v>11000</v>
      </c>
      <c r="J66" s="3">
        <v>100000</v>
      </c>
      <c r="K66" s="3">
        <v>45000</v>
      </c>
    </row>
    <row r="67" spans="1:11" x14ac:dyDescent="0.3">
      <c r="A67" s="2">
        <v>45695</v>
      </c>
      <c r="B67" t="s">
        <v>98</v>
      </c>
      <c r="C67" t="s">
        <v>24</v>
      </c>
      <c r="D67" t="s">
        <v>13</v>
      </c>
      <c r="E67" t="s">
        <v>14</v>
      </c>
      <c r="F67" t="s">
        <v>18</v>
      </c>
      <c r="G67">
        <v>8</v>
      </c>
      <c r="H67" s="3">
        <v>18000</v>
      </c>
      <c r="I67" s="3">
        <v>10000</v>
      </c>
      <c r="J67" s="3">
        <v>144000</v>
      </c>
      <c r="K67" s="3">
        <v>64000</v>
      </c>
    </row>
    <row r="68" spans="1:11" x14ac:dyDescent="0.3">
      <c r="A68" s="2">
        <v>45695</v>
      </c>
      <c r="B68" t="s">
        <v>99</v>
      </c>
      <c r="C68" t="s">
        <v>60</v>
      </c>
      <c r="D68" t="s">
        <v>21</v>
      </c>
      <c r="E68" t="s">
        <v>14</v>
      </c>
      <c r="F68" t="s">
        <v>15</v>
      </c>
      <c r="G68">
        <v>4</v>
      </c>
      <c r="H68" s="3">
        <v>14000</v>
      </c>
      <c r="I68" s="3">
        <v>6500</v>
      </c>
      <c r="J68" s="3">
        <v>56000</v>
      </c>
      <c r="K68" s="3">
        <v>30000</v>
      </c>
    </row>
    <row r="69" spans="1:11" x14ac:dyDescent="0.3">
      <c r="A69" s="2">
        <v>45725</v>
      </c>
      <c r="B69" t="s">
        <v>100</v>
      </c>
      <c r="C69" t="s">
        <v>48</v>
      </c>
      <c r="D69" t="s">
        <v>41</v>
      </c>
      <c r="E69" t="s">
        <v>25</v>
      </c>
      <c r="F69" t="s">
        <v>15</v>
      </c>
      <c r="G69">
        <v>2</v>
      </c>
      <c r="H69" s="3">
        <v>18000</v>
      </c>
      <c r="I69" s="3">
        <v>9000</v>
      </c>
      <c r="J69" s="3">
        <v>36000</v>
      </c>
      <c r="K69" s="3">
        <v>18000</v>
      </c>
    </row>
    <row r="70" spans="1:11" x14ac:dyDescent="0.3">
      <c r="A70" s="2">
        <v>45803</v>
      </c>
      <c r="B70" t="s">
        <v>101</v>
      </c>
      <c r="C70" t="s">
        <v>70</v>
      </c>
      <c r="D70" t="s">
        <v>13</v>
      </c>
      <c r="E70" t="s">
        <v>14</v>
      </c>
      <c r="F70" t="s">
        <v>15</v>
      </c>
      <c r="G70">
        <v>8</v>
      </c>
      <c r="H70" s="3">
        <v>20000</v>
      </c>
      <c r="I70" s="3">
        <v>11000</v>
      </c>
      <c r="J70" s="3">
        <v>160000</v>
      </c>
      <c r="K70" s="3">
        <v>72000</v>
      </c>
    </row>
    <row r="71" spans="1:11" x14ac:dyDescent="0.3">
      <c r="A71" s="2">
        <v>45971</v>
      </c>
      <c r="B71" t="s">
        <v>102</v>
      </c>
      <c r="C71" t="s">
        <v>44</v>
      </c>
      <c r="D71" t="s">
        <v>21</v>
      </c>
      <c r="E71" t="s">
        <v>14</v>
      </c>
      <c r="F71" t="s">
        <v>15</v>
      </c>
      <c r="G71">
        <v>1</v>
      </c>
      <c r="H71" s="3">
        <v>17000</v>
      </c>
      <c r="I71" s="3">
        <v>8000</v>
      </c>
      <c r="J71" s="3">
        <v>17000</v>
      </c>
      <c r="K71" s="3">
        <v>9000</v>
      </c>
    </row>
    <row r="72" spans="1:11" x14ac:dyDescent="0.3">
      <c r="A72" s="2">
        <v>45997</v>
      </c>
      <c r="B72" t="s">
        <v>103</v>
      </c>
      <c r="C72" t="s">
        <v>12</v>
      </c>
      <c r="D72" t="s">
        <v>13</v>
      </c>
      <c r="E72" t="s">
        <v>46</v>
      </c>
      <c r="F72" t="s">
        <v>18</v>
      </c>
      <c r="G72">
        <v>3</v>
      </c>
      <c r="H72" s="3">
        <v>15000</v>
      </c>
      <c r="I72" s="3">
        <v>8000</v>
      </c>
      <c r="J72" s="3">
        <v>45000</v>
      </c>
      <c r="K72" s="3">
        <v>21000</v>
      </c>
    </row>
    <row r="73" spans="1:11" x14ac:dyDescent="0.3">
      <c r="A73" s="2">
        <v>45712</v>
      </c>
      <c r="B73" t="s">
        <v>104</v>
      </c>
      <c r="C73" t="s">
        <v>20</v>
      </c>
      <c r="D73" t="s">
        <v>21</v>
      </c>
      <c r="E73" t="s">
        <v>46</v>
      </c>
      <c r="F73" t="s">
        <v>15</v>
      </c>
      <c r="G73">
        <v>3</v>
      </c>
      <c r="H73" s="3">
        <v>12000</v>
      </c>
      <c r="I73" s="3">
        <v>5500</v>
      </c>
      <c r="J73" s="3">
        <v>36000</v>
      </c>
      <c r="K73" s="3">
        <v>19500</v>
      </c>
    </row>
    <row r="74" spans="1:11" x14ac:dyDescent="0.3">
      <c r="A74" s="2">
        <v>45967</v>
      </c>
      <c r="B74" t="s">
        <v>105</v>
      </c>
      <c r="C74" t="s">
        <v>17</v>
      </c>
      <c r="D74" t="s">
        <v>13</v>
      </c>
      <c r="E74" t="s">
        <v>25</v>
      </c>
      <c r="F74" t="s">
        <v>15</v>
      </c>
      <c r="G74">
        <v>6</v>
      </c>
      <c r="H74" s="3">
        <v>22000</v>
      </c>
      <c r="I74" s="3">
        <v>12000</v>
      </c>
      <c r="J74" s="3">
        <v>132000</v>
      </c>
      <c r="K74" s="3">
        <v>60000</v>
      </c>
    </row>
    <row r="75" spans="1:11" x14ac:dyDescent="0.3">
      <c r="A75" s="2">
        <v>45916</v>
      </c>
      <c r="B75" t="s">
        <v>106</v>
      </c>
      <c r="C75" t="s">
        <v>40</v>
      </c>
      <c r="D75" t="s">
        <v>41</v>
      </c>
      <c r="E75" t="s">
        <v>25</v>
      </c>
      <c r="F75" t="s">
        <v>18</v>
      </c>
      <c r="G75">
        <v>5</v>
      </c>
      <c r="H75" s="3">
        <v>25000</v>
      </c>
      <c r="I75" s="3">
        <v>13000</v>
      </c>
      <c r="J75" s="3">
        <v>125000</v>
      </c>
      <c r="K75" s="3">
        <v>60000</v>
      </c>
    </row>
    <row r="76" spans="1:11" x14ac:dyDescent="0.3">
      <c r="A76" s="2">
        <v>45982</v>
      </c>
      <c r="B76" t="s">
        <v>107</v>
      </c>
      <c r="C76" t="s">
        <v>50</v>
      </c>
      <c r="D76" t="s">
        <v>41</v>
      </c>
      <c r="E76" t="s">
        <v>25</v>
      </c>
      <c r="F76" t="s">
        <v>18</v>
      </c>
      <c r="G76">
        <v>5</v>
      </c>
      <c r="H76" s="3">
        <v>12000</v>
      </c>
      <c r="I76" s="3">
        <v>5500</v>
      </c>
      <c r="J76" s="3">
        <v>60000</v>
      </c>
      <c r="K76" s="3">
        <v>32500</v>
      </c>
    </row>
    <row r="77" spans="1:11" x14ac:dyDescent="0.3">
      <c r="A77" s="2">
        <v>45828</v>
      </c>
      <c r="B77" t="s">
        <v>108</v>
      </c>
      <c r="C77" t="s">
        <v>70</v>
      </c>
      <c r="D77" t="s">
        <v>13</v>
      </c>
      <c r="E77" t="s">
        <v>25</v>
      </c>
      <c r="F77" t="s">
        <v>22</v>
      </c>
      <c r="G77">
        <v>5</v>
      </c>
      <c r="H77" s="3">
        <v>20000</v>
      </c>
      <c r="I77" s="3">
        <v>11000</v>
      </c>
      <c r="J77" s="3">
        <v>100000</v>
      </c>
      <c r="K77" s="3">
        <v>45000</v>
      </c>
    </row>
    <row r="78" spans="1:11" x14ac:dyDescent="0.3">
      <c r="A78" s="2">
        <v>45940</v>
      </c>
      <c r="B78" t="s">
        <v>109</v>
      </c>
      <c r="C78" t="s">
        <v>20</v>
      </c>
      <c r="D78" t="s">
        <v>21</v>
      </c>
      <c r="E78" t="s">
        <v>14</v>
      </c>
      <c r="F78" t="s">
        <v>18</v>
      </c>
      <c r="G78">
        <v>7</v>
      </c>
      <c r="H78" s="3">
        <v>12000</v>
      </c>
      <c r="I78" s="3">
        <v>5500</v>
      </c>
      <c r="J78" s="3">
        <v>84000</v>
      </c>
      <c r="K78" s="3">
        <v>45500</v>
      </c>
    </row>
    <row r="79" spans="1:11" x14ac:dyDescent="0.3">
      <c r="A79" s="2">
        <v>45715</v>
      </c>
      <c r="B79" t="s">
        <v>110</v>
      </c>
      <c r="C79" t="s">
        <v>12</v>
      </c>
      <c r="D79" t="s">
        <v>13</v>
      </c>
      <c r="E79" t="s">
        <v>14</v>
      </c>
      <c r="F79" t="s">
        <v>18</v>
      </c>
      <c r="G79">
        <v>3</v>
      </c>
      <c r="H79" s="3">
        <v>15000</v>
      </c>
      <c r="I79" s="3">
        <v>8000</v>
      </c>
      <c r="J79" s="3">
        <v>45000</v>
      </c>
      <c r="K79" s="3">
        <v>21000</v>
      </c>
    </row>
    <row r="80" spans="1:11" x14ac:dyDescent="0.3">
      <c r="A80" s="2">
        <v>45847</v>
      </c>
      <c r="B80" t="s">
        <v>111</v>
      </c>
      <c r="C80" t="s">
        <v>28</v>
      </c>
      <c r="D80" t="s">
        <v>21</v>
      </c>
      <c r="E80" t="s">
        <v>46</v>
      </c>
      <c r="F80" t="s">
        <v>26</v>
      </c>
      <c r="G80">
        <v>3</v>
      </c>
      <c r="H80" s="3">
        <v>15000</v>
      </c>
      <c r="I80" s="3">
        <v>7000</v>
      </c>
      <c r="J80" s="3">
        <v>45000</v>
      </c>
      <c r="K80" s="3">
        <v>24000</v>
      </c>
    </row>
    <row r="81" spans="1:11" x14ac:dyDescent="0.3">
      <c r="A81" s="2">
        <v>45679</v>
      </c>
      <c r="B81" t="s">
        <v>112</v>
      </c>
      <c r="C81" t="s">
        <v>31</v>
      </c>
      <c r="D81" t="s">
        <v>13</v>
      </c>
      <c r="E81" t="s">
        <v>25</v>
      </c>
      <c r="F81" t="s">
        <v>15</v>
      </c>
      <c r="G81">
        <v>6</v>
      </c>
      <c r="H81" s="3">
        <v>10000</v>
      </c>
      <c r="I81" s="3">
        <v>4500</v>
      </c>
      <c r="J81" s="3">
        <v>60000</v>
      </c>
      <c r="K81" s="3">
        <v>33000</v>
      </c>
    </row>
    <row r="82" spans="1:11" x14ac:dyDescent="0.3">
      <c r="A82" s="2">
        <v>45765</v>
      </c>
      <c r="B82" t="s">
        <v>113</v>
      </c>
      <c r="C82" t="s">
        <v>44</v>
      </c>
      <c r="D82" t="s">
        <v>21</v>
      </c>
      <c r="E82" t="s">
        <v>14</v>
      </c>
      <c r="F82" t="s">
        <v>18</v>
      </c>
      <c r="G82">
        <v>4</v>
      </c>
      <c r="H82" s="3">
        <v>17000</v>
      </c>
      <c r="I82" s="3">
        <v>8000</v>
      </c>
      <c r="J82" s="3">
        <v>68000</v>
      </c>
      <c r="K82" s="3">
        <v>36000</v>
      </c>
    </row>
    <row r="83" spans="1:11" x14ac:dyDescent="0.3">
      <c r="A83" s="2">
        <v>45839</v>
      </c>
      <c r="B83" t="s">
        <v>114</v>
      </c>
      <c r="C83" t="s">
        <v>60</v>
      </c>
      <c r="D83" t="s">
        <v>21</v>
      </c>
      <c r="E83" t="s">
        <v>14</v>
      </c>
      <c r="F83" t="s">
        <v>26</v>
      </c>
      <c r="G83">
        <v>7</v>
      </c>
      <c r="H83" s="3">
        <v>14000</v>
      </c>
      <c r="I83" s="3">
        <v>6500</v>
      </c>
      <c r="J83" s="3">
        <v>98000</v>
      </c>
      <c r="K83" s="3">
        <v>52500</v>
      </c>
    </row>
    <row r="84" spans="1:11" x14ac:dyDescent="0.3">
      <c r="A84" s="2">
        <v>45779</v>
      </c>
      <c r="B84" t="s">
        <v>115</v>
      </c>
      <c r="C84" t="s">
        <v>70</v>
      </c>
      <c r="D84" t="s">
        <v>13</v>
      </c>
      <c r="E84" t="s">
        <v>46</v>
      </c>
      <c r="F84" t="s">
        <v>18</v>
      </c>
      <c r="G84">
        <v>3</v>
      </c>
      <c r="H84" s="3">
        <v>20000</v>
      </c>
      <c r="I84" s="3">
        <v>11000</v>
      </c>
      <c r="J84" s="3">
        <v>60000</v>
      </c>
      <c r="K84" s="3">
        <v>27000</v>
      </c>
    </row>
    <row r="85" spans="1:11" x14ac:dyDescent="0.3">
      <c r="A85" s="2">
        <v>45749</v>
      </c>
      <c r="B85" t="s">
        <v>116</v>
      </c>
      <c r="C85" t="s">
        <v>20</v>
      </c>
      <c r="D85" t="s">
        <v>21</v>
      </c>
      <c r="E85" t="s">
        <v>46</v>
      </c>
      <c r="F85" t="s">
        <v>26</v>
      </c>
      <c r="G85">
        <v>6</v>
      </c>
      <c r="H85" s="3">
        <v>12000</v>
      </c>
      <c r="I85" s="3">
        <v>5500</v>
      </c>
      <c r="J85" s="3">
        <v>72000</v>
      </c>
      <c r="K85" s="3">
        <v>39000</v>
      </c>
    </row>
    <row r="86" spans="1:11" x14ac:dyDescent="0.3">
      <c r="A86" s="2">
        <v>45794</v>
      </c>
      <c r="B86" t="s">
        <v>117</v>
      </c>
      <c r="C86" t="s">
        <v>70</v>
      </c>
      <c r="D86" t="s">
        <v>13</v>
      </c>
      <c r="E86" t="s">
        <v>46</v>
      </c>
      <c r="F86" t="s">
        <v>18</v>
      </c>
      <c r="G86">
        <v>2</v>
      </c>
      <c r="H86" s="3">
        <v>20000</v>
      </c>
      <c r="I86" s="3">
        <v>11000</v>
      </c>
      <c r="J86" s="3">
        <v>40000</v>
      </c>
      <c r="K86" s="3">
        <v>18000</v>
      </c>
    </row>
    <row r="87" spans="1:11" x14ac:dyDescent="0.3">
      <c r="A87" s="2">
        <v>45898</v>
      </c>
      <c r="B87" t="s">
        <v>118</v>
      </c>
      <c r="C87" t="s">
        <v>17</v>
      </c>
      <c r="D87" t="s">
        <v>13</v>
      </c>
      <c r="E87" t="s">
        <v>46</v>
      </c>
      <c r="F87" t="s">
        <v>15</v>
      </c>
      <c r="G87">
        <v>4</v>
      </c>
      <c r="H87" s="3">
        <v>22000</v>
      </c>
      <c r="I87" s="3">
        <v>12000</v>
      </c>
      <c r="J87" s="3">
        <v>88000</v>
      </c>
      <c r="K87" s="3">
        <v>40000</v>
      </c>
    </row>
    <row r="88" spans="1:11" x14ac:dyDescent="0.3">
      <c r="A88" s="2">
        <v>45814</v>
      </c>
      <c r="B88" t="s">
        <v>119</v>
      </c>
      <c r="C88" t="s">
        <v>17</v>
      </c>
      <c r="D88" t="s">
        <v>13</v>
      </c>
      <c r="E88" t="s">
        <v>25</v>
      </c>
      <c r="F88" t="s">
        <v>26</v>
      </c>
      <c r="G88">
        <v>4</v>
      </c>
      <c r="H88" s="3">
        <v>22000</v>
      </c>
      <c r="I88" s="3">
        <v>12000</v>
      </c>
      <c r="J88" s="3">
        <v>88000</v>
      </c>
      <c r="K88" s="3">
        <v>40000</v>
      </c>
    </row>
    <row r="89" spans="1:11" x14ac:dyDescent="0.3">
      <c r="A89" s="2">
        <v>45862</v>
      </c>
      <c r="B89" t="s">
        <v>120</v>
      </c>
      <c r="C89" t="s">
        <v>48</v>
      </c>
      <c r="D89" t="s">
        <v>41</v>
      </c>
      <c r="E89" t="s">
        <v>25</v>
      </c>
      <c r="F89" t="s">
        <v>15</v>
      </c>
      <c r="G89">
        <v>5</v>
      </c>
      <c r="H89" s="3">
        <v>18000</v>
      </c>
      <c r="I89" s="3">
        <v>9000</v>
      </c>
      <c r="J89" s="3">
        <v>90000</v>
      </c>
      <c r="K89" s="3">
        <v>45000</v>
      </c>
    </row>
    <row r="90" spans="1:11" x14ac:dyDescent="0.3">
      <c r="A90" s="2">
        <v>45837</v>
      </c>
      <c r="B90" t="s">
        <v>121</v>
      </c>
      <c r="C90" t="s">
        <v>44</v>
      </c>
      <c r="D90" t="s">
        <v>21</v>
      </c>
      <c r="E90" t="s">
        <v>14</v>
      </c>
      <c r="F90" t="s">
        <v>15</v>
      </c>
      <c r="G90">
        <v>7</v>
      </c>
      <c r="H90" s="3">
        <v>17000</v>
      </c>
      <c r="I90" s="3">
        <v>8000</v>
      </c>
      <c r="J90" s="3">
        <v>119000</v>
      </c>
      <c r="K90" s="3">
        <v>63000</v>
      </c>
    </row>
    <row r="91" spans="1:11" x14ac:dyDescent="0.3">
      <c r="A91" s="2">
        <v>45672</v>
      </c>
      <c r="B91" t="s">
        <v>122</v>
      </c>
      <c r="C91" t="s">
        <v>12</v>
      </c>
      <c r="D91" t="s">
        <v>13</v>
      </c>
      <c r="E91" t="s">
        <v>25</v>
      </c>
      <c r="F91" t="s">
        <v>15</v>
      </c>
      <c r="G91">
        <v>5</v>
      </c>
      <c r="H91" s="3">
        <v>15000</v>
      </c>
      <c r="I91" s="3">
        <v>8000</v>
      </c>
      <c r="J91" s="3">
        <v>75000</v>
      </c>
      <c r="K91" s="3">
        <v>35000</v>
      </c>
    </row>
    <row r="92" spans="1:11" x14ac:dyDescent="0.3">
      <c r="A92" s="2">
        <v>45677</v>
      </c>
      <c r="B92" t="s">
        <v>123</v>
      </c>
      <c r="C92" t="s">
        <v>12</v>
      </c>
      <c r="D92" t="s">
        <v>13</v>
      </c>
      <c r="E92" t="s">
        <v>46</v>
      </c>
      <c r="F92" t="s">
        <v>15</v>
      </c>
      <c r="G92">
        <v>7</v>
      </c>
      <c r="H92" s="3">
        <v>15000</v>
      </c>
      <c r="I92" s="3">
        <v>8000</v>
      </c>
      <c r="J92" s="3">
        <v>105000</v>
      </c>
      <c r="K92" s="3">
        <v>49000</v>
      </c>
    </row>
    <row r="93" spans="1:11" x14ac:dyDescent="0.3">
      <c r="A93" s="2">
        <v>45881</v>
      </c>
      <c r="B93" t="s">
        <v>124</v>
      </c>
      <c r="C93" t="s">
        <v>28</v>
      </c>
      <c r="D93" t="s">
        <v>21</v>
      </c>
      <c r="E93" t="s">
        <v>46</v>
      </c>
      <c r="F93" t="s">
        <v>26</v>
      </c>
      <c r="G93">
        <v>2</v>
      </c>
      <c r="H93" s="3">
        <v>15000</v>
      </c>
      <c r="I93" s="3">
        <v>7000</v>
      </c>
      <c r="J93" s="3">
        <v>30000</v>
      </c>
      <c r="K93" s="3">
        <v>16000</v>
      </c>
    </row>
    <row r="94" spans="1:11" x14ac:dyDescent="0.3">
      <c r="A94" s="2">
        <v>45788</v>
      </c>
      <c r="B94" t="s">
        <v>125</v>
      </c>
      <c r="C94" t="s">
        <v>24</v>
      </c>
      <c r="D94" t="s">
        <v>13</v>
      </c>
      <c r="E94" t="s">
        <v>25</v>
      </c>
      <c r="F94" t="s">
        <v>26</v>
      </c>
      <c r="G94">
        <v>7</v>
      </c>
      <c r="H94" s="3">
        <v>18000</v>
      </c>
      <c r="I94" s="3">
        <v>10000</v>
      </c>
      <c r="J94" s="3">
        <v>126000</v>
      </c>
      <c r="K94" s="3">
        <v>56000</v>
      </c>
    </row>
    <row r="95" spans="1:11" x14ac:dyDescent="0.3">
      <c r="A95" s="2">
        <v>45844</v>
      </c>
      <c r="B95" t="s">
        <v>126</v>
      </c>
      <c r="C95" t="s">
        <v>50</v>
      </c>
      <c r="D95" t="s">
        <v>41</v>
      </c>
      <c r="E95" t="s">
        <v>14</v>
      </c>
      <c r="F95" t="s">
        <v>15</v>
      </c>
      <c r="G95">
        <v>2</v>
      </c>
      <c r="H95" s="3">
        <v>12000</v>
      </c>
      <c r="I95" s="3">
        <v>5500</v>
      </c>
      <c r="J95" s="3">
        <v>24000</v>
      </c>
      <c r="K95" s="3">
        <v>13000</v>
      </c>
    </row>
    <row r="96" spans="1:11" x14ac:dyDescent="0.3">
      <c r="A96" s="2">
        <v>45977</v>
      </c>
      <c r="B96" t="s">
        <v>127</v>
      </c>
      <c r="C96" t="s">
        <v>48</v>
      </c>
      <c r="D96" t="s">
        <v>41</v>
      </c>
      <c r="E96" t="s">
        <v>14</v>
      </c>
      <c r="F96" t="s">
        <v>15</v>
      </c>
      <c r="G96">
        <v>2</v>
      </c>
      <c r="H96" s="3">
        <v>18000</v>
      </c>
      <c r="I96" s="3">
        <v>9000</v>
      </c>
      <c r="J96" s="3">
        <v>36000</v>
      </c>
      <c r="K96" s="3">
        <v>18000</v>
      </c>
    </row>
    <row r="97" spans="1:11" x14ac:dyDescent="0.3">
      <c r="A97" s="2">
        <v>45917</v>
      </c>
      <c r="B97" t="s">
        <v>128</v>
      </c>
      <c r="C97" t="s">
        <v>31</v>
      </c>
      <c r="D97" t="s">
        <v>13</v>
      </c>
      <c r="E97" t="s">
        <v>46</v>
      </c>
      <c r="F97" t="s">
        <v>22</v>
      </c>
      <c r="G97">
        <v>7</v>
      </c>
      <c r="H97" s="3">
        <v>10000</v>
      </c>
      <c r="I97" s="3">
        <v>4500</v>
      </c>
      <c r="J97" s="3">
        <v>70000</v>
      </c>
      <c r="K97" s="3">
        <v>38500</v>
      </c>
    </row>
    <row r="98" spans="1:11" x14ac:dyDescent="0.3">
      <c r="A98" s="2">
        <v>46014</v>
      </c>
      <c r="B98" t="s">
        <v>129</v>
      </c>
      <c r="C98" t="s">
        <v>31</v>
      </c>
      <c r="D98" t="s">
        <v>13</v>
      </c>
      <c r="E98" t="s">
        <v>25</v>
      </c>
      <c r="F98" t="s">
        <v>22</v>
      </c>
      <c r="G98">
        <v>3</v>
      </c>
      <c r="H98" s="3">
        <v>10000</v>
      </c>
      <c r="I98" s="3">
        <v>4500</v>
      </c>
      <c r="J98" s="3">
        <v>30000</v>
      </c>
      <c r="K98" s="3">
        <v>16500</v>
      </c>
    </row>
    <row r="99" spans="1:11" x14ac:dyDescent="0.3">
      <c r="A99" s="2">
        <v>45998</v>
      </c>
      <c r="B99" t="s">
        <v>130</v>
      </c>
      <c r="C99" t="s">
        <v>50</v>
      </c>
      <c r="D99" t="s">
        <v>41</v>
      </c>
      <c r="E99" t="s">
        <v>14</v>
      </c>
      <c r="F99" t="s">
        <v>15</v>
      </c>
      <c r="G99">
        <v>3</v>
      </c>
      <c r="H99" s="3">
        <v>12000</v>
      </c>
      <c r="I99" s="3">
        <v>5500</v>
      </c>
      <c r="J99" s="3">
        <v>36000</v>
      </c>
      <c r="K99" s="3">
        <v>19500</v>
      </c>
    </row>
    <row r="100" spans="1:11" x14ac:dyDescent="0.3">
      <c r="A100" s="2">
        <v>45865</v>
      </c>
      <c r="B100" t="s">
        <v>131</v>
      </c>
      <c r="C100" t="s">
        <v>60</v>
      </c>
      <c r="D100" t="s">
        <v>21</v>
      </c>
      <c r="E100" t="s">
        <v>46</v>
      </c>
      <c r="F100" t="s">
        <v>15</v>
      </c>
      <c r="G100">
        <v>1</v>
      </c>
      <c r="H100" s="3">
        <v>14000</v>
      </c>
      <c r="I100" s="3">
        <v>6500</v>
      </c>
      <c r="J100" s="3">
        <v>14000</v>
      </c>
      <c r="K100" s="3">
        <v>7500</v>
      </c>
    </row>
    <row r="101" spans="1:11" x14ac:dyDescent="0.3">
      <c r="A101" s="2">
        <v>45765</v>
      </c>
      <c r="B101" t="s">
        <v>132</v>
      </c>
      <c r="C101" t="s">
        <v>50</v>
      </c>
      <c r="D101" t="s">
        <v>41</v>
      </c>
      <c r="E101" t="s">
        <v>46</v>
      </c>
      <c r="F101" t="s">
        <v>22</v>
      </c>
      <c r="G101">
        <v>6</v>
      </c>
      <c r="H101" s="3">
        <v>12000</v>
      </c>
      <c r="I101" s="3">
        <v>5500</v>
      </c>
      <c r="J101" s="3">
        <v>72000</v>
      </c>
      <c r="K101" s="3">
        <v>39000</v>
      </c>
    </row>
    <row r="102" spans="1:11" x14ac:dyDescent="0.3">
      <c r="A102" s="2">
        <v>45884</v>
      </c>
      <c r="B102" t="s">
        <v>133</v>
      </c>
      <c r="C102" t="s">
        <v>44</v>
      </c>
      <c r="D102" t="s">
        <v>21</v>
      </c>
      <c r="E102" t="s">
        <v>14</v>
      </c>
      <c r="F102" t="s">
        <v>22</v>
      </c>
      <c r="G102">
        <v>4</v>
      </c>
      <c r="H102" s="3">
        <v>17000</v>
      </c>
      <c r="I102" s="3">
        <v>8000</v>
      </c>
      <c r="J102" s="3">
        <v>68000</v>
      </c>
      <c r="K102" s="3">
        <v>36000</v>
      </c>
    </row>
    <row r="103" spans="1:11" x14ac:dyDescent="0.3">
      <c r="A103" s="2">
        <v>45744</v>
      </c>
      <c r="B103" t="s">
        <v>134</v>
      </c>
      <c r="C103" t="s">
        <v>44</v>
      </c>
      <c r="D103" t="s">
        <v>21</v>
      </c>
      <c r="E103" t="s">
        <v>46</v>
      </c>
      <c r="F103" t="s">
        <v>15</v>
      </c>
      <c r="G103">
        <v>2</v>
      </c>
      <c r="H103" s="3">
        <v>17000</v>
      </c>
      <c r="I103" s="3">
        <v>8000</v>
      </c>
      <c r="J103" s="3">
        <v>34000</v>
      </c>
      <c r="K103" s="3">
        <v>18000</v>
      </c>
    </row>
    <row r="104" spans="1:11" x14ac:dyDescent="0.3">
      <c r="A104" s="2">
        <v>45705</v>
      </c>
      <c r="B104" t="s">
        <v>135</v>
      </c>
      <c r="C104" t="s">
        <v>17</v>
      </c>
      <c r="D104" t="s">
        <v>13</v>
      </c>
      <c r="E104" t="s">
        <v>25</v>
      </c>
      <c r="F104" t="s">
        <v>26</v>
      </c>
      <c r="G104">
        <v>5</v>
      </c>
      <c r="H104" s="3">
        <v>22000</v>
      </c>
      <c r="I104" s="3">
        <v>12000</v>
      </c>
      <c r="J104" s="3">
        <v>110000</v>
      </c>
      <c r="K104" s="3">
        <v>50000</v>
      </c>
    </row>
    <row r="105" spans="1:11" x14ac:dyDescent="0.3">
      <c r="A105" s="2">
        <v>45733</v>
      </c>
      <c r="B105" t="s">
        <v>136</v>
      </c>
      <c r="C105" t="s">
        <v>24</v>
      </c>
      <c r="D105" t="s">
        <v>13</v>
      </c>
      <c r="E105" t="s">
        <v>25</v>
      </c>
      <c r="F105" t="s">
        <v>22</v>
      </c>
      <c r="G105">
        <v>1</v>
      </c>
      <c r="H105" s="3">
        <v>18000</v>
      </c>
      <c r="I105" s="3">
        <v>10000</v>
      </c>
      <c r="J105" s="3">
        <v>18000</v>
      </c>
      <c r="K105" s="3">
        <v>8000</v>
      </c>
    </row>
    <row r="106" spans="1:11" x14ac:dyDescent="0.3">
      <c r="A106" s="2">
        <v>45970</v>
      </c>
      <c r="B106" t="s">
        <v>137</v>
      </c>
      <c r="C106" t="s">
        <v>12</v>
      </c>
      <c r="D106" t="s">
        <v>13</v>
      </c>
      <c r="E106" t="s">
        <v>46</v>
      </c>
      <c r="F106" t="s">
        <v>26</v>
      </c>
      <c r="G106">
        <v>8</v>
      </c>
      <c r="H106" s="3">
        <v>15000</v>
      </c>
      <c r="I106" s="3">
        <v>8000</v>
      </c>
      <c r="J106" s="3">
        <v>120000</v>
      </c>
      <c r="K106" s="3">
        <v>56000</v>
      </c>
    </row>
    <row r="107" spans="1:11" x14ac:dyDescent="0.3">
      <c r="A107" s="2">
        <v>46014</v>
      </c>
      <c r="B107" t="s">
        <v>138</v>
      </c>
      <c r="C107" t="s">
        <v>50</v>
      </c>
      <c r="D107" t="s">
        <v>41</v>
      </c>
      <c r="E107" t="s">
        <v>46</v>
      </c>
      <c r="F107" t="s">
        <v>26</v>
      </c>
      <c r="G107">
        <v>8</v>
      </c>
      <c r="H107" s="3">
        <v>12000</v>
      </c>
      <c r="I107" s="3">
        <v>5500</v>
      </c>
      <c r="J107" s="3">
        <v>96000</v>
      </c>
      <c r="K107" s="3">
        <v>52000</v>
      </c>
    </row>
    <row r="108" spans="1:11" x14ac:dyDescent="0.3">
      <c r="A108" s="2">
        <v>45733</v>
      </c>
      <c r="B108" t="s">
        <v>139</v>
      </c>
      <c r="C108" t="s">
        <v>44</v>
      </c>
      <c r="D108" t="s">
        <v>21</v>
      </c>
      <c r="E108" t="s">
        <v>25</v>
      </c>
      <c r="F108" t="s">
        <v>22</v>
      </c>
      <c r="G108">
        <v>1</v>
      </c>
      <c r="H108" s="3">
        <v>17000</v>
      </c>
      <c r="I108" s="3">
        <v>8000</v>
      </c>
      <c r="J108" s="3">
        <v>17000</v>
      </c>
      <c r="K108" s="3">
        <v>9000</v>
      </c>
    </row>
    <row r="109" spans="1:11" x14ac:dyDescent="0.3">
      <c r="A109" s="2">
        <v>45770</v>
      </c>
      <c r="B109" t="s">
        <v>140</v>
      </c>
      <c r="C109" t="s">
        <v>70</v>
      </c>
      <c r="D109" t="s">
        <v>13</v>
      </c>
      <c r="E109" t="s">
        <v>25</v>
      </c>
      <c r="F109" t="s">
        <v>26</v>
      </c>
      <c r="G109">
        <v>8</v>
      </c>
      <c r="H109" s="3">
        <v>20000</v>
      </c>
      <c r="I109" s="3">
        <v>11000</v>
      </c>
      <c r="J109" s="3">
        <v>160000</v>
      </c>
      <c r="K109" s="3">
        <v>72000</v>
      </c>
    </row>
    <row r="110" spans="1:11" x14ac:dyDescent="0.3">
      <c r="A110" s="2">
        <v>45720</v>
      </c>
      <c r="B110" t="s">
        <v>141</v>
      </c>
      <c r="C110" t="s">
        <v>40</v>
      </c>
      <c r="D110" t="s">
        <v>41</v>
      </c>
      <c r="E110" t="s">
        <v>46</v>
      </c>
      <c r="F110" t="s">
        <v>15</v>
      </c>
      <c r="G110">
        <v>3</v>
      </c>
      <c r="H110" s="3">
        <v>25000</v>
      </c>
      <c r="I110" s="3">
        <v>13000</v>
      </c>
      <c r="J110" s="3">
        <v>75000</v>
      </c>
      <c r="K110" s="3">
        <v>36000</v>
      </c>
    </row>
    <row r="111" spans="1:11" x14ac:dyDescent="0.3">
      <c r="A111" s="2">
        <v>45884</v>
      </c>
      <c r="B111" t="s">
        <v>142</v>
      </c>
      <c r="C111" t="s">
        <v>28</v>
      </c>
      <c r="D111" t="s">
        <v>21</v>
      </c>
      <c r="E111" t="s">
        <v>14</v>
      </c>
      <c r="F111" t="s">
        <v>22</v>
      </c>
      <c r="G111">
        <v>7</v>
      </c>
      <c r="H111" s="3">
        <v>15000</v>
      </c>
      <c r="I111" s="3">
        <v>7000</v>
      </c>
      <c r="J111" s="3">
        <v>105000</v>
      </c>
      <c r="K111" s="3">
        <v>56000</v>
      </c>
    </row>
    <row r="112" spans="1:11" x14ac:dyDescent="0.3">
      <c r="A112" s="2">
        <v>45739</v>
      </c>
      <c r="B112" t="s">
        <v>143</v>
      </c>
      <c r="C112" t="s">
        <v>20</v>
      </c>
      <c r="D112" t="s">
        <v>21</v>
      </c>
      <c r="E112" t="s">
        <v>46</v>
      </c>
      <c r="F112" t="s">
        <v>15</v>
      </c>
      <c r="G112">
        <v>8</v>
      </c>
      <c r="H112" s="3">
        <v>12000</v>
      </c>
      <c r="I112" s="3">
        <v>5500</v>
      </c>
      <c r="J112" s="3">
        <v>96000</v>
      </c>
      <c r="K112" s="3">
        <v>52000</v>
      </c>
    </row>
    <row r="113" spans="1:11" x14ac:dyDescent="0.3">
      <c r="A113" s="2">
        <v>45784</v>
      </c>
      <c r="B113" t="s">
        <v>144</v>
      </c>
      <c r="C113" t="s">
        <v>44</v>
      </c>
      <c r="D113" t="s">
        <v>21</v>
      </c>
      <c r="E113" t="s">
        <v>14</v>
      </c>
      <c r="F113" t="s">
        <v>22</v>
      </c>
      <c r="G113">
        <v>5</v>
      </c>
      <c r="H113" s="3">
        <v>17000</v>
      </c>
      <c r="I113" s="3">
        <v>8000</v>
      </c>
      <c r="J113" s="3">
        <v>85000</v>
      </c>
      <c r="K113" s="3">
        <v>45000</v>
      </c>
    </row>
    <row r="114" spans="1:11" x14ac:dyDescent="0.3">
      <c r="A114" s="2">
        <v>45978</v>
      </c>
      <c r="B114" t="s">
        <v>145</v>
      </c>
      <c r="C114" t="s">
        <v>17</v>
      </c>
      <c r="D114" t="s">
        <v>13</v>
      </c>
      <c r="E114" t="s">
        <v>46</v>
      </c>
      <c r="F114" t="s">
        <v>18</v>
      </c>
      <c r="G114">
        <v>5</v>
      </c>
      <c r="H114" s="3">
        <v>22000</v>
      </c>
      <c r="I114" s="3">
        <v>12000</v>
      </c>
      <c r="J114" s="3">
        <v>110000</v>
      </c>
      <c r="K114" s="3">
        <v>50000</v>
      </c>
    </row>
    <row r="115" spans="1:11" x14ac:dyDescent="0.3">
      <c r="A115" s="2">
        <v>45804</v>
      </c>
      <c r="B115" t="s">
        <v>146</v>
      </c>
      <c r="C115" t="s">
        <v>17</v>
      </c>
      <c r="D115" t="s">
        <v>13</v>
      </c>
      <c r="E115" t="s">
        <v>46</v>
      </c>
      <c r="F115" t="s">
        <v>15</v>
      </c>
      <c r="G115">
        <v>5</v>
      </c>
      <c r="H115" s="3">
        <v>22000</v>
      </c>
      <c r="I115" s="3">
        <v>12000</v>
      </c>
      <c r="J115" s="3">
        <v>110000</v>
      </c>
      <c r="K115" s="3">
        <v>50000</v>
      </c>
    </row>
    <row r="116" spans="1:11" x14ac:dyDescent="0.3">
      <c r="A116" s="2">
        <v>45934</v>
      </c>
      <c r="B116" t="s">
        <v>147</v>
      </c>
      <c r="C116" t="s">
        <v>12</v>
      </c>
      <c r="D116" t="s">
        <v>13</v>
      </c>
      <c r="E116" t="s">
        <v>25</v>
      </c>
      <c r="F116" t="s">
        <v>26</v>
      </c>
      <c r="G116">
        <v>3</v>
      </c>
      <c r="H116" s="3">
        <v>15000</v>
      </c>
      <c r="I116" s="3">
        <v>8000</v>
      </c>
      <c r="J116" s="3">
        <v>45000</v>
      </c>
      <c r="K116" s="3">
        <v>21000</v>
      </c>
    </row>
    <row r="117" spans="1:11" x14ac:dyDescent="0.3">
      <c r="A117" s="2">
        <v>45854</v>
      </c>
      <c r="B117" t="s">
        <v>148</v>
      </c>
      <c r="C117" t="s">
        <v>20</v>
      </c>
      <c r="D117" t="s">
        <v>21</v>
      </c>
      <c r="E117" t="s">
        <v>14</v>
      </c>
      <c r="F117" t="s">
        <v>26</v>
      </c>
      <c r="G117">
        <v>3</v>
      </c>
      <c r="H117" s="3">
        <v>12000</v>
      </c>
      <c r="I117" s="3">
        <v>5500</v>
      </c>
      <c r="J117" s="3">
        <v>36000</v>
      </c>
      <c r="K117" s="3">
        <v>19500</v>
      </c>
    </row>
    <row r="118" spans="1:11" x14ac:dyDescent="0.3">
      <c r="A118" s="2">
        <v>45690</v>
      </c>
      <c r="B118" t="s">
        <v>149</v>
      </c>
      <c r="C118" t="s">
        <v>50</v>
      </c>
      <c r="D118" t="s">
        <v>41</v>
      </c>
      <c r="E118" t="s">
        <v>46</v>
      </c>
      <c r="F118" t="s">
        <v>22</v>
      </c>
      <c r="G118">
        <v>7</v>
      </c>
      <c r="H118" s="3">
        <v>12000</v>
      </c>
      <c r="I118" s="3">
        <v>5500</v>
      </c>
      <c r="J118" s="3">
        <v>84000</v>
      </c>
      <c r="K118" s="3">
        <v>45500</v>
      </c>
    </row>
    <row r="119" spans="1:11" x14ac:dyDescent="0.3">
      <c r="A119" s="2">
        <v>45870</v>
      </c>
      <c r="B119" t="s">
        <v>150</v>
      </c>
      <c r="C119" t="s">
        <v>24</v>
      </c>
      <c r="D119" t="s">
        <v>13</v>
      </c>
      <c r="E119" t="s">
        <v>46</v>
      </c>
      <c r="F119" t="s">
        <v>22</v>
      </c>
      <c r="G119">
        <v>4</v>
      </c>
      <c r="H119" s="3">
        <v>18000</v>
      </c>
      <c r="I119" s="3">
        <v>10000</v>
      </c>
      <c r="J119" s="3">
        <v>72000</v>
      </c>
      <c r="K119" s="3">
        <v>32000</v>
      </c>
    </row>
    <row r="120" spans="1:11" x14ac:dyDescent="0.3">
      <c r="A120" s="2">
        <v>45957</v>
      </c>
      <c r="B120" t="s">
        <v>151</v>
      </c>
      <c r="C120" t="s">
        <v>20</v>
      </c>
      <c r="D120" t="s">
        <v>21</v>
      </c>
      <c r="E120" t="s">
        <v>14</v>
      </c>
      <c r="F120" t="s">
        <v>22</v>
      </c>
      <c r="G120">
        <v>1</v>
      </c>
      <c r="H120" s="3">
        <v>12000</v>
      </c>
      <c r="I120" s="3">
        <v>5500</v>
      </c>
      <c r="J120" s="3">
        <v>12000</v>
      </c>
      <c r="K120" s="3">
        <v>6500</v>
      </c>
    </row>
    <row r="121" spans="1:11" x14ac:dyDescent="0.3">
      <c r="A121" s="2">
        <v>45902</v>
      </c>
      <c r="B121" t="s">
        <v>152</v>
      </c>
      <c r="C121" t="s">
        <v>24</v>
      </c>
      <c r="D121" t="s">
        <v>13</v>
      </c>
      <c r="E121" t="s">
        <v>46</v>
      </c>
      <c r="F121" t="s">
        <v>22</v>
      </c>
      <c r="G121">
        <v>6</v>
      </c>
      <c r="H121" s="3">
        <v>18000</v>
      </c>
      <c r="I121" s="3">
        <v>10000</v>
      </c>
      <c r="J121" s="3">
        <v>108000</v>
      </c>
      <c r="K121" s="3">
        <v>48000</v>
      </c>
    </row>
    <row r="122" spans="1:11" x14ac:dyDescent="0.3">
      <c r="A122" s="2">
        <v>45872</v>
      </c>
      <c r="B122" t="s">
        <v>153</v>
      </c>
      <c r="C122" t="s">
        <v>60</v>
      </c>
      <c r="D122" t="s">
        <v>21</v>
      </c>
      <c r="E122" t="s">
        <v>46</v>
      </c>
      <c r="F122" t="s">
        <v>26</v>
      </c>
      <c r="G122">
        <v>4</v>
      </c>
      <c r="H122" s="3">
        <v>14000</v>
      </c>
      <c r="I122" s="3">
        <v>6500</v>
      </c>
      <c r="J122" s="3">
        <v>56000</v>
      </c>
      <c r="K122" s="3">
        <v>30000</v>
      </c>
    </row>
    <row r="123" spans="1:11" x14ac:dyDescent="0.3">
      <c r="A123" s="2">
        <v>45797</v>
      </c>
      <c r="B123" t="s">
        <v>154</v>
      </c>
      <c r="C123" t="s">
        <v>50</v>
      </c>
      <c r="D123" t="s">
        <v>41</v>
      </c>
      <c r="E123" t="s">
        <v>25</v>
      </c>
      <c r="F123" t="s">
        <v>22</v>
      </c>
      <c r="G123">
        <v>8</v>
      </c>
      <c r="H123" s="3">
        <v>12000</v>
      </c>
      <c r="I123" s="3">
        <v>5500</v>
      </c>
      <c r="J123" s="3">
        <v>96000</v>
      </c>
      <c r="K123" s="3">
        <v>52000</v>
      </c>
    </row>
    <row r="124" spans="1:11" x14ac:dyDescent="0.3">
      <c r="A124" s="2">
        <v>45830</v>
      </c>
      <c r="B124" t="s">
        <v>155</v>
      </c>
      <c r="C124" t="s">
        <v>44</v>
      </c>
      <c r="D124" t="s">
        <v>21</v>
      </c>
      <c r="E124" t="s">
        <v>14</v>
      </c>
      <c r="F124" t="s">
        <v>26</v>
      </c>
      <c r="G124">
        <v>7</v>
      </c>
      <c r="H124" s="3">
        <v>17000</v>
      </c>
      <c r="I124" s="3">
        <v>8000</v>
      </c>
      <c r="J124" s="3">
        <v>119000</v>
      </c>
      <c r="K124" s="3">
        <v>63000</v>
      </c>
    </row>
    <row r="125" spans="1:11" x14ac:dyDescent="0.3">
      <c r="A125" s="2">
        <v>45897</v>
      </c>
      <c r="B125" t="s">
        <v>156</v>
      </c>
      <c r="C125" t="s">
        <v>70</v>
      </c>
      <c r="D125" t="s">
        <v>13</v>
      </c>
      <c r="E125" t="s">
        <v>46</v>
      </c>
      <c r="F125" t="s">
        <v>18</v>
      </c>
      <c r="G125">
        <v>1</v>
      </c>
      <c r="H125" s="3">
        <v>20000</v>
      </c>
      <c r="I125" s="3">
        <v>11000</v>
      </c>
      <c r="J125" s="3">
        <v>20000</v>
      </c>
      <c r="K125" s="3">
        <v>9000</v>
      </c>
    </row>
    <row r="126" spans="1:11" x14ac:dyDescent="0.3">
      <c r="A126" s="2">
        <v>45700</v>
      </c>
      <c r="B126" t="s">
        <v>157</v>
      </c>
      <c r="C126" t="s">
        <v>44</v>
      </c>
      <c r="D126" t="s">
        <v>21</v>
      </c>
      <c r="E126" t="s">
        <v>25</v>
      </c>
      <c r="F126" t="s">
        <v>22</v>
      </c>
      <c r="G126">
        <v>7</v>
      </c>
      <c r="H126" s="3">
        <v>17000</v>
      </c>
      <c r="I126" s="3">
        <v>8000</v>
      </c>
      <c r="J126" s="3">
        <v>119000</v>
      </c>
      <c r="K126" s="3">
        <v>63000</v>
      </c>
    </row>
    <row r="127" spans="1:11" x14ac:dyDescent="0.3">
      <c r="A127" s="2">
        <v>45751</v>
      </c>
      <c r="B127" t="s">
        <v>158</v>
      </c>
      <c r="C127" t="s">
        <v>24</v>
      </c>
      <c r="D127" t="s">
        <v>13</v>
      </c>
      <c r="E127" t="s">
        <v>46</v>
      </c>
      <c r="F127" t="s">
        <v>15</v>
      </c>
      <c r="G127">
        <v>5</v>
      </c>
      <c r="H127" s="3">
        <v>18000</v>
      </c>
      <c r="I127" s="3">
        <v>10000</v>
      </c>
      <c r="J127" s="3">
        <v>90000</v>
      </c>
      <c r="K127" s="3">
        <v>40000</v>
      </c>
    </row>
    <row r="128" spans="1:11" x14ac:dyDescent="0.3">
      <c r="A128" s="2">
        <v>45766</v>
      </c>
      <c r="B128" t="s">
        <v>159</v>
      </c>
      <c r="C128" t="s">
        <v>40</v>
      </c>
      <c r="D128" t="s">
        <v>41</v>
      </c>
      <c r="E128" t="s">
        <v>46</v>
      </c>
      <c r="F128" t="s">
        <v>22</v>
      </c>
      <c r="G128">
        <v>6</v>
      </c>
      <c r="H128" s="3">
        <v>25000</v>
      </c>
      <c r="I128" s="3">
        <v>13000</v>
      </c>
      <c r="J128" s="3">
        <v>150000</v>
      </c>
      <c r="K128" s="3">
        <v>72000</v>
      </c>
    </row>
    <row r="129" spans="1:11" x14ac:dyDescent="0.3">
      <c r="A129" s="2">
        <v>45800</v>
      </c>
      <c r="B129" t="s">
        <v>160</v>
      </c>
      <c r="C129" t="s">
        <v>50</v>
      </c>
      <c r="D129" t="s">
        <v>41</v>
      </c>
      <c r="E129" t="s">
        <v>25</v>
      </c>
      <c r="F129" t="s">
        <v>22</v>
      </c>
      <c r="G129">
        <v>5</v>
      </c>
      <c r="H129" s="3">
        <v>12000</v>
      </c>
      <c r="I129" s="3">
        <v>5500</v>
      </c>
      <c r="J129" s="3">
        <v>60000</v>
      </c>
      <c r="K129" s="3">
        <v>32500</v>
      </c>
    </row>
    <row r="130" spans="1:11" x14ac:dyDescent="0.3">
      <c r="A130" s="2">
        <v>45667</v>
      </c>
      <c r="B130" t="s">
        <v>161</v>
      </c>
      <c r="C130" t="s">
        <v>20</v>
      </c>
      <c r="D130" t="s">
        <v>21</v>
      </c>
      <c r="E130" t="s">
        <v>46</v>
      </c>
      <c r="F130" t="s">
        <v>26</v>
      </c>
      <c r="G130">
        <v>1</v>
      </c>
      <c r="H130" s="3">
        <v>12000</v>
      </c>
      <c r="I130" s="3">
        <v>5500</v>
      </c>
      <c r="J130" s="3">
        <v>12000</v>
      </c>
      <c r="K130" s="3">
        <v>6500</v>
      </c>
    </row>
    <row r="131" spans="1:11" x14ac:dyDescent="0.3">
      <c r="A131" s="2">
        <v>45990</v>
      </c>
      <c r="B131" t="s">
        <v>162</v>
      </c>
      <c r="C131" t="s">
        <v>12</v>
      </c>
      <c r="D131" t="s">
        <v>13</v>
      </c>
      <c r="E131" t="s">
        <v>25</v>
      </c>
      <c r="F131" t="s">
        <v>26</v>
      </c>
      <c r="G131">
        <v>1</v>
      </c>
      <c r="H131" s="3">
        <v>15000</v>
      </c>
      <c r="I131" s="3">
        <v>8000</v>
      </c>
      <c r="J131" s="3">
        <v>15000</v>
      </c>
      <c r="K131" s="3">
        <v>7000</v>
      </c>
    </row>
    <row r="132" spans="1:11" x14ac:dyDescent="0.3">
      <c r="A132" s="2">
        <v>45760</v>
      </c>
      <c r="B132" t="s">
        <v>163</v>
      </c>
      <c r="C132" t="s">
        <v>24</v>
      </c>
      <c r="D132" t="s">
        <v>13</v>
      </c>
      <c r="E132" t="s">
        <v>25</v>
      </c>
      <c r="F132" t="s">
        <v>26</v>
      </c>
      <c r="G132">
        <v>3</v>
      </c>
      <c r="H132" s="3">
        <v>18000</v>
      </c>
      <c r="I132" s="3">
        <v>10000</v>
      </c>
      <c r="J132" s="3">
        <v>54000</v>
      </c>
      <c r="K132" s="3">
        <v>24000</v>
      </c>
    </row>
    <row r="133" spans="1:11" x14ac:dyDescent="0.3">
      <c r="A133" s="2">
        <v>45900</v>
      </c>
      <c r="B133" t="s">
        <v>164</v>
      </c>
      <c r="C133" t="s">
        <v>44</v>
      </c>
      <c r="D133" t="s">
        <v>21</v>
      </c>
      <c r="E133" t="s">
        <v>14</v>
      </c>
      <c r="F133" t="s">
        <v>26</v>
      </c>
      <c r="G133">
        <v>2</v>
      </c>
      <c r="H133" s="3">
        <v>17000</v>
      </c>
      <c r="I133" s="3">
        <v>8000</v>
      </c>
      <c r="J133" s="3">
        <v>34000</v>
      </c>
      <c r="K133" s="3">
        <v>18000</v>
      </c>
    </row>
    <row r="134" spans="1:11" x14ac:dyDescent="0.3">
      <c r="A134" s="2">
        <v>45896</v>
      </c>
      <c r="B134" t="s">
        <v>165</v>
      </c>
      <c r="C134" t="s">
        <v>20</v>
      </c>
      <c r="D134" t="s">
        <v>21</v>
      </c>
      <c r="E134" t="s">
        <v>46</v>
      </c>
      <c r="F134" t="s">
        <v>26</v>
      </c>
      <c r="G134">
        <v>5</v>
      </c>
      <c r="H134" s="3">
        <v>12000</v>
      </c>
      <c r="I134" s="3">
        <v>5500</v>
      </c>
      <c r="J134" s="3">
        <v>60000</v>
      </c>
      <c r="K134" s="3">
        <v>32500</v>
      </c>
    </row>
    <row r="135" spans="1:11" x14ac:dyDescent="0.3">
      <c r="A135" s="2">
        <v>45968</v>
      </c>
      <c r="B135" t="s">
        <v>166</v>
      </c>
      <c r="C135" t="s">
        <v>28</v>
      </c>
      <c r="D135" t="s">
        <v>21</v>
      </c>
      <c r="E135" t="s">
        <v>25</v>
      </c>
      <c r="F135" t="s">
        <v>15</v>
      </c>
      <c r="G135">
        <v>2</v>
      </c>
      <c r="H135" s="3">
        <v>15000</v>
      </c>
      <c r="I135" s="3">
        <v>7000</v>
      </c>
      <c r="J135" s="3">
        <v>30000</v>
      </c>
      <c r="K135" s="3">
        <v>16000</v>
      </c>
    </row>
    <row r="136" spans="1:11" x14ac:dyDescent="0.3">
      <c r="A136" s="2">
        <v>45713</v>
      </c>
      <c r="B136" t="s">
        <v>167</v>
      </c>
      <c r="C136" t="s">
        <v>28</v>
      </c>
      <c r="D136" t="s">
        <v>21</v>
      </c>
      <c r="E136" t="s">
        <v>46</v>
      </c>
      <c r="F136" t="s">
        <v>22</v>
      </c>
      <c r="G136">
        <v>1</v>
      </c>
      <c r="H136" s="3">
        <v>15000</v>
      </c>
      <c r="I136" s="3">
        <v>7000</v>
      </c>
      <c r="J136" s="3">
        <v>15000</v>
      </c>
      <c r="K136" s="3">
        <v>8000</v>
      </c>
    </row>
    <row r="137" spans="1:11" x14ac:dyDescent="0.3">
      <c r="A137" s="2">
        <v>45861</v>
      </c>
      <c r="B137" t="s">
        <v>168</v>
      </c>
      <c r="C137" t="s">
        <v>20</v>
      </c>
      <c r="D137" t="s">
        <v>21</v>
      </c>
      <c r="E137" t="s">
        <v>25</v>
      </c>
      <c r="F137" t="s">
        <v>26</v>
      </c>
      <c r="G137">
        <v>4</v>
      </c>
      <c r="H137" s="3">
        <v>12000</v>
      </c>
      <c r="I137" s="3">
        <v>5500</v>
      </c>
      <c r="J137" s="3">
        <v>48000</v>
      </c>
      <c r="K137" s="3">
        <v>26000</v>
      </c>
    </row>
    <row r="138" spans="1:11" x14ac:dyDescent="0.3">
      <c r="A138" s="2">
        <v>45710</v>
      </c>
      <c r="B138" t="s">
        <v>169</v>
      </c>
      <c r="C138" t="s">
        <v>20</v>
      </c>
      <c r="D138" t="s">
        <v>21</v>
      </c>
      <c r="E138" t="s">
        <v>14</v>
      </c>
      <c r="F138" t="s">
        <v>18</v>
      </c>
      <c r="G138">
        <v>5</v>
      </c>
      <c r="H138" s="3">
        <v>12000</v>
      </c>
      <c r="I138" s="3">
        <v>5500</v>
      </c>
      <c r="J138" s="3">
        <v>60000</v>
      </c>
      <c r="K138" s="3">
        <v>32500</v>
      </c>
    </row>
    <row r="139" spans="1:11" x14ac:dyDescent="0.3">
      <c r="A139" s="2">
        <v>45947</v>
      </c>
      <c r="B139" t="s">
        <v>170</v>
      </c>
      <c r="C139" t="s">
        <v>24</v>
      </c>
      <c r="D139" t="s">
        <v>13</v>
      </c>
      <c r="E139" t="s">
        <v>14</v>
      </c>
      <c r="F139" t="s">
        <v>22</v>
      </c>
      <c r="G139">
        <v>6</v>
      </c>
      <c r="H139" s="3">
        <v>18000</v>
      </c>
      <c r="I139" s="3">
        <v>10000</v>
      </c>
      <c r="J139" s="3">
        <v>108000</v>
      </c>
      <c r="K139" s="3">
        <v>48000</v>
      </c>
    </row>
    <row r="140" spans="1:11" x14ac:dyDescent="0.3">
      <c r="A140" s="2">
        <v>45996</v>
      </c>
      <c r="B140" t="s">
        <v>171</v>
      </c>
      <c r="C140" t="s">
        <v>48</v>
      </c>
      <c r="D140" t="s">
        <v>41</v>
      </c>
      <c r="E140" t="s">
        <v>14</v>
      </c>
      <c r="F140" t="s">
        <v>15</v>
      </c>
      <c r="G140">
        <v>2</v>
      </c>
      <c r="H140" s="3">
        <v>18000</v>
      </c>
      <c r="I140" s="3">
        <v>9000</v>
      </c>
      <c r="J140" s="3">
        <v>36000</v>
      </c>
      <c r="K140" s="3">
        <v>18000</v>
      </c>
    </row>
    <row r="141" spans="1:11" x14ac:dyDescent="0.3">
      <c r="A141" s="2">
        <v>45664</v>
      </c>
      <c r="B141" t="s">
        <v>172</v>
      </c>
      <c r="C141" t="s">
        <v>50</v>
      </c>
      <c r="D141" t="s">
        <v>41</v>
      </c>
      <c r="E141" t="s">
        <v>25</v>
      </c>
      <c r="F141" t="s">
        <v>22</v>
      </c>
      <c r="G141">
        <v>8</v>
      </c>
      <c r="H141" s="3">
        <v>12000</v>
      </c>
      <c r="I141" s="3">
        <v>5500</v>
      </c>
      <c r="J141" s="3">
        <v>96000</v>
      </c>
      <c r="K141" s="3">
        <v>52000</v>
      </c>
    </row>
    <row r="142" spans="1:11" x14ac:dyDescent="0.3">
      <c r="A142" s="2">
        <v>45843</v>
      </c>
      <c r="B142" t="s">
        <v>173</v>
      </c>
      <c r="C142" t="s">
        <v>44</v>
      </c>
      <c r="D142" t="s">
        <v>21</v>
      </c>
      <c r="E142" t="s">
        <v>14</v>
      </c>
      <c r="F142" t="s">
        <v>26</v>
      </c>
      <c r="G142">
        <v>8</v>
      </c>
      <c r="H142" s="3">
        <v>17000</v>
      </c>
      <c r="I142" s="3">
        <v>8000</v>
      </c>
      <c r="J142" s="3">
        <v>136000</v>
      </c>
      <c r="K142" s="3">
        <v>72000</v>
      </c>
    </row>
    <row r="143" spans="1:11" x14ac:dyDescent="0.3">
      <c r="A143" s="2">
        <v>45880</v>
      </c>
      <c r="B143" t="s">
        <v>174</v>
      </c>
      <c r="C143" t="s">
        <v>70</v>
      </c>
      <c r="D143" t="s">
        <v>13</v>
      </c>
      <c r="E143" t="s">
        <v>14</v>
      </c>
      <c r="F143" t="s">
        <v>22</v>
      </c>
      <c r="G143">
        <v>5</v>
      </c>
      <c r="H143" s="3">
        <v>20000</v>
      </c>
      <c r="I143" s="3">
        <v>11000</v>
      </c>
      <c r="J143" s="3">
        <v>100000</v>
      </c>
      <c r="K143" s="3">
        <v>45000</v>
      </c>
    </row>
    <row r="144" spans="1:11" x14ac:dyDescent="0.3">
      <c r="A144" s="2">
        <v>45896</v>
      </c>
      <c r="B144" t="s">
        <v>175</v>
      </c>
      <c r="C144" t="s">
        <v>50</v>
      </c>
      <c r="D144" t="s">
        <v>41</v>
      </c>
      <c r="E144" t="s">
        <v>46</v>
      </c>
      <c r="F144" t="s">
        <v>26</v>
      </c>
      <c r="G144">
        <v>5</v>
      </c>
      <c r="H144" s="3">
        <v>12000</v>
      </c>
      <c r="I144" s="3">
        <v>5500</v>
      </c>
      <c r="J144" s="3">
        <v>60000</v>
      </c>
      <c r="K144" s="3">
        <v>32500</v>
      </c>
    </row>
    <row r="145" spans="1:11" x14ac:dyDescent="0.3">
      <c r="A145" s="2">
        <v>45702</v>
      </c>
      <c r="B145" t="s">
        <v>176</v>
      </c>
      <c r="C145" t="s">
        <v>31</v>
      </c>
      <c r="D145" t="s">
        <v>13</v>
      </c>
      <c r="E145" t="s">
        <v>25</v>
      </c>
      <c r="F145" t="s">
        <v>22</v>
      </c>
      <c r="G145">
        <v>8</v>
      </c>
      <c r="H145" s="3">
        <v>10000</v>
      </c>
      <c r="I145" s="3">
        <v>4500</v>
      </c>
      <c r="J145" s="3">
        <v>80000</v>
      </c>
      <c r="K145" s="3">
        <v>44000</v>
      </c>
    </row>
    <row r="146" spans="1:11" x14ac:dyDescent="0.3">
      <c r="A146" s="2">
        <v>45949</v>
      </c>
      <c r="B146" t="s">
        <v>177</v>
      </c>
      <c r="C146" t="s">
        <v>28</v>
      </c>
      <c r="D146" t="s">
        <v>21</v>
      </c>
      <c r="E146" t="s">
        <v>46</v>
      </c>
      <c r="F146" t="s">
        <v>18</v>
      </c>
      <c r="G146">
        <v>7</v>
      </c>
      <c r="H146" s="3">
        <v>15000</v>
      </c>
      <c r="I146" s="3">
        <v>7000</v>
      </c>
      <c r="J146" s="3">
        <v>105000</v>
      </c>
      <c r="K146" s="3">
        <v>56000</v>
      </c>
    </row>
    <row r="147" spans="1:11" x14ac:dyDescent="0.3">
      <c r="A147" s="2">
        <v>45911</v>
      </c>
      <c r="B147" t="s">
        <v>178</v>
      </c>
      <c r="C147" t="s">
        <v>48</v>
      </c>
      <c r="D147" t="s">
        <v>41</v>
      </c>
      <c r="E147" t="s">
        <v>46</v>
      </c>
      <c r="F147" t="s">
        <v>26</v>
      </c>
      <c r="G147">
        <v>3</v>
      </c>
      <c r="H147" s="3">
        <v>18000</v>
      </c>
      <c r="I147" s="3">
        <v>9000</v>
      </c>
      <c r="J147" s="3">
        <v>54000</v>
      </c>
      <c r="K147" s="3">
        <v>27000</v>
      </c>
    </row>
    <row r="148" spans="1:11" x14ac:dyDescent="0.3">
      <c r="A148" s="2">
        <v>45839</v>
      </c>
      <c r="B148" t="s">
        <v>179</v>
      </c>
      <c r="C148" t="s">
        <v>31</v>
      </c>
      <c r="D148" t="s">
        <v>13</v>
      </c>
      <c r="E148" t="s">
        <v>46</v>
      </c>
      <c r="F148" t="s">
        <v>15</v>
      </c>
      <c r="G148">
        <v>6</v>
      </c>
      <c r="H148" s="3">
        <v>10000</v>
      </c>
      <c r="I148" s="3">
        <v>4500</v>
      </c>
      <c r="J148" s="3">
        <v>60000</v>
      </c>
      <c r="K148" s="3">
        <v>33000</v>
      </c>
    </row>
    <row r="149" spans="1:11" x14ac:dyDescent="0.3">
      <c r="A149" s="2">
        <v>45942</v>
      </c>
      <c r="B149" t="s">
        <v>180</v>
      </c>
      <c r="C149" t="s">
        <v>24</v>
      </c>
      <c r="D149" t="s">
        <v>13</v>
      </c>
      <c r="E149" t="s">
        <v>25</v>
      </c>
      <c r="F149" t="s">
        <v>26</v>
      </c>
      <c r="G149">
        <v>4</v>
      </c>
      <c r="H149" s="3">
        <v>18000</v>
      </c>
      <c r="I149" s="3">
        <v>10000</v>
      </c>
      <c r="J149" s="3">
        <v>72000</v>
      </c>
      <c r="K149" s="3">
        <v>32000</v>
      </c>
    </row>
    <row r="150" spans="1:11" x14ac:dyDescent="0.3">
      <c r="A150" s="2">
        <v>45866</v>
      </c>
      <c r="B150" t="s">
        <v>181</v>
      </c>
      <c r="C150" t="s">
        <v>40</v>
      </c>
      <c r="D150" t="s">
        <v>41</v>
      </c>
      <c r="E150" t="s">
        <v>14</v>
      </c>
      <c r="F150" t="s">
        <v>22</v>
      </c>
      <c r="G150">
        <v>4</v>
      </c>
      <c r="H150" s="3">
        <v>25000</v>
      </c>
      <c r="I150" s="3">
        <v>13000</v>
      </c>
      <c r="J150" s="3">
        <v>100000</v>
      </c>
      <c r="K150" s="3">
        <v>48000</v>
      </c>
    </row>
    <row r="151" spans="1:11" x14ac:dyDescent="0.3">
      <c r="A151" s="2">
        <v>45988</v>
      </c>
      <c r="B151" t="s">
        <v>182</v>
      </c>
      <c r="C151" t="s">
        <v>20</v>
      </c>
      <c r="D151" t="s">
        <v>21</v>
      </c>
      <c r="E151" t="s">
        <v>46</v>
      </c>
      <c r="F151" t="s">
        <v>18</v>
      </c>
      <c r="G151">
        <v>8</v>
      </c>
      <c r="H151" s="3">
        <v>12000</v>
      </c>
      <c r="I151" s="3">
        <v>5500</v>
      </c>
      <c r="J151" s="3">
        <v>96000</v>
      </c>
      <c r="K151" s="3">
        <v>52000</v>
      </c>
    </row>
    <row r="152" spans="1:11" x14ac:dyDescent="0.3">
      <c r="A152" s="2">
        <v>45705</v>
      </c>
      <c r="B152" t="s">
        <v>183</v>
      </c>
      <c r="C152" t="s">
        <v>31</v>
      </c>
      <c r="D152" t="s">
        <v>13</v>
      </c>
      <c r="E152" t="s">
        <v>46</v>
      </c>
      <c r="F152" t="s">
        <v>26</v>
      </c>
      <c r="G152">
        <v>4</v>
      </c>
      <c r="H152" s="3">
        <v>10000</v>
      </c>
      <c r="I152" s="3">
        <v>4500</v>
      </c>
      <c r="J152" s="3">
        <v>40000</v>
      </c>
      <c r="K152" s="3">
        <v>22000</v>
      </c>
    </row>
    <row r="153" spans="1:11" x14ac:dyDescent="0.3">
      <c r="A153" s="2">
        <v>45814</v>
      </c>
      <c r="B153" t="s">
        <v>184</v>
      </c>
      <c r="C153" t="s">
        <v>44</v>
      </c>
      <c r="D153" t="s">
        <v>21</v>
      </c>
      <c r="E153" t="s">
        <v>46</v>
      </c>
      <c r="F153" t="s">
        <v>15</v>
      </c>
      <c r="G153">
        <v>6</v>
      </c>
      <c r="H153" s="3">
        <v>17000</v>
      </c>
      <c r="I153" s="3">
        <v>8000</v>
      </c>
      <c r="J153" s="3">
        <v>102000</v>
      </c>
      <c r="K153" s="3">
        <v>54000</v>
      </c>
    </row>
    <row r="154" spans="1:11" x14ac:dyDescent="0.3">
      <c r="A154" s="2">
        <v>45875</v>
      </c>
      <c r="B154" t="s">
        <v>185</v>
      </c>
      <c r="C154" t="s">
        <v>20</v>
      </c>
      <c r="D154" t="s">
        <v>21</v>
      </c>
      <c r="E154" t="s">
        <v>46</v>
      </c>
      <c r="F154" t="s">
        <v>22</v>
      </c>
      <c r="G154">
        <v>6</v>
      </c>
      <c r="H154" s="3">
        <v>12000</v>
      </c>
      <c r="I154" s="3">
        <v>5500</v>
      </c>
      <c r="J154" s="3">
        <v>72000</v>
      </c>
      <c r="K154" s="3">
        <v>39000</v>
      </c>
    </row>
    <row r="155" spans="1:11" x14ac:dyDescent="0.3">
      <c r="A155" s="2">
        <v>45796</v>
      </c>
      <c r="B155" t="s">
        <v>186</v>
      </c>
      <c r="C155" t="s">
        <v>31</v>
      </c>
      <c r="D155" t="s">
        <v>13</v>
      </c>
      <c r="E155" t="s">
        <v>25</v>
      </c>
      <c r="F155" t="s">
        <v>18</v>
      </c>
      <c r="G155">
        <v>5</v>
      </c>
      <c r="H155" s="3">
        <v>10000</v>
      </c>
      <c r="I155" s="3">
        <v>4500</v>
      </c>
      <c r="J155" s="3">
        <v>50000</v>
      </c>
      <c r="K155" s="3">
        <v>27500</v>
      </c>
    </row>
    <row r="156" spans="1:11" x14ac:dyDescent="0.3">
      <c r="A156" s="2">
        <v>45756</v>
      </c>
      <c r="B156" t="s">
        <v>187</v>
      </c>
      <c r="C156" t="s">
        <v>48</v>
      </c>
      <c r="D156" t="s">
        <v>41</v>
      </c>
      <c r="E156" t="s">
        <v>14</v>
      </c>
      <c r="F156" t="s">
        <v>26</v>
      </c>
      <c r="G156">
        <v>2</v>
      </c>
      <c r="H156" s="3">
        <v>18000</v>
      </c>
      <c r="I156" s="3">
        <v>9000</v>
      </c>
      <c r="J156" s="3">
        <v>36000</v>
      </c>
      <c r="K156" s="3">
        <v>18000</v>
      </c>
    </row>
    <row r="157" spans="1:11" x14ac:dyDescent="0.3">
      <c r="A157" s="2">
        <v>45756</v>
      </c>
      <c r="B157" t="s">
        <v>188</v>
      </c>
      <c r="C157" t="s">
        <v>17</v>
      </c>
      <c r="D157" t="s">
        <v>13</v>
      </c>
      <c r="E157" t="s">
        <v>46</v>
      </c>
      <c r="F157" t="s">
        <v>15</v>
      </c>
      <c r="G157">
        <v>8</v>
      </c>
      <c r="H157" s="3">
        <v>22000</v>
      </c>
      <c r="I157" s="3">
        <v>12000</v>
      </c>
      <c r="J157" s="3">
        <v>176000</v>
      </c>
      <c r="K157" s="3">
        <v>80000</v>
      </c>
    </row>
    <row r="158" spans="1:11" x14ac:dyDescent="0.3">
      <c r="A158" s="2">
        <v>45709</v>
      </c>
      <c r="B158" t="s">
        <v>189</v>
      </c>
      <c r="C158" t="s">
        <v>17</v>
      </c>
      <c r="D158" t="s">
        <v>13</v>
      </c>
      <c r="E158" t="s">
        <v>25</v>
      </c>
      <c r="F158" t="s">
        <v>15</v>
      </c>
      <c r="G158">
        <v>5</v>
      </c>
      <c r="H158" s="3">
        <v>22000</v>
      </c>
      <c r="I158" s="3">
        <v>12000</v>
      </c>
      <c r="J158" s="3">
        <v>110000</v>
      </c>
      <c r="K158" s="3">
        <v>50000</v>
      </c>
    </row>
    <row r="159" spans="1:11" x14ac:dyDescent="0.3">
      <c r="A159" s="2">
        <v>45749</v>
      </c>
      <c r="B159" t="s">
        <v>190</v>
      </c>
      <c r="C159" t="s">
        <v>31</v>
      </c>
      <c r="D159" t="s">
        <v>13</v>
      </c>
      <c r="E159" t="s">
        <v>14</v>
      </c>
      <c r="F159" t="s">
        <v>26</v>
      </c>
      <c r="G159">
        <v>1</v>
      </c>
      <c r="H159" s="3">
        <v>10000</v>
      </c>
      <c r="I159" s="3">
        <v>4500</v>
      </c>
      <c r="J159" s="3">
        <v>10000</v>
      </c>
      <c r="K159" s="3">
        <v>5500</v>
      </c>
    </row>
    <row r="160" spans="1:11" x14ac:dyDescent="0.3">
      <c r="A160" s="2">
        <v>45798</v>
      </c>
      <c r="B160" t="s">
        <v>191</v>
      </c>
      <c r="C160" t="s">
        <v>24</v>
      </c>
      <c r="D160" t="s">
        <v>13</v>
      </c>
      <c r="E160" t="s">
        <v>14</v>
      </c>
      <c r="F160" t="s">
        <v>15</v>
      </c>
      <c r="G160">
        <v>1</v>
      </c>
      <c r="H160" s="3">
        <v>18000</v>
      </c>
      <c r="I160" s="3">
        <v>10000</v>
      </c>
      <c r="J160" s="3">
        <v>18000</v>
      </c>
      <c r="K160" s="3">
        <v>8000</v>
      </c>
    </row>
    <row r="161" spans="1:11" x14ac:dyDescent="0.3">
      <c r="A161" s="2">
        <v>46015</v>
      </c>
      <c r="B161" t="s">
        <v>192</v>
      </c>
      <c r="C161" t="s">
        <v>70</v>
      </c>
      <c r="D161" t="s">
        <v>13</v>
      </c>
      <c r="E161" t="s">
        <v>25</v>
      </c>
      <c r="F161" t="s">
        <v>18</v>
      </c>
      <c r="G161">
        <v>8</v>
      </c>
      <c r="H161" s="3">
        <v>20000</v>
      </c>
      <c r="I161" s="3">
        <v>11000</v>
      </c>
      <c r="J161" s="3">
        <v>160000</v>
      </c>
      <c r="K161" s="3">
        <v>72000</v>
      </c>
    </row>
    <row r="162" spans="1:11" x14ac:dyDescent="0.3">
      <c r="A162" s="2">
        <v>45951</v>
      </c>
      <c r="B162" t="s">
        <v>193</v>
      </c>
      <c r="C162" t="s">
        <v>31</v>
      </c>
      <c r="D162" t="s">
        <v>13</v>
      </c>
      <c r="E162" t="s">
        <v>46</v>
      </c>
      <c r="F162" t="s">
        <v>22</v>
      </c>
      <c r="G162">
        <v>8</v>
      </c>
      <c r="H162" s="3">
        <v>10000</v>
      </c>
      <c r="I162" s="3">
        <v>4500</v>
      </c>
      <c r="J162" s="3">
        <v>80000</v>
      </c>
      <c r="K162" s="3">
        <v>44000</v>
      </c>
    </row>
    <row r="163" spans="1:11" x14ac:dyDescent="0.3">
      <c r="A163" s="2">
        <v>45832</v>
      </c>
      <c r="B163" t="s">
        <v>194</v>
      </c>
      <c r="C163" t="s">
        <v>70</v>
      </c>
      <c r="D163" t="s">
        <v>13</v>
      </c>
      <c r="E163" t="s">
        <v>46</v>
      </c>
      <c r="F163" t="s">
        <v>22</v>
      </c>
      <c r="G163">
        <v>1</v>
      </c>
      <c r="H163" s="3">
        <v>20000</v>
      </c>
      <c r="I163" s="3">
        <v>11000</v>
      </c>
      <c r="J163" s="3">
        <v>20000</v>
      </c>
      <c r="K163" s="3">
        <v>9000</v>
      </c>
    </row>
    <row r="164" spans="1:11" x14ac:dyDescent="0.3">
      <c r="A164" s="2">
        <v>45716</v>
      </c>
      <c r="B164" t="s">
        <v>195</v>
      </c>
      <c r="C164" t="s">
        <v>12</v>
      </c>
      <c r="D164" t="s">
        <v>13</v>
      </c>
      <c r="E164" t="s">
        <v>46</v>
      </c>
      <c r="F164" t="s">
        <v>18</v>
      </c>
      <c r="G164">
        <v>7</v>
      </c>
      <c r="H164" s="3">
        <v>15000</v>
      </c>
      <c r="I164" s="3">
        <v>8000</v>
      </c>
      <c r="J164" s="3">
        <v>105000</v>
      </c>
      <c r="K164" s="3">
        <v>49000</v>
      </c>
    </row>
    <row r="165" spans="1:11" x14ac:dyDescent="0.3">
      <c r="A165" s="2">
        <v>45953</v>
      </c>
      <c r="B165" t="s">
        <v>196</v>
      </c>
      <c r="C165" t="s">
        <v>44</v>
      </c>
      <c r="D165" t="s">
        <v>21</v>
      </c>
      <c r="E165" t="s">
        <v>25</v>
      </c>
      <c r="F165" t="s">
        <v>26</v>
      </c>
      <c r="G165">
        <v>1</v>
      </c>
      <c r="H165" s="3">
        <v>17000</v>
      </c>
      <c r="I165" s="3">
        <v>8000</v>
      </c>
      <c r="J165" s="3">
        <v>17000</v>
      </c>
      <c r="K165" s="3">
        <v>9000</v>
      </c>
    </row>
    <row r="166" spans="1:11" x14ac:dyDescent="0.3">
      <c r="A166" s="2">
        <v>45946</v>
      </c>
      <c r="B166" t="s">
        <v>197</v>
      </c>
      <c r="C166" t="s">
        <v>31</v>
      </c>
      <c r="D166" t="s">
        <v>13</v>
      </c>
      <c r="E166" t="s">
        <v>25</v>
      </c>
      <c r="F166" t="s">
        <v>18</v>
      </c>
      <c r="G166">
        <v>2</v>
      </c>
      <c r="H166" s="3">
        <v>10000</v>
      </c>
      <c r="I166" s="3">
        <v>4500</v>
      </c>
      <c r="J166" s="3">
        <v>20000</v>
      </c>
      <c r="K166" s="3">
        <v>11000</v>
      </c>
    </row>
    <row r="167" spans="1:11" x14ac:dyDescent="0.3">
      <c r="A167" s="2">
        <v>45943</v>
      </c>
      <c r="B167" t="s">
        <v>198</v>
      </c>
      <c r="C167" t="s">
        <v>50</v>
      </c>
      <c r="D167" t="s">
        <v>41</v>
      </c>
      <c r="E167" t="s">
        <v>14</v>
      </c>
      <c r="F167" t="s">
        <v>22</v>
      </c>
      <c r="G167">
        <v>4</v>
      </c>
      <c r="H167" s="3">
        <v>12000</v>
      </c>
      <c r="I167" s="3">
        <v>5500</v>
      </c>
      <c r="J167" s="3">
        <v>48000</v>
      </c>
      <c r="K167" s="3">
        <v>26000</v>
      </c>
    </row>
    <row r="168" spans="1:11" x14ac:dyDescent="0.3">
      <c r="A168" s="2">
        <v>45888</v>
      </c>
      <c r="B168" t="s">
        <v>199</v>
      </c>
      <c r="C168" t="s">
        <v>40</v>
      </c>
      <c r="D168" t="s">
        <v>41</v>
      </c>
      <c r="E168" t="s">
        <v>14</v>
      </c>
      <c r="F168" t="s">
        <v>22</v>
      </c>
      <c r="G168">
        <v>5</v>
      </c>
      <c r="H168" s="3">
        <v>25000</v>
      </c>
      <c r="I168" s="3">
        <v>13000</v>
      </c>
      <c r="J168" s="3">
        <v>125000</v>
      </c>
      <c r="K168" s="3">
        <v>60000</v>
      </c>
    </row>
    <row r="169" spans="1:11" x14ac:dyDescent="0.3">
      <c r="A169" s="2">
        <v>45814</v>
      </c>
      <c r="B169" t="s">
        <v>200</v>
      </c>
      <c r="C169" t="s">
        <v>28</v>
      </c>
      <c r="D169" t="s">
        <v>21</v>
      </c>
      <c r="E169" t="s">
        <v>14</v>
      </c>
      <c r="F169" t="s">
        <v>18</v>
      </c>
      <c r="G169">
        <v>1</v>
      </c>
      <c r="H169" s="3">
        <v>15000</v>
      </c>
      <c r="I169" s="3">
        <v>7000</v>
      </c>
      <c r="J169" s="3">
        <v>15000</v>
      </c>
      <c r="K169" s="3">
        <v>8000</v>
      </c>
    </row>
    <row r="170" spans="1:11" x14ac:dyDescent="0.3">
      <c r="A170" s="2">
        <v>45764</v>
      </c>
      <c r="B170" t="s">
        <v>201</v>
      </c>
      <c r="C170" t="s">
        <v>44</v>
      </c>
      <c r="D170" t="s">
        <v>21</v>
      </c>
      <c r="E170" t="s">
        <v>46</v>
      </c>
      <c r="F170" t="s">
        <v>18</v>
      </c>
      <c r="G170">
        <v>4</v>
      </c>
      <c r="H170" s="3">
        <v>17000</v>
      </c>
      <c r="I170" s="3">
        <v>8000</v>
      </c>
      <c r="J170" s="3">
        <v>68000</v>
      </c>
      <c r="K170" s="3">
        <v>36000</v>
      </c>
    </row>
    <row r="171" spans="1:11" x14ac:dyDescent="0.3">
      <c r="A171" s="2">
        <v>45738</v>
      </c>
      <c r="B171" t="s">
        <v>202</v>
      </c>
      <c r="C171" t="s">
        <v>17</v>
      </c>
      <c r="D171" t="s">
        <v>13</v>
      </c>
      <c r="E171" t="s">
        <v>14</v>
      </c>
      <c r="F171" t="s">
        <v>18</v>
      </c>
      <c r="G171">
        <v>3</v>
      </c>
      <c r="H171" s="3">
        <v>22000</v>
      </c>
      <c r="I171" s="3">
        <v>12000</v>
      </c>
      <c r="J171" s="3">
        <v>66000</v>
      </c>
      <c r="K171" s="3">
        <v>30000</v>
      </c>
    </row>
    <row r="172" spans="1:11" x14ac:dyDescent="0.3">
      <c r="A172" s="2">
        <v>45738</v>
      </c>
      <c r="B172" t="s">
        <v>203</v>
      </c>
      <c r="C172" t="s">
        <v>24</v>
      </c>
      <c r="D172" t="s">
        <v>13</v>
      </c>
      <c r="E172" t="s">
        <v>46</v>
      </c>
      <c r="F172" t="s">
        <v>22</v>
      </c>
      <c r="G172">
        <v>7</v>
      </c>
      <c r="H172" s="3">
        <v>18000</v>
      </c>
      <c r="I172" s="3">
        <v>10000</v>
      </c>
      <c r="J172" s="3">
        <v>126000</v>
      </c>
      <c r="K172" s="3">
        <v>56000</v>
      </c>
    </row>
    <row r="173" spans="1:11" x14ac:dyDescent="0.3">
      <c r="A173" s="2">
        <v>45807</v>
      </c>
      <c r="B173" t="s">
        <v>204</v>
      </c>
      <c r="C173" t="s">
        <v>24</v>
      </c>
      <c r="D173" t="s">
        <v>13</v>
      </c>
      <c r="E173" t="s">
        <v>46</v>
      </c>
      <c r="F173" t="s">
        <v>15</v>
      </c>
      <c r="G173">
        <v>4</v>
      </c>
      <c r="H173" s="3">
        <v>18000</v>
      </c>
      <c r="I173" s="3">
        <v>10000</v>
      </c>
      <c r="J173" s="3">
        <v>72000</v>
      </c>
      <c r="K173" s="3">
        <v>32000</v>
      </c>
    </row>
    <row r="174" spans="1:11" x14ac:dyDescent="0.3">
      <c r="A174" s="2">
        <v>46017</v>
      </c>
      <c r="B174" t="s">
        <v>205</v>
      </c>
      <c r="C174" t="s">
        <v>40</v>
      </c>
      <c r="D174" t="s">
        <v>41</v>
      </c>
      <c r="E174" t="s">
        <v>14</v>
      </c>
      <c r="F174" t="s">
        <v>26</v>
      </c>
      <c r="G174">
        <v>2</v>
      </c>
      <c r="H174" s="3">
        <v>25000</v>
      </c>
      <c r="I174" s="3">
        <v>13000</v>
      </c>
      <c r="J174" s="3">
        <v>50000</v>
      </c>
      <c r="K174" s="3">
        <v>24000</v>
      </c>
    </row>
    <row r="175" spans="1:11" x14ac:dyDescent="0.3">
      <c r="A175" s="2">
        <v>45793</v>
      </c>
      <c r="B175" t="s">
        <v>206</v>
      </c>
      <c r="C175" t="s">
        <v>44</v>
      </c>
      <c r="D175" t="s">
        <v>21</v>
      </c>
      <c r="E175" t="s">
        <v>46</v>
      </c>
      <c r="F175" t="s">
        <v>18</v>
      </c>
      <c r="G175">
        <v>4</v>
      </c>
      <c r="H175" s="3">
        <v>17000</v>
      </c>
      <c r="I175" s="3">
        <v>8000</v>
      </c>
      <c r="J175" s="3">
        <v>68000</v>
      </c>
      <c r="K175" s="3">
        <v>36000</v>
      </c>
    </row>
    <row r="176" spans="1:11" x14ac:dyDescent="0.3">
      <c r="A176" s="2">
        <v>45936</v>
      </c>
      <c r="B176" t="s">
        <v>207</v>
      </c>
      <c r="C176" t="s">
        <v>17</v>
      </c>
      <c r="D176" t="s">
        <v>13</v>
      </c>
      <c r="E176" t="s">
        <v>46</v>
      </c>
      <c r="F176" t="s">
        <v>26</v>
      </c>
      <c r="G176">
        <v>3</v>
      </c>
      <c r="H176" s="3">
        <v>22000</v>
      </c>
      <c r="I176" s="3">
        <v>12000</v>
      </c>
      <c r="J176" s="3">
        <v>66000</v>
      </c>
      <c r="K176" s="3">
        <v>30000</v>
      </c>
    </row>
    <row r="177" spans="1:11" x14ac:dyDescent="0.3">
      <c r="A177" s="2">
        <v>45694</v>
      </c>
      <c r="B177" t="s">
        <v>208</v>
      </c>
      <c r="C177" t="s">
        <v>24</v>
      </c>
      <c r="D177" t="s">
        <v>13</v>
      </c>
      <c r="E177" t="s">
        <v>46</v>
      </c>
      <c r="F177" t="s">
        <v>15</v>
      </c>
      <c r="G177">
        <v>3</v>
      </c>
      <c r="H177" s="3">
        <v>18000</v>
      </c>
      <c r="I177" s="3">
        <v>10000</v>
      </c>
      <c r="J177" s="3">
        <v>54000</v>
      </c>
      <c r="K177" s="3">
        <v>24000</v>
      </c>
    </row>
    <row r="178" spans="1:11" x14ac:dyDescent="0.3">
      <c r="A178" s="2">
        <v>45882</v>
      </c>
      <c r="B178" t="s">
        <v>209</v>
      </c>
      <c r="C178" t="s">
        <v>12</v>
      </c>
      <c r="D178" t="s">
        <v>13</v>
      </c>
      <c r="E178" t="s">
        <v>14</v>
      </c>
      <c r="F178" t="s">
        <v>15</v>
      </c>
      <c r="G178">
        <v>8</v>
      </c>
      <c r="H178" s="3">
        <v>15000</v>
      </c>
      <c r="I178" s="3">
        <v>8000</v>
      </c>
      <c r="J178" s="3">
        <v>120000</v>
      </c>
      <c r="K178" s="3">
        <v>56000</v>
      </c>
    </row>
    <row r="179" spans="1:11" x14ac:dyDescent="0.3">
      <c r="A179" s="2">
        <v>46016</v>
      </c>
      <c r="B179" t="s">
        <v>210</v>
      </c>
      <c r="C179" t="s">
        <v>50</v>
      </c>
      <c r="D179" t="s">
        <v>41</v>
      </c>
      <c r="E179" t="s">
        <v>14</v>
      </c>
      <c r="F179" t="s">
        <v>22</v>
      </c>
      <c r="G179">
        <v>5</v>
      </c>
      <c r="H179" s="3">
        <v>12000</v>
      </c>
      <c r="I179" s="3">
        <v>5500</v>
      </c>
      <c r="J179" s="3">
        <v>60000</v>
      </c>
      <c r="K179" s="3">
        <v>32500</v>
      </c>
    </row>
    <row r="180" spans="1:11" x14ac:dyDescent="0.3">
      <c r="A180" s="2">
        <v>45882</v>
      </c>
      <c r="B180" t="s">
        <v>211</v>
      </c>
      <c r="C180" t="s">
        <v>12</v>
      </c>
      <c r="D180" t="s">
        <v>13</v>
      </c>
      <c r="E180" t="s">
        <v>46</v>
      </c>
      <c r="F180" t="s">
        <v>15</v>
      </c>
      <c r="G180">
        <v>1</v>
      </c>
      <c r="H180" s="3">
        <v>15000</v>
      </c>
      <c r="I180" s="3">
        <v>8000</v>
      </c>
      <c r="J180" s="3">
        <v>15000</v>
      </c>
      <c r="K180" s="3">
        <v>7000</v>
      </c>
    </row>
    <row r="181" spans="1:11" x14ac:dyDescent="0.3">
      <c r="A181" s="2">
        <v>45967</v>
      </c>
      <c r="B181" t="s">
        <v>212</v>
      </c>
      <c r="C181" t="s">
        <v>31</v>
      </c>
      <c r="D181" t="s">
        <v>13</v>
      </c>
      <c r="E181" t="s">
        <v>25</v>
      </c>
      <c r="F181" t="s">
        <v>26</v>
      </c>
      <c r="G181">
        <v>1</v>
      </c>
      <c r="H181" s="3">
        <v>10000</v>
      </c>
      <c r="I181" s="3">
        <v>4500</v>
      </c>
      <c r="J181" s="3">
        <v>10000</v>
      </c>
      <c r="K181" s="3">
        <v>5500</v>
      </c>
    </row>
    <row r="182" spans="1:11" x14ac:dyDescent="0.3">
      <c r="A182" s="2">
        <v>46003</v>
      </c>
      <c r="B182" t="s">
        <v>213</v>
      </c>
      <c r="C182" t="s">
        <v>28</v>
      </c>
      <c r="D182" t="s">
        <v>21</v>
      </c>
      <c r="E182" t="s">
        <v>14</v>
      </c>
      <c r="F182" t="s">
        <v>15</v>
      </c>
      <c r="G182">
        <v>1</v>
      </c>
      <c r="H182" s="3">
        <v>15000</v>
      </c>
      <c r="I182" s="3">
        <v>7000</v>
      </c>
      <c r="J182" s="3">
        <v>15000</v>
      </c>
      <c r="K182" s="3">
        <v>8000</v>
      </c>
    </row>
    <row r="183" spans="1:11" x14ac:dyDescent="0.3">
      <c r="A183" s="2">
        <v>45953</v>
      </c>
      <c r="B183" t="s">
        <v>214</v>
      </c>
      <c r="C183" t="s">
        <v>24</v>
      </c>
      <c r="D183" t="s">
        <v>13</v>
      </c>
      <c r="E183" t="s">
        <v>46</v>
      </c>
      <c r="F183" t="s">
        <v>22</v>
      </c>
      <c r="G183">
        <v>3</v>
      </c>
      <c r="H183" s="3">
        <v>18000</v>
      </c>
      <c r="I183" s="3">
        <v>10000</v>
      </c>
      <c r="J183" s="3">
        <v>54000</v>
      </c>
      <c r="K183" s="3">
        <v>24000</v>
      </c>
    </row>
    <row r="184" spans="1:11" x14ac:dyDescent="0.3">
      <c r="A184" s="2">
        <v>45800</v>
      </c>
      <c r="B184" t="s">
        <v>215</v>
      </c>
      <c r="C184" t="s">
        <v>70</v>
      </c>
      <c r="D184" t="s">
        <v>13</v>
      </c>
      <c r="E184" t="s">
        <v>14</v>
      </c>
      <c r="F184" t="s">
        <v>22</v>
      </c>
      <c r="G184">
        <v>7</v>
      </c>
      <c r="H184" s="3">
        <v>20000</v>
      </c>
      <c r="I184" s="3">
        <v>11000</v>
      </c>
      <c r="J184" s="3">
        <v>140000</v>
      </c>
      <c r="K184" s="3">
        <v>63000</v>
      </c>
    </row>
    <row r="185" spans="1:11" x14ac:dyDescent="0.3">
      <c r="A185" s="2">
        <v>45704</v>
      </c>
      <c r="B185" t="s">
        <v>216</v>
      </c>
      <c r="C185" t="s">
        <v>40</v>
      </c>
      <c r="D185" t="s">
        <v>41</v>
      </c>
      <c r="E185" t="s">
        <v>46</v>
      </c>
      <c r="F185" t="s">
        <v>15</v>
      </c>
      <c r="G185">
        <v>6</v>
      </c>
      <c r="H185" s="3">
        <v>25000</v>
      </c>
      <c r="I185" s="3">
        <v>13000</v>
      </c>
      <c r="J185" s="3">
        <v>150000</v>
      </c>
      <c r="K185" s="3">
        <v>72000</v>
      </c>
    </row>
    <row r="186" spans="1:11" x14ac:dyDescent="0.3">
      <c r="A186" s="2">
        <v>45822</v>
      </c>
      <c r="B186" t="s">
        <v>217</v>
      </c>
      <c r="C186" t="s">
        <v>44</v>
      </c>
      <c r="D186" t="s">
        <v>21</v>
      </c>
      <c r="E186" t="s">
        <v>25</v>
      </c>
      <c r="F186" t="s">
        <v>15</v>
      </c>
      <c r="G186">
        <v>2</v>
      </c>
      <c r="H186" s="3">
        <v>17000</v>
      </c>
      <c r="I186" s="3">
        <v>8000</v>
      </c>
      <c r="J186" s="3">
        <v>34000</v>
      </c>
      <c r="K186" s="3">
        <v>18000</v>
      </c>
    </row>
    <row r="187" spans="1:11" x14ac:dyDescent="0.3">
      <c r="A187" s="2">
        <v>45868</v>
      </c>
      <c r="B187" t="s">
        <v>218</v>
      </c>
      <c r="C187" t="s">
        <v>20</v>
      </c>
      <c r="D187" t="s">
        <v>21</v>
      </c>
      <c r="E187" t="s">
        <v>46</v>
      </c>
      <c r="F187" t="s">
        <v>22</v>
      </c>
      <c r="G187">
        <v>8</v>
      </c>
      <c r="H187" s="3">
        <v>12000</v>
      </c>
      <c r="I187" s="3">
        <v>5500</v>
      </c>
      <c r="J187" s="3">
        <v>96000</v>
      </c>
      <c r="K187" s="3">
        <v>52000</v>
      </c>
    </row>
    <row r="188" spans="1:11" x14ac:dyDescent="0.3">
      <c r="A188" s="2">
        <v>45939</v>
      </c>
      <c r="B188" t="s">
        <v>219</v>
      </c>
      <c r="C188" t="s">
        <v>24</v>
      </c>
      <c r="D188" t="s">
        <v>13</v>
      </c>
      <c r="E188" t="s">
        <v>25</v>
      </c>
      <c r="F188" t="s">
        <v>15</v>
      </c>
      <c r="G188">
        <v>8</v>
      </c>
      <c r="H188" s="3">
        <v>18000</v>
      </c>
      <c r="I188" s="3">
        <v>10000</v>
      </c>
      <c r="J188" s="3">
        <v>144000</v>
      </c>
      <c r="K188" s="3">
        <v>64000</v>
      </c>
    </row>
    <row r="189" spans="1:11" x14ac:dyDescent="0.3">
      <c r="A189" s="2">
        <v>45787</v>
      </c>
      <c r="B189" t="s">
        <v>220</v>
      </c>
      <c r="C189" t="s">
        <v>48</v>
      </c>
      <c r="D189" t="s">
        <v>41</v>
      </c>
      <c r="E189" t="s">
        <v>46</v>
      </c>
      <c r="F189" t="s">
        <v>18</v>
      </c>
      <c r="G189">
        <v>2</v>
      </c>
      <c r="H189" s="3">
        <v>18000</v>
      </c>
      <c r="I189" s="3">
        <v>9000</v>
      </c>
      <c r="J189" s="3">
        <v>36000</v>
      </c>
      <c r="K189" s="3">
        <v>18000</v>
      </c>
    </row>
    <row r="190" spans="1:11" x14ac:dyDescent="0.3">
      <c r="A190" s="2">
        <v>45994</v>
      </c>
      <c r="B190" t="s">
        <v>221</v>
      </c>
      <c r="C190" t="s">
        <v>60</v>
      </c>
      <c r="D190" t="s">
        <v>21</v>
      </c>
      <c r="E190" t="s">
        <v>46</v>
      </c>
      <c r="F190" t="s">
        <v>18</v>
      </c>
      <c r="G190">
        <v>8</v>
      </c>
      <c r="H190" s="3">
        <v>14000</v>
      </c>
      <c r="I190" s="3">
        <v>6500</v>
      </c>
      <c r="J190" s="3">
        <v>112000</v>
      </c>
      <c r="K190" s="3">
        <v>60000</v>
      </c>
    </row>
    <row r="191" spans="1:11" x14ac:dyDescent="0.3">
      <c r="A191" s="2">
        <v>45754</v>
      </c>
      <c r="B191" t="s">
        <v>222</v>
      </c>
      <c r="C191" t="s">
        <v>60</v>
      </c>
      <c r="D191" t="s">
        <v>21</v>
      </c>
      <c r="E191" t="s">
        <v>14</v>
      </c>
      <c r="F191" t="s">
        <v>22</v>
      </c>
      <c r="G191">
        <v>6</v>
      </c>
      <c r="H191" s="3">
        <v>14000</v>
      </c>
      <c r="I191" s="3">
        <v>6500</v>
      </c>
      <c r="J191" s="3">
        <v>84000</v>
      </c>
      <c r="K191" s="3">
        <v>45000</v>
      </c>
    </row>
    <row r="192" spans="1:11" x14ac:dyDescent="0.3">
      <c r="A192" s="2">
        <v>45978</v>
      </c>
      <c r="B192" t="s">
        <v>223</v>
      </c>
      <c r="C192" t="s">
        <v>40</v>
      </c>
      <c r="D192" t="s">
        <v>41</v>
      </c>
      <c r="E192" t="s">
        <v>25</v>
      </c>
      <c r="F192" t="s">
        <v>15</v>
      </c>
      <c r="G192">
        <v>1</v>
      </c>
      <c r="H192" s="3">
        <v>25000</v>
      </c>
      <c r="I192" s="3">
        <v>13000</v>
      </c>
      <c r="J192" s="3">
        <v>25000</v>
      </c>
      <c r="K192" s="3">
        <v>12000</v>
      </c>
    </row>
    <row r="193" spans="1:11" x14ac:dyDescent="0.3">
      <c r="A193" s="2">
        <v>45939</v>
      </c>
      <c r="B193" t="s">
        <v>224</v>
      </c>
      <c r="C193" t="s">
        <v>70</v>
      </c>
      <c r="D193" t="s">
        <v>13</v>
      </c>
      <c r="E193" t="s">
        <v>46</v>
      </c>
      <c r="F193" t="s">
        <v>22</v>
      </c>
      <c r="G193">
        <v>5</v>
      </c>
      <c r="H193" s="3">
        <v>20000</v>
      </c>
      <c r="I193" s="3">
        <v>11000</v>
      </c>
      <c r="J193" s="3">
        <v>100000</v>
      </c>
      <c r="K193" s="3">
        <v>45000</v>
      </c>
    </row>
    <row r="194" spans="1:11" x14ac:dyDescent="0.3">
      <c r="A194" s="2">
        <v>45720</v>
      </c>
      <c r="B194" t="s">
        <v>225</v>
      </c>
      <c r="C194" t="s">
        <v>24</v>
      </c>
      <c r="D194" t="s">
        <v>13</v>
      </c>
      <c r="E194" t="s">
        <v>14</v>
      </c>
      <c r="F194" t="s">
        <v>26</v>
      </c>
      <c r="G194">
        <v>4</v>
      </c>
      <c r="H194" s="3">
        <v>18000</v>
      </c>
      <c r="I194" s="3">
        <v>10000</v>
      </c>
      <c r="J194" s="3">
        <v>72000</v>
      </c>
      <c r="K194" s="3">
        <v>32000</v>
      </c>
    </row>
    <row r="195" spans="1:11" x14ac:dyDescent="0.3">
      <c r="A195" s="2">
        <v>45817</v>
      </c>
      <c r="B195" t="s">
        <v>226</v>
      </c>
      <c r="C195" t="s">
        <v>60</v>
      </c>
      <c r="D195" t="s">
        <v>21</v>
      </c>
      <c r="E195" t="s">
        <v>14</v>
      </c>
      <c r="F195" t="s">
        <v>22</v>
      </c>
      <c r="G195">
        <v>1</v>
      </c>
      <c r="H195" s="3">
        <v>14000</v>
      </c>
      <c r="I195" s="3">
        <v>6500</v>
      </c>
      <c r="J195" s="3">
        <v>14000</v>
      </c>
      <c r="K195" s="3">
        <v>7500</v>
      </c>
    </row>
    <row r="196" spans="1:11" x14ac:dyDescent="0.3">
      <c r="A196" s="2">
        <v>45705</v>
      </c>
      <c r="B196" t="s">
        <v>227</v>
      </c>
      <c r="C196" t="s">
        <v>17</v>
      </c>
      <c r="D196" t="s">
        <v>13</v>
      </c>
      <c r="E196" t="s">
        <v>46</v>
      </c>
      <c r="F196" t="s">
        <v>18</v>
      </c>
      <c r="G196">
        <v>2</v>
      </c>
      <c r="H196" s="3">
        <v>22000</v>
      </c>
      <c r="I196" s="3">
        <v>12000</v>
      </c>
      <c r="J196" s="3">
        <v>44000</v>
      </c>
      <c r="K196" s="3">
        <v>20000</v>
      </c>
    </row>
    <row r="197" spans="1:11" x14ac:dyDescent="0.3">
      <c r="A197" s="2">
        <v>45989</v>
      </c>
      <c r="B197" t="s">
        <v>228</v>
      </c>
      <c r="C197" t="s">
        <v>70</v>
      </c>
      <c r="D197" t="s">
        <v>13</v>
      </c>
      <c r="E197" t="s">
        <v>14</v>
      </c>
      <c r="F197" t="s">
        <v>15</v>
      </c>
      <c r="G197">
        <v>8</v>
      </c>
      <c r="H197" s="3">
        <v>20000</v>
      </c>
      <c r="I197" s="3">
        <v>11000</v>
      </c>
      <c r="J197" s="3">
        <v>160000</v>
      </c>
      <c r="K197" s="3">
        <v>72000</v>
      </c>
    </row>
    <row r="198" spans="1:11" x14ac:dyDescent="0.3">
      <c r="A198" s="2">
        <v>45918</v>
      </c>
      <c r="B198" t="s">
        <v>229</v>
      </c>
      <c r="C198" t="s">
        <v>20</v>
      </c>
      <c r="D198" t="s">
        <v>21</v>
      </c>
      <c r="E198" t="s">
        <v>46</v>
      </c>
      <c r="F198" t="s">
        <v>22</v>
      </c>
      <c r="G198">
        <v>5</v>
      </c>
      <c r="H198" s="3">
        <v>12000</v>
      </c>
      <c r="I198" s="3">
        <v>5500</v>
      </c>
      <c r="J198" s="3">
        <v>60000</v>
      </c>
      <c r="K198" s="3">
        <v>32500</v>
      </c>
    </row>
    <row r="199" spans="1:11" x14ac:dyDescent="0.3">
      <c r="A199" s="2">
        <v>45899</v>
      </c>
      <c r="B199" t="s">
        <v>230</v>
      </c>
      <c r="C199" t="s">
        <v>17</v>
      </c>
      <c r="D199" t="s">
        <v>13</v>
      </c>
      <c r="E199" t="s">
        <v>14</v>
      </c>
      <c r="F199" t="s">
        <v>26</v>
      </c>
      <c r="G199">
        <v>8</v>
      </c>
      <c r="H199" s="3">
        <v>22000</v>
      </c>
      <c r="I199" s="3">
        <v>12000</v>
      </c>
      <c r="J199" s="3">
        <v>176000</v>
      </c>
      <c r="K199" s="3">
        <v>80000</v>
      </c>
    </row>
    <row r="200" spans="1:11" x14ac:dyDescent="0.3">
      <c r="A200" s="2">
        <v>45854</v>
      </c>
      <c r="B200" t="s">
        <v>231</v>
      </c>
      <c r="C200" t="s">
        <v>17</v>
      </c>
      <c r="D200" t="s">
        <v>13</v>
      </c>
      <c r="E200" t="s">
        <v>25</v>
      </c>
      <c r="F200" t="s">
        <v>15</v>
      </c>
      <c r="G200">
        <v>3</v>
      </c>
      <c r="H200" s="3">
        <v>22000</v>
      </c>
      <c r="I200" s="3">
        <v>12000</v>
      </c>
      <c r="J200" s="3">
        <v>66000</v>
      </c>
      <c r="K200" s="3">
        <v>30000</v>
      </c>
    </row>
    <row r="201" spans="1:11" x14ac:dyDescent="0.3">
      <c r="A201" s="2">
        <v>45870</v>
      </c>
      <c r="B201" t="s">
        <v>232</v>
      </c>
      <c r="C201" t="s">
        <v>48</v>
      </c>
      <c r="D201" t="s">
        <v>41</v>
      </c>
      <c r="E201" t="s">
        <v>25</v>
      </c>
      <c r="F201" t="s">
        <v>15</v>
      </c>
      <c r="G201">
        <v>5</v>
      </c>
      <c r="H201" s="3">
        <v>18000</v>
      </c>
      <c r="I201" s="3">
        <v>9000</v>
      </c>
      <c r="J201" s="3">
        <v>90000</v>
      </c>
      <c r="K201" s="3">
        <v>45000</v>
      </c>
    </row>
    <row r="202" spans="1:11" x14ac:dyDescent="0.3">
      <c r="A202" s="2">
        <v>45810</v>
      </c>
      <c r="B202" t="s">
        <v>233</v>
      </c>
      <c r="C202" t="s">
        <v>28</v>
      </c>
      <c r="D202" t="s">
        <v>21</v>
      </c>
      <c r="E202" t="s">
        <v>25</v>
      </c>
      <c r="F202" t="s">
        <v>22</v>
      </c>
      <c r="G202">
        <v>8</v>
      </c>
      <c r="H202" s="3">
        <v>15000</v>
      </c>
      <c r="I202" s="3">
        <v>7000</v>
      </c>
      <c r="J202" s="3">
        <v>120000</v>
      </c>
      <c r="K202" s="3">
        <v>64000</v>
      </c>
    </row>
    <row r="203" spans="1:11" x14ac:dyDescent="0.3">
      <c r="A203" s="2">
        <v>45933</v>
      </c>
      <c r="B203" t="s">
        <v>234</v>
      </c>
      <c r="C203" t="s">
        <v>40</v>
      </c>
      <c r="D203" t="s">
        <v>41</v>
      </c>
      <c r="E203" t="s">
        <v>46</v>
      </c>
      <c r="F203" t="s">
        <v>22</v>
      </c>
      <c r="G203">
        <v>6</v>
      </c>
      <c r="H203" s="3">
        <v>25000</v>
      </c>
      <c r="I203" s="3">
        <v>13000</v>
      </c>
      <c r="J203" s="3">
        <v>150000</v>
      </c>
      <c r="K203" s="3">
        <v>72000</v>
      </c>
    </row>
    <row r="204" spans="1:11" x14ac:dyDescent="0.3">
      <c r="A204" s="2">
        <v>45891</v>
      </c>
      <c r="B204" t="s">
        <v>235</v>
      </c>
      <c r="C204" t="s">
        <v>48</v>
      </c>
      <c r="D204" t="s">
        <v>41</v>
      </c>
      <c r="E204" t="s">
        <v>14</v>
      </c>
      <c r="F204" t="s">
        <v>26</v>
      </c>
      <c r="G204">
        <v>4</v>
      </c>
      <c r="H204" s="3">
        <v>18000</v>
      </c>
      <c r="I204" s="3">
        <v>9000</v>
      </c>
      <c r="J204" s="3">
        <v>72000</v>
      </c>
      <c r="K204" s="3">
        <v>36000</v>
      </c>
    </row>
    <row r="205" spans="1:11" x14ac:dyDescent="0.3">
      <c r="A205" s="2">
        <v>45950</v>
      </c>
      <c r="B205" t="s">
        <v>236</v>
      </c>
      <c r="C205" t="s">
        <v>50</v>
      </c>
      <c r="D205" t="s">
        <v>41</v>
      </c>
      <c r="E205" t="s">
        <v>46</v>
      </c>
      <c r="F205" t="s">
        <v>18</v>
      </c>
      <c r="G205">
        <v>4</v>
      </c>
      <c r="H205" s="3">
        <v>12000</v>
      </c>
      <c r="I205" s="3">
        <v>5500</v>
      </c>
      <c r="J205" s="3">
        <v>48000</v>
      </c>
      <c r="K205" s="3">
        <v>26000</v>
      </c>
    </row>
    <row r="206" spans="1:11" x14ac:dyDescent="0.3">
      <c r="A206" s="2">
        <v>45820</v>
      </c>
      <c r="B206" t="s">
        <v>237</v>
      </c>
      <c r="C206" t="s">
        <v>20</v>
      </c>
      <c r="D206" t="s">
        <v>21</v>
      </c>
      <c r="E206" t="s">
        <v>14</v>
      </c>
      <c r="F206" t="s">
        <v>22</v>
      </c>
      <c r="G206">
        <v>8</v>
      </c>
      <c r="H206" s="3">
        <v>12000</v>
      </c>
      <c r="I206" s="3">
        <v>5500</v>
      </c>
      <c r="J206" s="3">
        <v>96000</v>
      </c>
      <c r="K206" s="3">
        <v>52000</v>
      </c>
    </row>
    <row r="207" spans="1:11" x14ac:dyDescent="0.3">
      <c r="A207" s="2">
        <v>45855</v>
      </c>
      <c r="B207" t="s">
        <v>238</v>
      </c>
      <c r="C207" t="s">
        <v>44</v>
      </c>
      <c r="D207" t="s">
        <v>21</v>
      </c>
      <c r="E207" t="s">
        <v>46</v>
      </c>
      <c r="F207" t="s">
        <v>18</v>
      </c>
      <c r="G207">
        <v>3</v>
      </c>
      <c r="H207" s="3">
        <v>17000</v>
      </c>
      <c r="I207" s="3">
        <v>8000</v>
      </c>
      <c r="J207" s="3">
        <v>51000</v>
      </c>
      <c r="K207" s="3">
        <v>27000</v>
      </c>
    </row>
    <row r="208" spans="1:11" x14ac:dyDescent="0.3">
      <c r="A208" s="2">
        <v>45722</v>
      </c>
      <c r="B208" t="s">
        <v>239</v>
      </c>
      <c r="C208" t="s">
        <v>60</v>
      </c>
      <c r="D208" t="s">
        <v>21</v>
      </c>
      <c r="E208" t="s">
        <v>25</v>
      </c>
      <c r="F208" t="s">
        <v>22</v>
      </c>
      <c r="G208">
        <v>6</v>
      </c>
      <c r="H208" s="3">
        <v>14000</v>
      </c>
      <c r="I208" s="3">
        <v>6500</v>
      </c>
      <c r="J208" s="3">
        <v>84000</v>
      </c>
      <c r="K208" s="3">
        <v>45000</v>
      </c>
    </row>
    <row r="209" spans="1:11" x14ac:dyDescent="0.3">
      <c r="A209" s="2">
        <v>45709</v>
      </c>
      <c r="B209" t="s">
        <v>240</v>
      </c>
      <c r="C209" t="s">
        <v>60</v>
      </c>
      <c r="D209" t="s">
        <v>21</v>
      </c>
      <c r="E209" t="s">
        <v>25</v>
      </c>
      <c r="F209" t="s">
        <v>26</v>
      </c>
      <c r="G209">
        <v>8</v>
      </c>
      <c r="H209" s="3">
        <v>14000</v>
      </c>
      <c r="I209" s="3">
        <v>6500</v>
      </c>
      <c r="J209" s="3">
        <v>112000</v>
      </c>
      <c r="K209" s="3">
        <v>60000</v>
      </c>
    </row>
    <row r="210" spans="1:11" x14ac:dyDescent="0.3">
      <c r="A210" s="2">
        <v>45867</v>
      </c>
      <c r="B210" t="s">
        <v>241</v>
      </c>
      <c r="C210" t="s">
        <v>44</v>
      </c>
      <c r="D210" t="s">
        <v>21</v>
      </c>
      <c r="E210" t="s">
        <v>25</v>
      </c>
      <c r="F210" t="s">
        <v>22</v>
      </c>
      <c r="G210">
        <v>3</v>
      </c>
      <c r="H210" s="3">
        <v>17000</v>
      </c>
      <c r="I210" s="3">
        <v>8000</v>
      </c>
      <c r="J210" s="3">
        <v>51000</v>
      </c>
      <c r="K210" s="3">
        <v>27000</v>
      </c>
    </row>
    <row r="211" spans="1:11" x14ac:dyDescent="0.3">
      <c r="A211" s="2">
        <v>45793</v>
      </c>
      <c r="B211" t="s">
        <v>242</v>
      </c>
      <c r="C211" t="s">
        <v>48</v>
      </c>
      <c r="D211" t="s">
        <v>41</v>
      </c>
      <c r="E211" t="s">
        <v>14</v>
      </c>
      <c r="F211" t="s">
        <v>18</v>
      </c>
      <c r="G211">
        <v>7</v>
      </c>
      <c r="H211" s="3">
        <v>18000</v>
      </c>
      <c r="I211" s="3">
        <v>9000</v>
      </c>
      <c r="J211" s="3">
        <v>126000</v>
      </c>
      <c r="K211" s="3">
        <v>63000</v>
      </c>
    </row>
    <row r="212" spans="1:11" x14ac:dyDescent="0.3">
      <c r="A212" s="2">
        <v>45826</v>
      </c>
      <c r="B212" t="s">
        <v>243</v>
      </c>
      <c r="C212" t="s">
        <v>44</v>
      </c>
      <c r="D212" t="s">
        <v>21</v>
      </c>
      <c r="E212" t="s">
        <v>46</v>
      </c>
      <c r="F212" t="s">
        <v>22</v>
      </c>
      <c r="G212">
        <v>7</v>
      </c>
      <c r="H212" s="3">
        <v>17000</v>
      </c>
      <c r="I212" s="3">
        <v>8000</v>
      </c>
      <c r="J212" s="3">
        <v>119000</v>
      </c>
      <c r="K212" s="3">
        <v>63000</v>
      </c>
    </row>
    <row r="213" spans="1:11" x14ac:dyDescent="0.3">
      <c r="A213" s="2">
        <v>45935</v>
      </c>
      <c r="B213" t="s">
        <v>244</v>
      </c>
      <c r="C213" t="s">
        <v>24</v>
      </c>
      <c r="D213" t="s">
        <v>13</v>
      </c>
      <c r="E213" t="s">
        <v>25</v>
      </c>
      <c r="F213" t="s">
        <v>15</v>
      </c>
      <c r="G213">
        <v>2</v>
      </c>
      <c r="H213" s="3">
        <v>18000</v>
      </c>
      <c r="I213" s="3">
        <v>10000</v>
      </c>
      <c r="J213" s="3">
        <v>36000</v>
      </c>
      <c r="K213" s="3">
        <v>16000</v>
      </c>
    </row>
    <row r="214" spans="1:11" x14ac:dyDescent="0.3">
      <c r="A214" s="2">
        <v>45774</v>
      </c>
      <c r="B214" t="s">
        <v>245</v>
      </c>
      <c r="C214" t="s">
        <v>20</v>
      </c>
      <c r="D214" t="s">
        <v>21</v>
      </c>
      <c r="E214" t="s">
        <v>46</v>
      </c>
      <c r="F214" t="s">
        <v>18</v>
      </c>
      <c r="G214">
        <v>2</v>
      </c>
      <c r="H214" s="3">
        <v>12000</v>
      </c>
      <c r="I214" s="3">
        <v>5500</v>
      </c>
      <c r="J214" s="3">
        <v>24000</v>
      </c>
      <c r="K214" s="3">
        <v>13000</v>
      </c>
    </row>
    <row r="215" spans="1:11" x14ac:dyDescent="0.3">
      <c r="A215" s="2">
        <v>45982</v>
      </c>
      <c r="B215" t="s">
        <v>246</v>
      </c>
      <c r="C215" t="s">
        <v>20</v>
      </c>
      <c r="D215" t="s">
        <v>21</v>
      </c>
      <c r="E215" t="s">
        <v>46</v>
      </c>
      <c r="F215" t="s">
        <v>26</v>
      </c>
      <c r="G215">
        <v>2</v>
      </c>
      <c r="H215" s="3">
        <v>12000</v>
      </c>
      <c r="I215" s="3">
        <v>5500</v>
      </c>
      <c r="J215" s="3">
        <v>24000</v>
      </c>
      <c r="K215" s="3">
        <v>13000</v>
      </c>
    </row>
    <row r="216" spans="1:11" x14ac:dyDescent="0.3">
      <c r="A216" s="2">
        <v>46013</v>
      </c>
      <c r="B216" t="s">
        <v>247</v>
      </c>
      <c r="C216" t="s">
        <v>31</v>
      </c>
      <c r="D216" t="s">
        <v>13</v>
      </c>
      <c r="E216" t="s">
        <v>25</v>
      </c>
      <c r="F216" t="s">
        <v>15</v>
      </c>
      <c r="G216">
        <v>1</v>
      </c>
      <c r="H216" s="3">
        <v>10000</v>
      </c>
      <c r="I216" s="3">
        <v>4500</v>
      </c>
      <c r="J216" s="3">
        <v>10000</v>
      </c>
      <c r="K216" s="3">
        <v>5500</v>
      </c>
    </row>
    <row r="217" spans="1:11" x14ac:dyDescent="0.3">
      <c r="A217" s="2">
        <v>45686</v>
      </c>
      <c r="B217" t="s">
        <v>248</v>
      </c>
      <c r="C217" t="s">
        <v>31</v>
      </c>
      <c r="D217" t="s">
        <v>13</v>
      </c>
      <c r="E217" t="s">
        <v>46</v>
      </c>
      <c r="F217" t="s">
        <v>22</v>
      </c>
      <c r="G217">
        <v>6</v>
      </c>
      <c r="H217" s="3">
        <v>10000</v>
      </c>
      <c r="I217" s="3">
        <v>4500</v>
      </c>
      <c r="J217" s="3">
        <v>60000</v>
      </c>
      <c r="K217" s="3">
        <v>33000</v>
      </c>
    </row>
    <row r="218" spans="1:11" x14ac:dyDescent="0.3">
      <c r="A218" s="2">
        <v>45732</v>
      </c>
      <c r="B218" t="s">
        <v>249</v>
      </c>
      <c r="C218" t="s">
        <v>17</v>
      </c>
      <c r="D218" t="s">
        <v>13</v>
      </c>
      <c r="E218" t="s">
        <v>14</v>
      </c>
      <c r="F218" t="s">
        <v>26</v>
      </c>
      <c r="G218">
        <v>7</v>
      </c>
      <c r="H218" s="3">
        <v>22000</v>
      </c>
      <c r="I218" s="3">
        <v>12000</v>
      </c>
      <c r="J218" s="3">
        <v>154000</v>
      </c>
      <c r="K218" s="3">
        <v>70000</v>
      </c>
    </row>
    <row r="219" spans="1:11" x14ac:dyDescent="0.3">
      <c r="A219" s="2">
        <v>45745</v>
      </c>
      <c r="B219" t="s">
        <v>250</v>
      </c>
      <c r="C219" t="s">
        <v>70</v>
      </c>
      <c r="D219" t="s">
        <v>13</v>
      </c>
      <c r="E219" t="s">
        <v>14</v>
      </c>
      <c r="F219" t="s">
        <v>22</v>
      </c>
      <c r="G219">
        <v>2</v>
      </c>
      <c r="H219" s="3">
        <v>20000</v>
      </c>
      <c r="I219" s="3">
        <v>11000</v>
      </c>
      <c r="J219" s="3">
        <v>40000</v>
      </c>
      <c r="K219" s="3">
        <v>18000</v>
      </c>
    </row>
    <row r="220" spans="1:11" x14ac:dyDescent="0.3">
      <c r="A220" s="2">
        <v>45975</v>
      </c>
      <c r="B220" t="s">
        <v>251</v>
      </c>
      <c r="C220" t="s">
        <v>44</v>
      </c>
      <c r="D220" t="s">
        <v>21</v>
      </c>
      <c r="E220" t="s">
        <v>46</v>
      </c>
      <c r="F220" t="s">
        <v>26</v>
      </c>
      <c r="G220">
        <v>4</v>
      </c>
      <c r="H220" s="3">
        <v>17000</v>
      </c>
      <c r="I220" s="3">
        <v>8000</v>
      </c>
      <c r="J220" s="3">
        <v>68000</v>
      </c>
      <c r="K220" s="3">
        <v>36000</v>
      </c>
    </row>
    <row r="221" spans="1:11" x14ac:dyDescent="0.3">
      <c r="A221" s="2">
        <v>45776</v>
      </c>
      <c r="B221" t="s">
        <v>252</v>
      </c>
      <c r="C221" t="s">
        <v>40</v>
      </c>
      <c r="D221" t="s">
        <v>41</v>
      </c>
      <c r="E221" t="s">
        <v>46</v>
      </c>
      <c r="F221" t="s">
        <v>15</v>
      </c>
      <c r="G221">
        <v>5</v>
      </c>
      <c r="H221" s="3">
        <v>25000</v>
      </c>
      <c r="I221" s="3">
        <v>13000</v>
      </c>
      <c r="J221" s="3">
        <v>125000</v>
      </c>
      <c r="K221" s="3">
        <v>60000</v>
      </c>
    </row>
    <row r="222" spans="1:11" x14ac:dyDescent="0.3">
      <c r="A222" s="2">
        <v>45999</v>
      </c>
      <c r="B222" t="s">
        <v>253</v>
      </c>
      <c r="C222" t="s">
        <v>24</v>
      </c>
      <c r="D222" t="s">
        <v>13</v>
      </c>
      <c r="E222" t="s">
        <v>46</v>
      </c>
      <c r="F222" t="s">
        <v>26</v>
      </c>
      <c r="G222">
        <v>8</v>
      </c>
      <c r="H222" s="3">
        <v>18000</v>
      </c>
      <c r="I222" s="3">
        <v>10000</v>
      </c>
      <c r="J222" s="3">
        <v>144000</v>
      </c>
      <c r="K222" s="3">
        <v>64000</v>
      </c>
    </row>
    <row r="223" spans="1:11" x14ac:dyDescent="0.3">
      <c r="A223" s="2">
        <v>45695</v>
      </c>
      <c r="B223" t="s">
        <v>254</v>
      </c>
      <c r="C223" t="s">
        <v>40</v>
      </c>
      <c r="D223" t="s">
        <v>41</v>
      </c>
      <c r="E223" t="s">
        <v>14</v>
      </c>
      <c r="F223" t="s">
        <v>15</v>
      </c>
      <c r="G223">
        <v>6</v>
      </c>
      <c r="H223" s="3">
        <v>25000</v>
      </c>
      <c r="I223" s="3">
        <v>13000</v>
      </c>
      <c r="J223" s="3">
        <v>150000</v>
      </c>
      <c r="K223" s="3">
        <v>72000</v>
      </c>
    </row>
    <row r="224" spans="1:11" x14ac:dyDescent="0.3">
      <c r="A224" s="2">
        <v>45985</v>
      </c>
      <c r="B224" t="s">
        <v>255</v>
      </c>
      <c r="C224" t="s">
        <v>50</v>
      </c>
      <c r="D224" t="s">
        <v>41</v>
      </c>
      <c r="E224" t="s">
        <v>46</v>
      </c>
      <c r="F224" t="s">
        <v>15</v>
      </c>
      <c r="G224">
        <v>5</v>
      </c>
      <c r="H224" s="3">
        <v>12000</v>
      </c>
      <c r="I224" s="3">
        <v>5500</v>
      </c>
      <c r="J224" s="3">
        <v>60000</v>
      </c>
      <c r="K224" s="3">
        <v>32500</v>
      </c>
    </row>
    <row r="225" spans="1:11" x14ac:dyDescent="0.3">
      <c r="A225" s="2">
        <v>45759</v>
      </c>
      <c r="B225" t="s">
        <v>256</v>
      </c>
      <c r="C225" t="s">
        <v>50</v>
      </c>
      <c r="D225" t="s">
        <v>41</v>
      </c>
      <c r="E225" t="s">
        <v>25</v>
      </c>
      <c r="F225" t="s">
        <v>26</v>
      </c>
      <c r="G225">
        <v>8</v>
      </c>
      <c r="H225" s="3">
        <v>12000</v>
      </c>
      <c r="I225" s="3">
        <v>5500</v>
      </c>
      <c r="J225" s="3">
        <v>96000</v>
      </c>
      <c r="K225" s="3">
        <v>52000</v>
      </c>
    </row>
    <row r="226" spans="1:11" x14ac:dyDescent="0.3">
      <c r="A226" s="2">
        <v>45853</v>
      </c>
      <c r="B226" t="s">
        <v>257</v>
      </c>
      <c r="C226" t="s">
        <v>28</v>
      </c>
      <c r="D226" t="s">
        <v>21</v>
      </c>
      <c r="E226" t="s">
        <v>14</v>
      </c>
      <c r="F226" t="s">
        <v>15</v>
      </c>
      <c r="G226">
        <v>6</v>
      </c>
      <c r="H226" s="3">
        <v>15000</v>
      </c>
      <c r="I226" s="3">
        <v>7000</v>
      </c>
      <c r="J226" s="3">
        <v>90000</v>
      </c>
      <c r="K226" s="3">
        <v>48000</v>
      </c>
    </row>
    <row r="227" spans="1:11" x14ac:dyDescent="0.3">
      <c r="A227" s="2">
        <v>46016</v>
      </c>
      <c r="B227" t="s">
        <v>258</v>
      </c>
      <c r="C227" t="s">
        <v>31</v>
      </c>
      <c r="D227" t="s">
        <v>13</v>
      </c>
      <c r="E227" t="s">
        <v>14</v>
      </c>
      <c r="F227" t="s">
        <v>22</v>
      </c>
      <c r="G227">
        <v>1</v>
      </c>
      <c r="H227" s="3">
        <v>10000</v>
      </c>
      <c r="I227" s="3">
        <v>4500</v>
      </c>
      <c r="J227" s="3">
        <v>10000</v>
      </c>
      <c r="K227" s="3">
        <v>5500</v>
      </c>
    </row>
    <row r="228" spans="1:11" x14ac:dyDescent="0.3">
      <c r="A228" s="2">
        <v>45798</v>
      </c>
      <c r="B228" t="s">
        <v>259</v>
      </c>
      <c r="C228" t="s">
        <v>24</v>
      </c>
      <c r="D228" t="s">
        <v>13</v>
      </c>
      <c r="E228" t="s">
        <v>14</v>
      </c>
      <c r="F228" t="s">
        <v>22</v>
      </c>
      <c r="G228">
        <v>1</v>
      </c>
      <c r="H228" s="3">
        <v>18000</v>
      </c>
      <c r="I228" s="3">
        <v>10000</v>
      </c>
      <c r="J228" s="3">
        <v>18000</v>
      </c>
      <c r="K228" s="3">
        <v>8000</v>
      </c>
    </row>
    <row r="229" spans="1:11" x14ac:dyDescent="0.3">
      <c r="A229" s="2">
        <v>45804</v>
      </c>
      <c r="B229" t="s">
        <v>260</v>
      </c>
      <c r="C229" t="s">
        <v>17</v>
      </c>
      <c r="D229" t="s">
        <v>13</v>
      </c>
      <c r="E229" t="s">
        <v>25</v>
      </c>
      <c r="F229" t="s">
        <v>26</v>
      </c>
      <c r="G229">
        <v>6</v>
      </c>
      <c r="H229" s="3">
        <v>22000</v>
      </c>
      <c r="I229" s="3">
        <v>12000</v>
      </c>
      <c r="J229" s="3">
        <v>132000</v>
      </c>
      <c r="K229" s="3">
        <v>60000</v>
      </c>
    </row>
    <row r="230" spans="1:11" x14ac:dyDescent="0.3">
      <c r="A230" s="2">
        <v>45975</v>
      </c>
      <c r="B230" t="s">
        <v>261</v>
      </c>
      <c r="C230" t="s">
        <v>31</v>
      </c>
      <c r="D230" t="s">
        <v>13</v>
      </c>
      <c r="E230" t="s">
        <v>14</v>
      </c>
      <c r="F230" t="s">
        <v>18</v>
      </c>
      <c r="G230">
        <v>3</v>
      </c>
      <c r="H230" s="3">
        <v>10000</v>
      </c>
      <c r="I230" s="3">
        <v>4500</v>
      </c>
      <c r="J230" s="3">
        <v>30000</v>
      </c>
      <c r="K230" s="3">
        <v>16500</v>
      </c>
    </row>
    <row r="231" spans="1:11" x14ac:dyDescent="0.3">
      <c r="A231" s="2">
        <v>45979</v>
      </c>
      <c r="B231" t="s">
        <v>262</v>
      </c>
      <c r="C231" t="s">
        <v>44</v>
      </c>
      <c r="D231" t="s">
        <v>21</v>
      </c>
      <c r="E231" t="s">
        <v>46</v>
      </c>
      <c r="F231" t="s">
        <v>22</v>
      </c>
      <c r="G231">
        <v>1</v>
      </c>
      <c r="H231" s="3">
        <v>17000</v>
      </c>
      <c r="I231" s="3">
        <v>8000</v>
      </c>
      <c r="J231" s="3">
        <v>17000</v>
      </c>
      <c r="K231" s="3">
        <v>9000</v>
      </c>
    </row>
    <row r="232" spans="1:11" x14ac:dyDescent="0.3">
      <c r="A232" s="2">
        <v>45675</v>
      </c>
      <c r="B232" t="s">
        <v>263</v>
      </c>
      <c r="C232" t="s">
        <v>28</v>
      </c>
      <c r="D232" t="s">
        <v>21</v>
      </c>
      <c r="E232" t="s">
        <v>14</v>
      </c>
      <c r="F232" t="s">
        <v>26</v>
      </c>
      <c r="G232">
        <v>6</v>
      </c>
      <c r="H232" s="3">
        <v>15000</v>
      </c>
      <c r="I232" s="3">
        <v>7000</v>
      </c>
      <c r="J232" s="3">
        <v>90000</v>
      </c>
      <c r="K232" s="3">
        <v>48000</v>
      </c>
    </row>
    <row r="233" spans="1:11" x14ac:dyDescent="0.3">
      <c r="A233" s="2">
        <v>45704</v>
      </c>
      <c r="B233" t="s">
        <v>264</v>
      </c>
      <c r="C233" t="s">
        <v>31</v>
      </c>
      <c r="D233" t="s">
        <v>13</v>
      </c>
      <c r="E233" t="s">
        <v>14</v>
      </c>
      <c r="F233" t="s">
        <v>22</v>
      </c>
      <c r="G233">
        <v>6</v>
      </c>
      <c r="H233" s="3">
        <v>10000</v>
      </c>
      <c r="I233" s="3">
        <v>4500</v>
      </c>
      <c r="J233" s="3">
        <v>60000</v>
      </c>
      <c r="K233" s="3">
        <v>33000</v>
      </c>
    </row>
    <row r="234" spans="1:11" x14ac:dyDescent="0.3">
      <c r="A234" s="2">
        <v>45747</v>
      </c>
      <c r="B234" t="s">
        <v>265</v>
      </c>
      <c r="C234" t="s">
        <v>17</v>
      </c>
      <c r="D234" t="s">
        <v>13</v>
      </c>
      <c r="E234" t="s">
        <v>14</v>
      </c>
      <c r="F234" t="s">
        <v>15</v>
      </c>
      <c r="G234">
        <v>3</v>
      </c>
      <c r="H234" s="3">
        <v>22000</v>
      </c>
      <c r="I234" s="3">
        <v>12000</v>
      </c>
      <c r="J234" s="3">
        <v>66000</v>
      </c>
      <c r="K234" s="3">
        <v>30000</v>
      </c>
    </row>
    <row r="235" spans="1:11" x14ac:dyDescent="0.3">
      <c r="A235" s="2">
        <v>45929</v>
      </c>
      <c r="B235" t="s">
        <v>266</v>
      </c>
      <c r="C235" t="s">
        <v>60</v>
      </c>
      <c r="D235" t="s">
        <v>21</v>
      </c>
      <c r="E235" t="s">
        <v>25</v>
      </c>
      <c r="F235" t="s">
        <v>15</v>
      </c>
      <c r="G235">
        <v>5</v>
      </c>
      <c r="H235" s="3">
        <v>14000</v>
      </c>
      <c r="I235" s="3">
        <v>6500</v>
      </c>
      <c r="J235" s="3">
        <v>70000</v>
      </c>
      <c r="K235" s="3">
        <v>37500</v>
      </c>
    </row>
    <row r="236" spans="1:11" x14ac:dyDescent="0.3">
      <c r="A236" s="2">
        <v>45904</v>
      </c>
      <c r="B236" t="s">
        <v>267</v>
      </c>
      <c r="C236" t="s">
        <v>31</v>
      </c>
      <c r="D236" t="s">
        <v>13</v>
      </c>
      <c r="E236" t="s">
        <v>25</v>
      </c>
      <c r="F236" t="s">
        <v>22</v>
      </c>
      <c r="G236">
        <v>6</v>
      </c>
      <c r="H236" s="3">
        <v>10000</v>
      </c>
      <c r="I236" s="3">
        <v>4500</v>
      </c>
      <c r="J236" s="3">
        <v>60000</v>
      </c>
      <c r="K236" s="3">
        <v>33000</v>
      </c>
    </row>
    <row r="237" spans="1:11" x14ac:dyDescent="0.3">
      <c r="A237" s="2">
        <v>45696</v>
      </c>
      <c r="B237" t="s">
        <v>268</v>
      </c>
      <c r="C237" t="s">
        <v>70</v>
      </c>
      <c r="D237" t="s">
        <v>13</v>
      </c>
      <c r="E237" t="s">
        <v>14</v>
      </c>
      <c r="F237" t="s">
        <v>22</v>
      </c>
      <c r="G237">
        <v>4</v>
      </c>
      <c r="H237" s="3">
        <v>20000</v>
      </c>
      <c r="I237" s="3">
        <v>11000</v>
      </c>
      <c r="J237" s="3">
        <v>80000</v>
      </c>
      <c r="K237" s="3">
        <v>36000</v>
      </c>
    </row>
    <row r="238" spans="1:11" x14ac:dyDescent="0.3">
      <c r="A238" s="2">
        <v>45943</v>
      </c>
      <c r="B238" t="s">
        <v>269</v>
      </c>
      <c r="C238" t="s">
        <v>48</v>
      </c>
      <c r="D238" t="s">
        <v>41</v>
      </c>
      <c r="E238" t="s">
        <v>46</v>
      </c>
      <c r="F238" t="s">
        <v>18</v>
      </c>
      <c r="G238">
        <v>2</v>
      </c>
      <c r="H238" s="3">
        <v>18000</v>
      </c>
      <c r="I238" s="3">
        <v>9000</v>
      </c>
      <c r="J238" s="3">
        <v>36000</v>
      </c>
      <c r="K238" s="3">
        <v>18000</v>
      </c>
    </row>
    <row r="239" spans="1:11" x14ac:dyDescent="0.3">
      <c r="A239" s="2">
        <v>45793</v>
      </c>
      <c r="B239" t="s">
        <v>270</v>
      </c>
      <c r="C239" t="s">
        <v>60</v>
      </c>
      <c r="D239" t="s">
        <v>21</v>
      </c>
      <c r="E239" t="s">
        <v>46</v>
      </c>
      <c r="F239" t="s">
        <v>15</v>
      </c>
      <c r="G239">
        <v>2</v>
      </c>
      <c r="H239" s="3">
        <v>14000</v>
      </c>
      <c r="I239" s="3">
        <v>6500</v>
      </c>
      <c r="J239" s="3">
        <v>28000</v>
      </c>
      <c r="K239" s="3">
        <v>15000</v>
      </c>
    </row>
    <row r="240" spans="1:11" x14ac:dyDescent="0.3">
      <c r="A240" s="2">
        <v>46002</v>
      </c>
      <c r="B240" t="s">
        <v>271</v>
      </c>
      <c r="C240" t="s">
        <v>20</v>
      </c>
      <c r="D240" t="s">
        <v>21</v>
      </c>
      <c r="E240" t="s">
        <v>14</v>
      </c>
      <c r="F240" t="s">
        <v>22</v>
      </c>
      <c r="G240">
        <v>5</v>
      </c>
      <c r="H240" s="3">
        <v>12000</v>
      </c>
      <c r="I240" s="3">
        <v>5500</v>
      </c>
      <c r="J240" s="3">
        <v>60000</v>
      </c>
      <c r="K240" s="3">
        <v>32500</v>
      </c>
    </row>
    <row r="241" spans="1:11" x14ac:dyDescent="0.3">
      <c r="A241" s="2">
        <v>45984</v>
      </c>
      <c r="B241" t="s">
        <v>272</v>
      </c>
      <c r="C241" t="s">
        <v>48</v>
      </c>
      <c r="D241" t="s">
        <v>41</v>
      </c>
      <c r="E241" t="s">
        <v>14</v>
      </c>
      <c r="F241" t="s">
        <v>26</v>
      </c>
      <c r="G241">
        <v>2</v>
      </c>
      <c r="H241" s="3">
        <v>18000</v>
      </c>
      <c r="I241" s="3">
        <v>9000</v>
      </c>
      <c r="J241" s="3">
        <v>36000</v>
      </c>
      <c r="K241" s="3">
        <v>18000</v>
      </c>
    </row>
    <row r="242" spans="1:11" x14ac:dyDescent="0.3">
      <c r="A242" s="2">
        <v>45899</v>
      </c>
      <c r="B242" t="s">
        <v>273</v>
      </c>
      <c r="C242" t="s">
        <v>24</v>
      </c>
      <c r="D242" t="s">
        <v>13</v>
      </c>
      <c r="E242" t="s">
        <v>14</v>
      </c>
      <c r="F242" t="s">
        <v>26</v>
      </c>
      <c r="G242">
        <v>6</v>
      </c>
      <c r="H242" s="3">
        <v>18000</v>
      </c>
      <c r="I242" s="3">
        <v>10000</v>
      </c>
      <c r="J242" s="3">
        <v>108000</v>
      </c>
      <c r="K242" s="3">
        <v>48000</v>
      </c>
    </row>
    <row r="243" spans="1:11" x14ac:dyDescent="0.3">
      <c r="A243" s="2">
        <v>45989</v>
      </c>
      <c r="B243" t="s">
        <v>274</v>
      </c>
      <c r="C243" t="s">
        <v>12</v>
      </c>
      <c r="D243" t="s">
        <v>13</v>
      </c>
      <c r="E243" t="s">
        <v>14</v>
      </c>
      <c r="F243" t="s">
        <v>15</v>
      </c>
      <c r="G243">
        <v>8</v>
      </c>
      <c r="H243" s="3">
        <v>15000</v>
      </c>
      <c r="I243" s="3">
        <v>8000</v>
      </c>
      <c r="J243" s="3">
        <v>120000</v>
      </c>
      <c r="K243" s="3">
        <v>56000</v>
      </c>
    </row>
    <row r="244" spans="1:11" x14ac:dyDescent="0.3">
      <c r="A244" s="2">
        <v>45990</v>
      </c>
      <c r="B244" t="s">
        <v>275</v>
      </c>
      <c r="C244" t="s">
        <v>50</v>
      </c>
      <c r="D244" t="s">
        <v>41</v>
      </c>
      <c r="E244" t="s">
        <v>25</v>
      </c>
      <c r="F244" t="s">
        <v>18</v>
      </c>
      <c r="G244">
        <v>2</v>
      </c>
      <c r="H244" s="3">
        <v>12000</v>
      </c>
      <c r="I244" s="3">
        <v>5500</v>
      </c>
      <c r="J244" s="3">
        <v>24000</v>
      </c>
      <c r="K244" s="3">
        <v>13000</v>
      </c>
    </row>
    <row r="245" spans="1:11" x14ac:dyDescent="0.3">
      <c r="A245" s="2">
        <v>45677</v>
      </c>
      <c r="B245" t="s">
        <v>276</v>
      </c>
      <c r="C245" t="s">
        <v>31</v>
      </c>
      <c r="D245" t="s">
        <v>13</v>
      </c>
      <c r="E245" t="s">
        <v>25</v>
      </c>
      <c r="F245" t="s">
        <v>18</v>
      </c>
      <c r="G245">
        <v>8</v>
      </c>
      <c r="H245" s="3">
        <v>10000</v>
      </c>
      <c r="I245" s="3">
        <v>4500</v>
      </c>
      <c r="J245" s="3">
        <v>80000</v>
      </c>
      <c r="K245" s="3">
        <v>44000</v>
      </c>
    </row>
    <row r="246" spans="1:11" x14ac:dyDescent="0.3">
      <c r="A246" s="2">
        <v>45778</v>
      </c>
      <c r="B246" t="s">
        <v>277</v>
      </c>
      <c r="C246" t="s">
        <v>60</v>
      </c>
      <c r="D246" t="s">
        <v>21</v>
      </c>
      <c r="E246" t="s">
        <v>46</v>
      </c>
      <c r="F246" t="s">
        <v>22</v>
      </c>
      <c r="G246">
        <v>3</v>
      </c>
      <c r="H246" s="3">
        <v>14000</v>
      </c>
      <c r="I246" s="3">
        <v>6500</v>
      </c>
      <c r="J246" s="3">
        <v>42000</v>
      </c>
      <c r="K246" s="3">
        <v>22500</v>
      </c>
    </row>
    <row r="247" spans="1:11" x14ac:dyDescent="0.3">
      <c r="A247" s="2">
        <v>45847</v>
      </c>
      <c r="B247" t="s">
        <v>278</v>
      </c>
      <c r="C247" t="s">
        <v>44</v>
      </c>
      <c r="D247" t="s">
        <v>21</v>
      </c>
      <c r="E247" t="s">
        <v>14</v>
      </c>
      <c r="F247" t="s">
        <v>26</v>
      </c>
      <c r="G247">
        <v>7</v>
      </c>
      <c r="H247" s="3">
        <v>17000</v>
      </c>
      <c r="I247" s="3">
        <v>8000</v>
      </c>
      <c r="J247" s="3">
        <v>119000</v>
      </c>
      <c r="K247" s="3">
        <v>63000</v>
      </c>
    </row>
    <row r="248" spans="1:11" x14ac:dyDescent="0.3">
      <c r="A248" s="2">
        <v>45870</v>
      </c>
      <c r="B248" t="s">
        <v>279</v>
      </c>
      <c r="C248" t="s">
        <v>44</v>
      </c>
      <c r="D248" t="s">
        <v>21</v>
      </c>
      <c r="E248" t="s">
        <v>46</v>
      </c>
      <c r="F248" t="s">
        <v>22</v>
      </c>
      <c r="G248">
        <v>2</v>
      </c>
      <c r="H248" s="3">
        <v>17000</v>
      </c>
      <c r="I248" s="3">
        <v>8000</v>
      </c>
      <c r="J248" s="3">
        <v>34000</v>
      </c>
      <c r="K248" s="3">
        <v>18000</v>
      </c>
    </row>
    <row r="249" spans="1:11" x14ac:dyDescent="0.3">
      <c r="A249" s="2">
        <v>45801</v>
      </c>
      <c r="B249" t="s">
        <v>280</v>
      </c>
      <c r="C249" t="s">
        <v>24</v>
      </c>
      <c r="D249" t="s">
        <v>13</v>
      </c>
      <c r="E249" t="s">
        <v>25</v>
      </c>
      <c r="F249" t="s">
        <v>22</v>
      </c>
      <c r="G249">
        <v>6</v>
      </c>
      <c r="H249" s="3">
        <v>18000</v>
      </c>
      <c r="I249" s="3">
        <v>10000</v>
      </c>
      <c r="J249" s="3">
        <v>108000</v>
      </c>
      <c r="K249" s="3">
        <v>48000</v>
      </c>
    </row>
    <row r="250" spans="1:11" x14ac:dyDescent="0.3">
      <c r="A250" s="2">
        <v>45885</v>
      </c>
      <c r="B250" t="s">
        <v>281</v>
      </c>
      <c r="C250" t="s">
        <v>17</v>
      </c>
      <c r="D250" t="s">
        <v>13</v>
      </c>
      <c r="E250" t="s">
        <v>25</v>
      </c>
      <c r="F250" t="s">
        <v>15</v>
      </c>
      <c r="G250">
        <v>6</v>
      </c>
      <c r="H250" s="3">
        <v>22000</v>
      </c>
      <c r="I250" s="3">
        <v>12000</v>
      </c>
      <c r="J250" s="3">
        <v>132000</v>
      </c>
      <c r="K250" s="3">
        <v>60000</v>
      </c>
    </row>
    <row r="251" spans="1:11" x14ac:dyDescent="0.3">
      <c r="A251" s="2">
        <v>45936</v>
      </c>
      <c r="B251" t="s">
        <v>282</v>
      </c>
      <c r="C251" t="s">
        <v>44</v>
      </c>
      <c r="D251" t="s">
        <v>21</v>
      </c>
      <c r="E251" t="s">
        <v>25</v>
      </c>
      <c r="F251" t="s">
        <v>22</v>
      </c>
      <c r="G251">
        <v>6</v>
      </c>
      <c r="H251" s="3">
        <v>17000</v>
      </c>
      <c r="I251" s="3">
        <v>8000</v>
      </c>
      <c r="J251" s="3">
        <v>102000</v>
      </c>
      <c r="K251" s="3">
        <v>54000</v>
      </c>
    </row>
    <row r="252" spans="1:11" x14ac:dyDescent="0.3">
      <c r="A252" s="2">
        <v>45799</v>
      </c>
      <c r="B252" t="s">
        <v>283</v>
      </c>
      <c r="C252" t="s">
        <v>17</v>
      </c>
      <c r="D252" t="s">
        <v>13</v>
      </c>
      <c r="E252" t="s">
        <v>46</v>
      </c>
      <c r="F252" t="s">
        <v>18</v>
      </c>
      <c r="G252">
        <v>2</v>
      </c>
      <c r="H252" s="3">
        <v>22000</v>
      </c>
      <c r="I252" s="3">
        <v>12000</v>
      </c>
      <c r="J252" s="3">
        <v>44000</v>
      </c>
      <c r="K252" s="3">
        <v>20000</v>
      </c>
    </row>
    <row r="253" spans="1:11" x14ac:dyDescent="0.3">
      <c r="A253" s="2">
        <v>45997</v>
      </c>
      <c r="B253" t="s">
        <v>284</v>
      </c>
      <c r="C253" t="s">
        <v>17</v>
      </c>
      <c r="D253" t="s">
        <v>13</v>
      </c>
      <c r="E253" t="s">
        <v>25</v>
      </c>
      <c r="F253" t="s">
        <v>15</v>
      </c>
      <c r="G253">
        <v>1</v>
      </c>
      <c r="H253" s="3">
        <v>22000</v>
      </c>
      <c r="I253" s="3">
        <v>12000</v>
      </c>
      <c r="J253" s="3">
        <v>22000</v>
      </c>
      <c r="K253" s="3">
        <v>10000</v>
      </c>
    </row>
    <row r="254" spans="1:11" x14ac:dyDescent="0.3">
      <c r="A254" s="2">
        <v>45782</v>
      </c>
      <c r="B254" t="s">
        <v>285</v>
      </c>
      <c r="C254" t="s">
        <v>70</v>
      </c>
      <c r="D254" t="s">
        <v>13</v>
      </c>
      <c r="E254" t="s">
        <v>25</v>
      </c>
      <c r="F254" t="s">
        <v>26</v>
      </c>
      <c r="G254">
        <v>4</v>
      </c>
      <c r="H254" s="3">
        <v>20000</v>
      </c>
      <c r="I254" s="3">
        <v>11000</v>
      </c>
      <c r="J254" s="3">
        <v>80000</v>
      </c>
      <c r="K254" s="3">
        <v>36000</v>
      </c>
    </row>
    <row r="255" spans="1:11" x14ac:dyDescent="0.3">
      <c r="A255" s="2">
        <v>45958</v>
      </c>
      <c r="B255" t="s">
        <v>286</v>
      </c>
      <c r="C255" t="s">
        <v>17</v>
      </c>
      <c r="D255" t="s">
        <v>13</v>
      </c>
      <c r="E255" t="s">
        <v>46</v>
      </c>
      <c r="F255" t="s">
        <v>26</v>
      </c>
      <c r="G255">
        <v>4</v>
      </c>
      <c r="H255" s="3">
        <v>22000</v>
      </c>
      <c r="I255" s="3">
        <v>12000</v>
      </c>
      <c r="J255" s="3">
        <v>88000</v>
      </c>
      <c r="K255" s="3">
        <v>40000</v>
      </c>
    </row>
    <row r="256" spans="1:11" x14ac:dyDescent="0.3">
      <c r="A256" s="2">
        <v>45963</v>
      </c>
      <c r="B256" t="s">
        <v>287</v>
      </c>
      <c r="C256" t="s">
        <v>24</v>
      </c>
      <c r="D256" t="s">
        <v>13</v>
      </c>
      <c r="E256" t="s">
        <v>25</v>
      </c>
      <c r="F256" t="s">
        <v>26</v>
      </c>
      <c r="G256">
        <v>5</v>
      </c>
      <c r="H256" s="3">
        <v>18000</v>
      </c>
      <c r="I256" s="3">
        <v>10000</v>
      </c>
      <c r="J256" s="3">
        <v>90000</v>
      </c>
      <c r="K256" s="3">
        <v>40000</v>
      </c>
    </row>
    <row r="257" spans="1:11" x14ac:dyDescent="0.3">
      <c r="A257" s="2">
        <v>45934</v>
      </c>
      <c r="B257" t="s">
        <v>288</v>
      </c>
      <c r="C257" t="s">
        <v>31</v>
      </c>
      <c r="D257" t="s">
        <v>13</v>
      </c>
      <c r="E257" t="s">
        <v>25</v>
      </c>
      <c r="F257" t="s">
        <v>18</v>
      </c>
      <c r="G257">
        <v>3</v>
      </c>
      <c r="H257" s="3">
        <v>10000</v>
      </c>
      <c r="I257" s="3">
        <v>4500</v>
      </c>
      <c r="J257" s="3">
        <v>30000</v>
      </c>
      <c r="K257" s="3">
        <v>16500</v>
      </c>
    </row>
    <row r="258" spans="1:11" x14ac:dyDescent="0.3">
      <c r="A258" s="2">
        <v>45725</v>
      </c>
      <c r="B258" t="s">
        <v>289</v>
      </c>
      <c r="C258" t="s">
        <v>24</v>
      </c>
      <c r="D258" t="s">
        <v>13</v>
      </c>
      <c r="E258" t="s">
        <v>25</v>
      </c>
      <c r="F258" t="s">
        <v>15</v>
      </c>
      <c r="G258">
        <v>6</v>
      </c>
      <c r="H258" s="3">
        <v>18000</v>
      </c>
      <c r="I258" s="3">
        <v>10000</v>
      </c>
      <c r="J258" s="3">
        <v>108000</v>
      </c>
      <c r="K258" s="3">
        <v>48000</v>
      </c>
    </row>
    <row r="259" spans="1:11" x14ac:dyDescent="0.3">
      <c r="A259" s="2">
        <v>45666</v>
      </c>
      <c r="B259" t="s">
        <v>290</v>
      </c>
      <c r="C259" t="s">
        <v>70</v>
      </c>
      <c r="D259" t="s">
        <v>13</v>
      </c>
      <c r="E259" t="s">
        <v>25</v>
      </c>
      <c r="F259" t="s">
        <v>26</v>
      </c>
      <c r="G259">
        <v>5</v>
      </c>
      <c r="H259" s="3">
        <v>20000</v>
      </c>
      <c r="I259" s="3">
        <v>11000</v>
      </c>
      <c r="J259" s="3">
        <v>100000</v>
      </c>
      <c r="K259" s="3">
        <v>45000</v>
      </c>
    </row>
    <row r="260" spans="1:11" x14ac:dyDescent="0.3">
      <c r="A260" s="2">
        <v>45873</v>
      </c>
      <c r="B260" t="s">
        <v>291</v>
      </c>
      <c r="C260" t="s">
        <v>60</v>
      </c>
      <c r="D260" t="s">
        <v>21</v>
      </c>
      <c r="E260" t="s">
        <v>14</v>
      </c>
      <c r="F260" t="s">
        <v>18</v>
      </c>
      <c r="G260">
        <v>2</v>
      </c>
      <c r="H260" s="3">
        <v>14000</v>
      </c>
      <c r="I260" s="3">
        <v>6500</v>
      </c>
      <c r="J260" s="3">
        <v>28000</v>
      </c>
      <c r="K260" s="3">
        <v>15000</v>
      </c>
    </row>
    <row r="261" spans="1:11" x14ac:dyDescent="0.3">
      <c r="A261" s="2">
        <v>45901</v>
      </c>
      <c r="B261" t="s">
        <v>292</v>
      </c>
      <c r="C261" t="s">
        <v>40</v>
      </c>
      <c r="D261" t="s">
        <v>41</v>
      </c>
      <c r="E261" t="s">
        <v>14</v>
      </c>
      <c r="F261" t="s">
        <v>18</v>
      </c>
      <c r="G261">
        <v>6</v>
      </c>
      <c r="H261" s="3">
        <v>25000</v>
      </c>
      <c r="I261" s="3">
        <v>13000</v>
      </c>
      <c r="J261" s="3">
        <v>150000</v>
      </c>
      <c r="K261" s="3">
        <v>72000</v>
      </c>
    </row>
    <row r="262" spans="1:11" x14ac:dyDescent="0.3">
      <c r="A262" s="2">
        <v>45889</v>
      </c>
      <c r="B262" t="s">
        <v>293</v>
      </c>
      <c r="C262" t="s">
        <v>60</v>
      </c>
      <c r="D262" t="s">
        <v>21</v>
      </c>
      <c r="E262" t="s">
        <v>14</v>
      </c>
      <c r="F262" t="s">
        <v>18</v>
      </c>
      <c r="G262">
        <v>4</v>
      </c>
      <c r="H262" s="3">
        <v>14000</v>
      </c>
      <c r="I262" s="3">
        <v>6500</v>
      </c>
      <c r="J262" s="3">
        <v>56000</v>
      </c>
      <c r="K262" s="3">
        <v>30000</v>
      </c>
    </row>
    <row r="263" spans="1:11" x14ac:dyDescent="0.3">
      <c r="A263" s="2">
        <v>45995</v>
      </c>
      <c r="B263" t="s">
        <v>294</v>
      </c>
      <c r="C263" t="s">
        <v>60</v>
      </c>
      <c r="D263" t="s">
        <v>21</v>
      </c>
      <c r="E263" t="s">
        <v>46</v>
      </c>
      <c r="F263" t="s">
        <v>18</v>
      </c>
      <c r="G263">
        <v>5</v>
      </c>
      <c r="H263" s="3">
        <v>14000</v>
      </c>
      <c r="I263" s="3">
        <v>6500</v>
      </c>
      <c r="J263" s="3">
        <v>70000</v>
      </c>
      <c r="K263" s="3">
        <v>37500</v>
      </c>
    </row>
    <row r="264" spans="1:11" x14ac:dyDescent="0.3">
      <c r="A264" s="2">
        <v>45689</v>
      </c>
      <c r="B264" t="s">
        <v>295</v>
      </c>
      <c r="C264" t="s">
        <v>40</v>
      </c>
      <c r="D264" t="s">
        <v>41</v>
      </c>
      <c r="E264" t="s">
        <v>46</v>
      </c>
      <c r="F264" t="s">
        <v>18</v>
      </c>
      <c r="G264">
        <v>7</v>
      </c>
      <c r="H264" s="3">
        <v>25000</v>
      </c>
      <c r="I264" s="3">
        <v>13000</v>
      </c>
      <c r="J264" s="3">
        <v>175000</v>
      </c>
      <c r="K264" s="3">
        <v>84000</v>
      </c>
    </row>
    <row r="265" spans="1:11" x14ac:dyDescent="0.3">
      <c r="A265" s="2">
        <v>45909</v>
      </c>
      <c r="B265" t="s">
        <v>296</v>
      </c>
      <c r="C265" t="s">
        <v>20</v>
      </c>
      <c r="D265" t="s">
        <v>21</v>
      </c>
      <c r="E265" t="s">
        <v>25</v>
      </c>
      <c r="F265" t="s">
        <v>18</v>
      </c>
      <c r="G265">
        <v>8</v>
      </c>
      <c r="H265" s="3">
        <v>12000</v>
      </c>
      <c r="I265" s="3">
        <v>5500</v>
      </c>
      <c r="J265" s="3">
        <v>96000</v>
      </c>
      <c r="K265" s="3">
        <v>52000</v>
      </c>
    </row>
    <row r="266" spans="1:11" x14ac:dyDescent="0.3">
      <c r="A266" s="2">
        <v>45822</v>
      </c>
      <c r="B266" t="s">
        <v>297</v>
      </c>
      <c r="C266" t="s">
        <v>28</v>
      </c>
      <c r="D266" t="s">
        <v>21</v>
      </c>
      <c r="E266" t="s">
        <v>25</v>
      </c>
      <c r="F266" t="s">
        <v>26</v>
      </c>
      <c r="G266">
        <v>3</v>
      </c>
      <c r="H266" s="3">
        <v>15000</v>
      </c>
      <c r="I266" s="3">
        <v>7000</v>
      </c>
      <c r="J266" s="3">
        <v>45000</v>
      </c>
      <c r="K266" s="3">
        <v>24000</v>
      </c>
    </row>
    <row r="267" spans="1:11" x14ac:dyDescent="0.3">
      <c r="A267" s="2">
        <v>45798</v>
      </c>
      <c r="B267" t="s">
        <v>298</v>
      </c>
      <c r="C267" t="s">
        <v>28</v>
      </c>
      <c r="D267" t="s">
        <v>21</v>
      </c>
      <c r="E267" t="s">
        <v>46</v>
      </c>
      <c r="F267" t="s">
        <v>15</v>
      </c>
      <c r="G267">
        <v>6</v>
      </c>
      <c r="H267" s="3">
        <v>15000</v>
      </c>
      <c r="I267" s="3">
        <v>7000</v>
      </c>
      <c r="J267" s="3">
        <v>90000</v>
      </c>
      <c r="K267" s="3">
        <v>48000</v>
      </c>
    </row>
    <row r="268" spans="1:11" x14ac:dyDescent="0.3">
      <c r="A268" s="2">
        <v>45890</v>
      </c>
      <c r="B268" t="s">
        <v>299</v>
      </c>
      <c r="C268" t="s">
        <v>60</v>
      </c>
      <c r="D268" t="s">
        <v>21</v>
      </c>
      <c r="E268" t="s">
        <v>25</v>
      </c>
      <c r="F268" t="s">
        <v>18</v>
      </c>
      <c r="G268">
        <v>7</v>
      </c>
      <c r="H268" s="3">
        <v>14000</v>
      </c>
      <c r="I268" s="3">
        <v>6500</v>
      </c>
      <c r="J268" s="3">
        <v>98000</v>
      </c>
      <c r="K268" s="3">
        <v>52500</v>
      </c>
    </row>
    <row r="269" spans="1:11" x14ac:dyDescent="0.3">
      <c r="A269" s="2">
        <v>45993</v>
      </c>
      <c r="B269" t="s">
        <v>300</v>
      </c>
      <c r="C269" t="s">
        <v>44</v>
      </c>
      <c r="D269" t="s">
        <v>21</v>
      </c>
      <c r="E269" t="s">
        <v>46</v>
      </c>
      <c r="F269" t="s">
        <v>22</v>
      </c>
      <c r="G269">
        <v>4</v>
      </c>
      <c r="H269" s="3">
        <v>17000</v>
      </c>
      <c r="I269" s="3">
        <v>8000</v>
      </c>
      <c r="J269" s="3">
        <v>68000</v>
      </c>
      <c r="K269" s="3">
        <v>36000</v>
      </c>
    </row>
    <row r="270" spans="1:11" x14ac:dyDescent="0.3">
      <c r="A270" s="2">
        <v>45774</v>
      </c>
      <c r="B270" t="s">
        <v>301</v>
      </c>
      <c r="C270" t="s">
        <v>50</v>
      </c>
      <c r="D270" t="s">
        <v>41</v>
      </c>
      <c r="E270" t="s">
        <v>46</v>
      </c>
      <c r="F270" t="s">
        <v>22</v>
      </c>
      <c r="G270">
        <v>6</v>
      </c>
      <c r="H270" s="3">
        <v>12000</v>
      </c>
      <c r="I270" s="3">
        <v>5500</v>
      </c>
      <c r="J270" s="3">
        <v>72000</v>
      </c>
      <c r="K270" s="3">
        <v>39000</v>
      </c>
    </row>
    <row r="271" spans="1:11" x14ac:dyDescent="0.3">
      <c r="A271" s="2">
        <v>45870</v>
      </c>
      <c r="B271" t="s">
        <v>302</v>
      </c>
      <c r="C271" t="s">
        <v>20</v>
      </c>
      <c r="D271" t="s">
        <v>21</v>
      </c>
      <c r="E271" t="s">
        <v>46</v>
      </c>
      <c r="F271" t="s">
        <v>22</v>
      </c>
      <c r="G271">
        <v>2</v>
      </c>
      <c r="H271" s="3">
        <v>12000</v>
      </c>
      <c r="I271" s="3">
        <v>5500</v>
      </c>
      <c r="J271" s="3">
        <v>24000</v>
      </c>
      <c r="K271" s="3">
        <v>13000</v>
      </c>
    </row>
    <row r="272" spans="1:11" x14ac:dyDescent="0.3">
      <c r="A272" s="2">
        <v>45818</v>
      </c>
      <c r="B272" t="s">
        <v>303</v>
      </c>
      <c r="C272" t="s">
        <v>44</v>
      </c>
      <c r="D272" t="s">
        <v>21</v>
      </c>
      <c r="E272" t="s">
        <v>46</v>
      </c>
      <c r="F272" t="s">
        <v>26</v>
      </c>
      <c r="G272">
        <v>5</v>
      </c>
      <c r="H272" s="3">
        <v>17000</v>
      </c>
      <c r="I272" s="3">
        <v>8000</v>
      </c>
      <c r="J272" s="3">
        <v>85000</v>
      </c>
      <c r="K272" s="3">
        <v>45000</v>
      </c>
    </row>
    <row r="273" spans="1:11" x14ac:dyDescent="0.3">
      <c r="A273" s="2">
        <v>46009</v>
      </c>
      <c r="B273" t="s">
        <v>304</v>
      </c>
      <c r="C273" t="s">
        <v>40</v>
      </c>
      <c r="D273" t="s">
        <v>41</v>
      </c>
      <c r="E273" t="s">
        <v>25</v>
      </c>
      <c r="F273" t="s">
        <v>18</v>
      </c>
      <c r="G273">
        <v>2</v>
      </c>
      <c r="H273" s="3">
        <v>25000</v>
      </c>
      <c r="I273" s="3">
        <v>13000</v>
      </c>
      <c r="J273" s="3">
        <v>50000</v>
      </c>
      <c r="K273" s="3">
        <v>24000</v>
      </c>
    </row>
    <row r="274" spans="1:11" x14ac:dyDescent="0.3">
      <c r="A274" s="2">
        <v>45705</v>
      </c>
      <c r="B274" t="s">
        <v>305</v>
      </c>
      <c r="C274" t="s">
        <v>50</v>
      </c>
      <c r="D274" t="s">
        <v>41</v>
      </c>
      <c r="E274" t="s">
        <v>14</v>
      </c>
      <c r="F274" t="s">
        <v>15</v>
      </c>
      <c r="G274">
        <v>2</v>
      </c>
      <c r="H274" s="3">
        <v>12000</v>
      </c>
      <c r="I274" s="3">
        <v>5500</v>
      </c>
      <c r="J274" s="3">
        <v>24000</v>
      </c>
      <c r="K274" s="3">
        <v>13000</v>
      </c>
    </row>
    <row r="275" spans="1:11" x14ac:dyDescent="0.3">
      <c r="A275" s="2">
        <v>45724</v>
      </c>
      <c r="B275" t="s">
        <v>306</v>
      </c>
      <c r="C275" t="s">
        <v>60</v>
      </c>
      <c r="D275" t="s">
        <v>21</v>
      </c>
      <c r="E275" t="s">
        <v>14</v>
      </c>
      <c r="F275" t="s">
        <v>15</v>
      </c>
      <c r="G275">
        <v>1</v>
      </c>
      <c r="H275" s="3">
        <v>14000</v>
      </c>
      <c r="I275" s="3">
        <v>6500</v>
      </c>
      <c r="J275" s="3">
        <v>14000</v>
      </c>
      <c r="K275" s="3">
        <v>7500</v>
      </c>
    </row>
    <row r="276" spans="1:11" x14ac:dyDescent="0.3">
      <c r="A276" s="2">
        <v>46001</v>
      </c>
      <c r="B276" t="s">
        <v>307</v>
      </c>
      <c r="C276" t="s">
        <v>12</v>
      </c>
      <c r="D276" t="s">
        <v>13</v>
      </c>
      <c r="E276" t="s">
        <v>46</v>
      </c>
      <c r="F276" t="s">
        <v>22</v>
      </c>
      <c r="G276">
        <v>7</v>
      </c>
      <c r="H276" s="3">
        <v>15000</v>
      </c>
      <c r="I276" s="3">
        <v>8000</v>
      </c>
      <c r="J276" s="3">
        <v>105000</v>
      </c>
      <c r="K276" s="3">
        <v>49000</v>
      </c>
    </row>
    <row r="277" spans="1:11" x14ac:dyDescent="0.3">
      <c r="A277" s="2">
        <v>45684</v>
      </c>
      <c r="B277" t="s">
        <v>308</v>
      </c>
      <c r="C277" t="s">
        <v>31</v>
      </c>
      <c r="D277" t="s">
        <v>13</v>
      </c>
      <c r="E277" t="s">
        <v>46</v>
      </c>
      <c r="F277" t="s">
        <v>18</v>
      </c>
      <c r="G277">
        <v>5</v>
      </c>
      <c r="H277" s="3">
        <v>10000</v>
      </c>
      <c r="I277" s="3">
        <v>4500</v>
      </c>
      <c r="J277" s="3">
        <v>50000</v>
      </c>
      <c r="K277" s="3">
        <v>27500</v>
      </c>
    </row>
    <row r="278" spans="1:11" x14ac:dyDescent="0.3">
      <c r="A278" s="2">
        <v>45953</v>
      </c>
      <c r="B278" t="s">
        <v>309</v>
      </c>
      <c r="C278" t="s">
        <v>60</v>
      </c>
      <c r="D278" t="s">
        <v>21</v>
      </c>
      <c r="E278" t="s">
        <v>25</v>
      </c>
      <c r="F278" t="s">
        <v>22</v>
      </c>
      <c r="G278">
        <v>4</v>
      </c>
      <c r="H278" s="3">
        <v>14000</v>
      </c>
      <c r="I278" s="3">
        <v>6500</v>
      </c>
      <c r="J278" s="3">
        <v>56000</v>
      </c>
      <c r="K278" s="3">
        <v>30000</v>
      </c>
    </row>
    <row r="279" spans="1:11" x14ac:dyDescent="0.3">
      <c r="A279" s="2">
        <v>45772</v>
      </c>
      <c r="B279" t="s">
        <v>310</v>
      </c>
      <c r="C279" t="s">
        <v>12</v>
      </c>
      <c r="D279" t="s">
        <v>13</v>
      </c>
      <c r="E279" t="s">
        <v>14</v>
      </c>
      <c r="F279" t="s">
        <v>15</v>
      </c>
      <c r="G279">
        <v>6</v>
      </c>
      <c r="H279" s="3">
        <v>15000</v>
      </c>
      <c r="I279" s="3">
        <v>8000</v>
      </c>
      <c r="J279" s="3">
        <v>90000</v>
      </c>
      <c r="K279" s="3">
        <v>42000</v>
      </c>
    </row>
    <row r="280" spans="1:11" x14ac:dyDescent="0.3">
      <c r="A280" s="2">
        <v>45716</v>
      </c>
      <c r="B280" t="s">
        <v>311</v>
      </c>
      <c r="C280" t="s">
        <v>31</v>
      </c>
      <c r="D280" t="s">
        <v>13</v>
      </c>
      <c r="E280" t="s">
        <v>46</v>
      </c>
      <c r="F280" t="s">
        <v>18</v>
      </c>
      <c r="G280">
        <v>4</v>
      </c>
      <c r="H280" s="3">
        <v>10000</v>
      </c>
      <c r="I280" s="3">
        <v>4500</v>
      </c>
      <c r="J280" s="3">
        <v>40000</v>
      </c>
      <c r="K280" s="3">
        <v>22000</v>
      </c>
    </row>
    <row r="281" spans="1:11" x14ac:dyDescent="0.3">
      <c r="A281" s="2">
        <v>45969</v>
      </c>
      <c r="B281" t="s">
        <v>312</v>
      </c>
      <c r="C281" t="s">
        <v>44</v>
      </c>
      <c r="D281" t="s">
        <v>21</v>
      </c>
      <c r="E281" t="s">
        <v>25</v>
      </c>
      <c r="F281" t="s">
        <v>26</v>
      </c>
      <c r="G281">
        <v>5</v>
      </c>
      <c r="H281" s="3">
        <v>17000</v>
      </c>
      <c r="I281" s="3">
        <v>8000</v>
      </c>
      <c r="J281" s="3">
        <v>85000</v>
      </c>
      <c r="K281" s="3">
        <v>45000</v>
      </c>
    </row>
    <row r="282" spans="1:11" x14ac:dyDescent="0.3">
      <c r="A282" s="2">
        <v>45797</v>
      </c>
      <c r="B282" t="s">
        <v>313</v>
      </c>
      <c r="C282" t="s">
        <v>20</v>
      </c>
      <c r="D282" t="s">
        <v>21</v>
      </c>
      <c r="E282" t="s">
        <v>46</v>
      </c>
      <c r="F282" t="s">
        <v>15</v>
      </c>
      <c r="G282">
        <v>5</v>
      </c>
      <c r="H282" s="3">
        <v>12000</v>
      </c>
      <c r="I282" s="3">
        <v>5500</v>
      </c>
      <c r="J282" s="3">
        <v>60000</v>
      </c>
      <c r="K282" s="3">
        <v>32500</v>
      </c>
    </row>
    <row r="283" spans="1:11" x14ac:dyDescent="0.3">
      <c r="A283" s="2">
        <v>45661</v>
      </c>
      <c r="B283" t="s">
        <v>314</v>
      </c>
      <c r="C283" t="s">
        <v>70</v>
      </c>
      <c r="D283" t="s">
        <v>13</v>
      </c>
      <c r="E283" t="s">
        <v>14</v>
      </c>
      <c r="F283" t="s">
        <v>22</v>
      </c>
      <c r="G283">
        <v>3</v>
      </c>
      <c r="H283" s="3">
        <v>20000</v>
      </c>
      <c r="I283" s="3">
        <v>11000</v>
      </c>
      <c r="J283" s="3">
        <v>60000</v>
      </c>
      <c r="K283" s="3">
        <v>27000</v>
      </c>
    </row>
    <row r="284" spans="1:11" x14ac:dyDescent="0.3">
      <c r="A284" s="2">
        <v>45693</v>
      </c>
      <c r="B284" t="s">
        <v>315</v>
      </c>
      <c r="C284" t="s">
        <v>70</v>
      </c>
      <c r="D284" t="s">
        <v>13</v>
      </c>
      <c r="E284" t="s">
        <v>25</v>
      </c>
      <c r="F284" t="s">
        <v>26</v>
      </c>
      <c r="G284">
        <v>1</v>
      </c>
      <c r="H284" s="3">
        <v>20000</v>
      </c>
      <c r="I284" s="3">
        <v>11000</v>
      </c>
      <c r="J284" s="3">
        <v>20000</v>
      </c>
      <c r="K284" s="3">
        <v>9000</v>
      </c>
    </row>
    <row r="285" spans="1:11" x14ac:dyDescent="0.3">
      <c r="A285" s="2">
        <v>45850</v>
      </c>
      <c r="B285" t="s">
        <v>316</v>
      </c>
      <c r="C285" t="s">
        <v>50</v>
      </c>
      <c r="D285" t="s">
        <v>41</v>
      </c>
      <c r="E285" t="s">
        <v>46</v>
      </c>
      <c r="F285" t="s">
        <v>26</v>
      </c>
      <c r="G285">
        <v>8</v>
      </c>
      <c r="H285" s="3">
        <v>12000</v>
      </c>
      <c r="I285" s="3">
        <v>5500</v>
      </c>
      <c r="J285" s="3">
        <v>96000</v>
      </c>
      <c r="K285" s="3">
        <v>52000</v>
      </c>
    </row>
    <row r="286" spans="1:11" x14ac:dyDescent="0.3">
      <c r="A286" s="2">
        <v>45847</v>
      </c>
      <c r="B286" t="s">
        <v>317</v>
      </c>
      <c r="C286" t="s">
        <v>31</v>
      </c>
      <c r="D286" t="s">
        <v>13</v>
      </c>
      <c r="E286" t="s">
        <v>14</v>
      </c>
      <c r="F286" t="s">
        <v>18</v>
      </c>
      <c r="G286">
        <v>6</v>
      </c>
      <c r="H286" s="3">
        <v>10000</v>
      </c>
      <c r="I286" s="3">
        <v>4500</v>
      </c>
      <c r="J286" s="3">
        <v>60000</v>
      </c>
      <c r="K286" s="3">
        <v>33000</v>
      </c>
    </row>
    <row r="287" spans="1:11" x14ac:dyDescent="0.3">
      <c r="A287" s="2">
        <v>45684</v>
      </c>
      <c r="B287" t="s">
        <v>318</v>
      </c>
      <c r="C287" t="s">
        <v>70</v>
      </c>
      <c r="D287" t="s">
        <v>13</v>
      </c>
      <c r="E287" t="s">
        <v>14</v>
      </c>
      <c r="F287" t="s">
        <v>18</v>
      </c>
      <c r="G287">
        <v>3</v>
      </c>
      <c r="H287" s="3">
        <v>20000</v>
      </c>
      <c r="I287" s="3">
        <v>11000</v>
      </c>
      <c r="J287" s="3">
        <v>60000</v>
      </c>
      <c r="K287" s="3">
        <v>27000</v>
      </c>
    </row>
    <row r="288" spans="1:11" x14ac:dyDescent="0.3">
      <c r="A288" s="2">
        <v>46003</v>
      </c>
      <c r="B288" t="s">
        <v>319</v>
      </c>
      <c r="C288" t="s">
        <v>12</v>
      </c>
      <c r="D288" t="s">
        <v>13</v>
      </c>
      <c r="E288" t="s">
        <v>46</v>
      </c>
      <c r="F288" t="s">
        <v>22</v>
      </c>
      <c r="G288">
        <v>5</v>
      </c>
      <c r="H288" s="3">
        <v>15000</v>
      </c>
      <c r="I288" s="3">
        <v>8000</v>
      </c>
      <c r="J288" s="3">
        <v>75000</v>
      </c>
      <c r="K288" s="3">
        <v>35000</v>
      </c>
    </row>
    <row r="289" spans="1:11" x14ac:dyDescent="0.3">
      <c r="A289" s="2">
        <v>45906</v>
      </c>
      <c r="B289" t="s">
        <v>320</v>
      </c>
      <c r="C289" t="s">
        <v>28</v>
      </c>
      <c r="D289" t="s">
        <v>21</v>
      </c>
      <c r="E289" t="s">
        <v>46</v>
      </c>
      <c r="F289" t="s">
        <v>15</v>
      </c>
      <c r="G289">
        <v>8</v>
      </c>
      <c r="H289" s="3">
        <v>15000</v>
      </c>
      <c r="I289" s="3">
        <v>7000</v>
      </c>
      <c r="J289" s="3">
        <v>120000</v>
      </c>
      <c r="K289" s="3">
        <v>64000</v>
      </c>
    </row>
    <row r="290" spans="1:11" x14ac:dyDescent="0.3">
      <c r="A290" s="2">
        <v>45768</v>
      </c>
      <c r="B290" t="s">
        <v>321</v>
      </c>
      <c r="C290" t="s">
        <v>60</v>
      </c>
      <c r="D290" t="s">
        <v>21</v>
      </c>
      <c r="E290" t="s">
        <v>46</v>
      </c>
      <c r="F290" t="s">
        <v>22</v>
      </c>
      <c r="G290">
        <v>2</v>
      </c>
      <c r="H290" s="3">
        <v>14000</v>
      </c>
      <c r="I290" s="3">
        <v>6500</v>
      </c>
      <c r="J290" s="3">
        <v>28000</v>
      </c>
      <c r="K290" s="3">
        <v>15000</v>
      </c>
    </row>
    <row r="291" spans="1:11" x14ac:dyDescent="0.3">
      <c r="A291" s="2">
        <v>45714</v>
      </c>
      <c r="B291" t="s">
        <v>322</v>
      </c>
      <c r="C291" t="s">
        <v>31</v>
      </c>
      <c r="D291" t="s">
        <v>13</v>
      </c>
      <c r="E291" t="s">
        <v>14</v>
      </c>
      <c r="F291" t="s">
        <v>15</v>
      </c>
      <c r="G291">
        <v>8</v>
      </c>
      <c r="H291" s="3">
        <v>10000</v>
      </c>
      <c r="I291" s="3">
        <v>4500</v>
      </c>
      <c r="J291" s="3">
        <v>80000</v>
      </c>
      <c r="K291" s="3">
        <v>44000</v>
      </c>
    </row>
    <row r="292" spans="1:11" x14ac:dyDescent="0.3">
      <c r="A292" s="2">
        <v>45681</v>
      </c>
      <c r="B292" t="s">
        <v>323</v>
      </c>
      <c r="C292" t="s">
        <v>17</v>
      </c>
      <c r="D292" t="s">
        <v>13</v>
      </c>
      <c r="E292" t="s">
        <v>14</v>
      </c>
      <c r="F292" t="s">
        <v>18</v>
      </c>
      <c r="G292">
        <v>7</v>
      </c>
      <c r="H292" s="3">
        <v>22000</v>
      </c>
      <c r="I292" s="3">
        <v>12000</v>
      </c>
      <c r="J292" s="3">
        <v>154000</v>
      </c>
      <c r="K292" s="3">
        <v>70000</v>
      </c>
    </row>
    <row r="293" spans="1:11" x14ac:dyDescent="0.3">
      <c r="A293" s="2">
        <v>45661</v>
      </c>
      <c r="B293" t="s">
        <v>324</v>
      </c>
      <c r="C293" t="s">
        <v>17</v>
      </c>
      <c r="D293" t="s">
        <v>13</v>
      </c>
      <c r="E293" t="s">
        <v>25</v>
      </c>
      <c r="F293" t="s">
        <v>26</v>
      </c>
      <c r="G293">
        <v>5</v>
      </c>
      <c r="H293" s="3">
        <v>22000</v>
      </c>
      <c r="I293" s="3">
        <v>12000</v>
      </c>
      <c r="J293" s="3">
        <v>110000</v>
      </c>
      <c r="K293" s="3">
        <v>50000</v>
      </c>
    </row>
    <row r="294" spans="1:11" x14ac:dyDescent="0.3">
      <c r="A294" s="2">
        <v>45788</v>
      </c>
      <c r="B294" t="s">
        <v>325</v>
      </c>
      <c r="C294" t="s">
        <v>31</v>
      </c>
      <c r="D294" t="s">
        <v>13</v>
      </c>
      <c r="E294" t="s">
        <v>25</v>
      </c>
      <c r="F294" t="s">
        <v>18</v>
      </c>
      <c r="G294">
        <v>6</v>
      </c>
      <c r="H294" s="3">
        <v>10000</v>
      </c>
      <c r="I294" s="3">
        <v>4500</v>
      </c>
      <c r="J294" s="3">
        <v>60000</v>
      </c>
      <c r="K294" s="3">
        <v>33000</v>
      </c>
    </row>
    <row r="295" spans="1:11" x14ac:dyDescent="0.3">
      <c r="A295" s="2">
        <v>45912</v>
      </c>
      <c r="B295" t="s">
        <v>326</v>
      </c>
      <c r="C295" t="s">
        <v>20</v>
      </c>
      <c r="D295" t="s">
        <v>21</v>
      </c>
      <c r="E295" t="s">
        <v>25</v>
      </c>
      <c r="F295" t="s">
        <v>26</v>
      </c>
      <c r="G295">
        <v>7</v>
      </c>
      <c r="H295" s="3">
        <v>12000</v>
      </c>
      <c r="I295" s="3">
        <v>5500</v>
      </c>
      <c r="J295" s="3">
        <v>84000</v>
      </c>
      <c r="K295" s="3">
        <v>45500</v>
      </c>
    </row>
    <row r="296" spans="1:11" x14ac:dyDescent="0.3">
      <c r="A296" s="2">
        <v>45852</v>
      </c>
      <c r="B296" t="s">
        <v>327</v>
      </c>
      <c r="C296" t="s">
        <v>60</v>
      </c>
      <c r="D296" t="s">
        <v>21</v>
      </c>
      <c r="E296" t="s">
        <v>14</v>
      </c>
      <c r="F296" t="s">
        <v>15</v>
      </c>
      <c r="G296">
        <v>4</v>
      </c>
      <c r="H296" s="3">
        <v>14000</v>
      </c>
      <c r="I296" s="3">
        <v>6500</v>
      </c>
      <c r="J296" s="3">
        <v>56000</v>
      </c>
      <c r="K296" s="3">
        <v>30000</v>
      </c>
    </row>
    <row r="297" spans="1:11" x14ac:dyDescent="0.3">
      <c r="A297" s="2">
        <v>45694</v>
      </c>
      <c r="B297" t="s">
        <v>328</v>
      </c>
      <c r="C297" t="s">
        <v>50</v>
      </c>
      <c r="D297" t="s">
        <v>41</v>
      </c>
      <c r="E297" t="s">
        <v>46</v>
      </c>
      <c r="F297" t="s">
        <v>18</v>
      </c>
      <c r="G297">
        <v>1</v>
      </c>
      <c r="H297" s="3">
        <v>12000</v>
      </c>
      <c r="I297" s="3">
        <v>5500</v>
      </c>
      <c r="J297" s="3">
        <v>12000</v>
      </c>
      <c r="K297" s="3">
        <v>6500</v>
      </c>
    </row>
    <row r="298" spans="1:11" x14ac:dyDescent="0.3">
      <c r="A298" s="2">
        <v>45893</v>
      </c>
      <c r="B298" t="s">
        <v>329</v>
      </c>
      <c r="C298" t="s">
        <v>12</v>
      </c>
      <c r="D298" t="s">
        <v>13</v>
      </c>
      <c r="E298" t="s">
        <v>14</v>
      </c>
      <c r="F298" t="s">
        <v>22</v>
      </c>
      <c r="G298">
        <v>6</v>
      </c>
      <c r="H298" s="3">
        <v>15000</v>
      </c>
      <c r="I298" s="3">
        <v>8000</v>
      </c>
      <c r="J298" s="3">
        <v>90000</v>
      </c>
      <c r="K298" s="3">
        <v>42000</v>
      </c>
    </row>
    <row r="299" spans="1:11" x14ac:dyDescent="0.3">
      <c r="A299" s="2">
        <v>45951</v>
      </c>
      <c r="B299" t="s">
        <v>330</v>
      </c>
      <c r="C299" t="s">
        <v>50</v>
      </c>
      <c r="D299" t="s">
        <v>41</v>
      </c>
      <c r="E299" t="s">
        <v>46</v>
      </c>
      <c r="F299" t="s">
        <v>18</v>
      </c>
      <c r="G299">
        <v>7</v>
      </c>
      <c r="H299" s="3">
        <v>12000</v>
      </c>
      <c r="I299" s="3">
        <v>5500</v>
      </c>
      <c r="J299" s="3">
        <v>84000</v>
      </c>
      <c r="K299" s="3">
        <v>45500</v>
      </c>
    </row>
    <row r="300" spans="1:11" x14ac:dyDescent="0.3">
      <c r="A300" s="2">
        <v>45865</v>
      </c>
      <c r="B300" t="s">
        <v>331</v>
      </c>
      <c r="C300" t="s">
        <v>24</v>
      </c>
      <c r="D300" t="s">
        <v>13</v>
      </c>
      <c r="E300" t="s">
        <v>25</v>
      </c>
      <c r="F300" t="s">
        <v>22</v>
      </c>
      <c r="G300">
        <v>6</v>
      </c>
      <c r="H300" s="3">
        <v>18000</v>
      </c>
      <c r="I300" s="3">
        <v>10000</v>
      </c>
      <c r="J300" s="3">
        <v>108000</v>
      </c>
      <c r="K300" s="3">
        <v>48000</v>
      </c>
    </row>
    <row r="301" spans="1:11" x14ac:dyDescent="0.3">
      <c r="A301" s="2">
        <v>46011</v>
      </c>
      <c r="B301" t="s">
        <v>332</v>
      </c>
      <c r="C301" t="s">
        <v>48</v>
      </c>
      <c r="D301" t="s">
        <v>41</v>
      </c>
      <c r="E301" t="s">
        <v>46</v>
      </c>
      <c r="F301" t="s">
        <v>18</v>
      </c>
      <c r="G301">
        <v>2</v>
      </c>
      <c r="H301" s="3">
        <v>18000</v>
      </c>
      <c r="I301" s="3">
        <v>9000</v>
      </c>
      <c r="J301" s="3">
        <v>36000</v>
      </c>
      <c r="K301" s="3">
        <v>18000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3"/>
  <sheetViews>
    <sheetView workbookViewId="0">
      <pane ySplit="1" topLeftCell="A29" activePane="bottomLeft" state="frozen"/>
      <selection pane="bottomLeft" activeCell="B40" sqref="B40"/>
    </sheetView>
  </sheetViews>
  <sheetFormatPr defaultRowHeight="14.4" x14ac:dyDescent="0.3"/>
  <cols>
    <col min="1" max="1" width="18" customWidth="1"/>
    <col min="2" max="2" width="95" customWidth="1"/>
  </cols>
  <sheetData>
    <row r="1" spans="1:2" ht="21.6" customHeight="1" x14ac:dyDescent="0.3">
      <c r="A1" s="16" t="s">
        <v>333</v>
      </c>
      <c r="B1" s="17"/>
    </row>
    <row r="2" spans="1:2" x14ac:dyDescent="0.3">
      <c r="A2" s="4" t="s">
        <v>334</v>
      </c>
      <c r="B2" s="4" t="s">
        <v>335</v>
      </c>
    </row>
    <row r="3" spans="1:2" x14ac:dyDescent="0.3">
      <c r="A3" s="4" t="s">
        <v>336</v>
      </c>
      <c r="B3" s="4" t="s">
        <v>337</v>
      </c>
    </row>
    <row r="4" spans="1:2" x14ac:dyDescent="0.3">
      <c r="A4" s="4" t="s">
        <v>338</v>
      </c>
      <c r="B4" s="4" t="s">
        <v>339</v>
      </c>
    </row>
    <row r="5" spans="1:2" x14ac:dyDescent="0.3">
      <c r="A5" s="4"/>
      <c r="B5" s="4"/>
    </row>
    <row r="6" spans="1:2" ht="28.8" x14ac:dyDescent="0.3">
      <c r="A6" s="5" t="s">
        <v>340</v>
      </c>
      <c r="B6" s="5"/>
    </row>
    <row r="7" spans="1:2" x14ac:dyDescent="0.3">
      <c r="A7" s="4" t="s">
        <v>341</v>
      </c>
      <c r="B7" s="4" t="s">
        <v>342</v>
      </c>
    </row>
    <row r="8" spans="1:2" x14ac:dyDescent="0.3">
      <c r="A8" s="4" t="s">
        <v>343</v>
      </c>
      <c r="B8" s="4" t="s">
        <v>344</v>
      </c>
    </row>
    <row r="9" spans="1:2" x14ac:dyDescent="0.3">
      <c r="A9" s="4" t="s">
        <v>345</v>
      </c>
      <c r="B9" s="4" t="s">
        <v>346</v>
      </c>
    </row>
    <row r="10" spans="1:2" x14ac:dyDescent="0.3">
      <c r="A10" s="4" t="s">
        <v>347</v>
      </c>
      <c r="B10" s="4" t="s">
        <v>348</v>
      </c>
    </row>
    <row r="11" spans="1:2" x14ac:dyDescent="0.3">
      <c r="A11" s="4" t="s">
        <v>349</v>
      </c>
      <c r="B11" s="4" t="s">
        <v>350</v>
      </c>
    </row>
    <row r="12" spans="1:2" x14ac:dyDescent="0.3">
      <c r="A12" s="4"/>
      <c r="B12" s="4"/>
    </row>
    <row r="13" spans="1:2" ht="28.8" x14ac:dyDescent="0.3">
      <c r="A13" s="4" t="s">
        <v>351</v>
      </c>
      <c r="B13" s="4"/>
    </row>
    <row r="14" spans="1:2" x14ac:dyDescent="0.3">
      <c r="A14" s="5" t="s">
        <v>352</v>
      </c>
      <c r="B14" s="5" t="s">
        <v>353</v>
      </c>
    </row>
    <row r="15" spans="1:2" x14ac:dyDescent="0.3">
      <c r="A15" s="4" t="s">
        <v>354</v>
      </c>
      <c r="B15" s="4" t="s">
        <v>355</v>
      </c>
    </row>
    <row r="16" spans="1:2" x14ac:dyDescent="0.3">
      <c r="A16" s="4" t="s">
        <v>356</v>
      </c>
      <c r="B16" s="4" t="s">
        <v>357</v>
      </c>
    </row>
    <row r="17" spans="1:2" x14ac:dyDescent="0.3">
      <c r="A17" s="4"/>
      <c r="B17" s="4"/>
    </row>
    <row r="18" spans="1:2" ht="28.8" x14ac:dyDescent="0.3">
      <c r="A18" s="4" t="s">
        <v>358</v>
      </c>
      <c r="B18" s="4"/>
    </row>
    <row r="19" spans="1:2" x14ac:dyDescent="0.3">
      <c r="A19" s="4" t="s">
        <v>359</v>
      </c>
      <c r="B19" s="4" t="s">
        <v>360</v>
      </c>
    </row>
    <row r="20" spans="1:2" x14ac:dyDescent="0.3">
      <c r="A20" s="4" t="s">
        <v>361</v>
      </c>
      <c r="B20" s="4" t="s">
        <v>362</v>
      </c>
    </row>
    <row r="21" spans="1:2" x14ac:dyDescent="0.3">
      <c r="A21" s="5" t="s">
        <v>363</v>
      </c>
      <c r="B21" s="5" t="s">
        <v>364</v>
      </c>
    </row>
    <row r="22" spans="1:2" x14ac:dyDescent="0.3">
      <c r="A22" s="4"/>
      <c r="B22" s="4"/>
    </row>
    <row r="23" spans="1:2" ht="28.8" x14ac:dyDescent="0.3">
      <c r="A23" s="4" t="s">
        <v>365</v>
      </c>
      <c r="B23" s="4"/>
    </row>
    <row r="24" spans="1:2" x14ac:dyDescent="0.3">
      <c r="A24" s="4" t="s">
        <v>366</v>
      </c>
      <c r="B24" s="4" t="s">
        <v>367</v>
      </c>
    </row>
    <row r="25" spans="1:2" x14ac:dyDescent="0.3">
      <c r="A25" s="4" t="s">
        <v>368</v>
      </c>
      <c r="B25" s="4" t="s">
        <v>369</v>
      </c>
    </row>
    <row r="26" spans="1:2" x14ac:dyDescent="0.3">
      <c r="A26" s="4" t="s">
        <v>370</v>
      </c>
      <c r="B26" s="4" t="s">
        <v>371</v>
      </c>
    </row>
    <row r="27" spans="1:2" x14ac:dyDescent="0.3">
      <c r="A27" s="4" t="s">
        <v>372</v>
      </c>
      <c r="B27" s="4" t="s">
        <v>373</v>
      </c>
    </row>
    <row r="28" spans="1:2" x14ac:dyDescent="0.3">
      <c r="A28" s="5"/>
      <c r="B28" s="5"/>
    </row>
    <row r="29" spans="1:2" ht="28.8" x14ac:dyDescent="0.3">
      <c r="A29" s="4" t="s">
        <v>374</v>
      </c>
      <c r="B29" s="4"/>
    </row>
    <row r="30" spans="1:2" x14ac:dyDescent="0.3">
      <c r="A30" s="4" t="s">
        <v>375</v>
      </c>
      <c r="B30" s="4" t="s">
        <v>376</v>
      </c>
    </row>
    <row r="31" spans="1:2" x14ac:dyDescent="0.3">
      <c r="A31" s="4" t="s">
        <v>377</v>
      </c>
      <c r="B31" s="4" t="s">
        <v>378</v>
      </c>
    </row>
    <row r="32" spans="1:2" x14ac:dyDescent="0.3">
      <c r="A32" s="4" t="s">
        <v>379</v>
      </c>
      <c r="B32" s="4" t="s">
        <v>380</v>
      </c>
    </row>
    <row r="33" spans="1:2" x14ac:dyDescent="0.3">
      <c r="A33" s="4" t="s">
        <v>381</v>
      </c>
      <c r="B33" s="4" t="s">
        <v>382</v>
      </c>
    </row>
    <row r="34" spans="1:2" x14ac:dyDescent="0.3">
      <c r="A34" s="4" t="s">
        <v>383</v>
      </c>
      <c r="B34" s="4" t="s">
        <v>384</v>
      </c>
    </row>
    <row r="35" spans="1:2" x14ac:dyDescent="0.3">
      <c r="A35" s="4"/>
      <c r="B35" s="4"/>
    </row>
    <row r="36" spans="1:2" ht="28.8" x14ac:dyDescent="0.3">
      <c r="A36" s="4" t="s">
        <v>385</v>
      </c>
      <c r="B36" s="4"/>
    </row>
    <row r="37" spans="1:2" x14ac:dyDescent="0.3">
      <c r="A37" s="4" t="s">
        <v>386</v>
      </c>
      <c r="B37" s="4" t="s">
        <v>387</v>
      </c>
    </row>
    <row r="38" spans="1:2" x14ac:dyDescent="0.3">
      <c r="A38" s="4" t="s">
        <v>388</v>
      </c>
      <c r="B38" s="4" t="s">
        <v>389</v>
      </c>
    </row>
    <row r="39" spans="1:2" x14ac:dyDescent="0.3">
      <c r="A39" s="5" t="s">
        <v>390</v>
      </c>
      <c r="B39" s="5" t="s">
        <v>391</v>
      </c>
    </row>
    <row r="40" spans="1:2" x14ac:dyDescent="0.3">
      <c r="A40" s="4" t="s">
        <v>392</v>
      </c>
      <c r="B40" s="4" t="s">
        <v>393</v>
      </c>
    </row>
    <row r="41" spans="1:2" x14ac:dyDescent="0.3">
      <c r="A41" s="4" t="s">
        <v>394</v>
      </c>
      <c r="B41" s="4" t="s">
        <v>395</v>
      </c>
    </row>
    <row r="42" spans="1:2" x14ac:dyDescent="0.3">
      <c r="A42" s="4" t="s">
        <v>396</v>
      </c>
      <c r="B42" s="4" t="s">
        <v>397</v>
      </c>
    </row>
    <row r="43" spans="1:2" x14ac:dyDescent="0.3">
      <c r="A43" s="4" t="s">
        <v>398</v>
      </c>
      <c r="B43" s="4" t="s">
        <v>399</v>
      </c>
    </row>
    <row r="44" spans="1:2" x14ac:dyDescent="0.3">
      <c r="A44" s="4" t="s">
        <v>400</v>
      </c>
      <c r="B44" s="4" t="s">
        <v>401</v>
      </c>
    </row>
    <row r="45" spans="1:2" x14ac:dyDescent="0.3">
      <c r="A45" s="4" t="s">
        <v>402</v>
      </c>
      <c r="B45" s="4" t="s">
        <v>403</v>
      </c>
    </row>
    <row r="46" spans="1:2" x14ac:dyDescent="0.3">
      <c r="A46" s="4" t="s">
        <v>404</v>
      </c>
      <c r="B46" s="4" t="s">
        <v>405</v>
      </c>
    </row>
    <row r="47" spans="1:2" x14ac:dyDescent="0.3">
      <c r="A47" s="4"/>
      <c r="B47" s="4"/>
    </row>
    <row r="48" spans="1:2" x14ac:dyDescent="0.3">
      <c r="A48" s="4" t="s">
        <v>406</v>
      </c>
      <c r="B48" s="4"/>
    </row>
    <row r="49" spans="1:2" x14ac:dyDescent="0.3">
      <c r="A49" s="4" t="s">
        <v>407</v>
      </c>
      <c r="B49" s="4" t="s">
        <v>408</v>
      </c>
    </row>
    <row r="50" spans="1:2" x14ac:dyDescent="0.3">
      <c r="A50" s="4" t="s">
        <v>409</v>
      </c>
      <c r="B50" s="4" t="s">
        <v>410</v>
      </c>
    </row>
    <row r="51" spans="1:2" x14ac:dyDescent="0.3">
      <c r="A51" s="4" t="s">
        <v>411</v>
      </c>
      <c r="B51" s="4" t="s">
        <v>412</v>
      </c>
    </row>
    <row r="52" spans="1:2" x14ac:dyDescent="0.3">
      <c r="A52" s="4" t="s">
        <v>413</v>
      </c>
      <c r="B52" s="4" t="s">
        <v>414</v>
      </c>
    </row>
    <row r="53" spans="1:2" x14ac:dyDescent="0.3">
      <c r="A53" s="4" t="s">
        <v>415</v>
      </c>
      <c r="B53" s="4" t="s">
        <v>416</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5BFBE-3FC2-45CF-87F4-45BFFA01B845}">
  <dimension ref="A1:Z237"/>
  <sheetViews>
    <sheetView topLeftCell="E1" zoomScale="50" zoomScaleNormal="50" workbookViewId="0">
      <selection activeCell="F5" sqref="F5"/>
    </sheetView>
  </sheetViews>
  <sheetFormatPr defaultRowHeight="14.4" x14ac:dyDescent="0.3"/>
  <cols>
    <col min="1" max="1" width="19.21875" bestFit="1" customWidth="1"/>
    <col min="2" max="2" width="23" style="11" bestFit="1" customWidth="1"/>
    <col min="3" max="3" width="22.5546875" bestFit="1" customWidth="1"/>
    <col min="4" max="4" width="15.44140625" bestFit="1" customWidth="1"/>
    <col min="5" max="5" width="23" bestFit="1" customWidth="1"/>
    <col min="6" max="6" width="22.5546875" bestFit="1" customWidth="1"/>
    <col min="7" max="7" width="19.44140625" bestFit="1" customWidth="1"/>
    <col min="8" max="8" width="20.77734375" bestFit="1" customWidth="1"/>
    <col min="9" max="9" width="17" bestFit="1" customWidth="1"/>
    <col min="10" max="10" width="16.5546875" bestFit="1" customWidth="1"/>
    <col min="11" max="11" width="19.21875" bestFit="1" customWidth="1"/>
    <col min="12" max="12" width="22.5546875" bestFit="1" customWidth="1"/>
    <col min="13" max="13" width="19.21875" bestFit="1" customWidth="1"/>
    <col min="14" max="14" width="19.44140625" bestFit="1" customWidth="1"/>
    <col min="15" max="15" width="12.33203125" bestFit="1" customWidth="1"/>
    <col min="16" max="16" width="19.21875" bestFit="1" customWidth="1"/>
    <col min="17" max="17" width="23" bestFit="1" customWidth="1"/>
    <col min="18" max="18" width="9.88671875" bestFit="1" customWidth="1"/>
    <col min="19" max="19" width="19.21875" bestFit="1" customWidth="1"/>
    <col min="20" max="20" width="23" bestFit="1" customWidth="1"/>
    <col min="21" max="21" width="17" bestFit="1" customWidth="1"/>
    <col min="22" max="22" width="19.21875" bestFit="1" customWidth="1"/>
    <col min="23" max="23" width="23" bestFit="1" customWidth="1"/>
    <col min="24" max="24" width="13.88671875" bestFit="1" customWidth="1"/>
    <col min="25" max="25" width="13.6640625" bestFit="1" customWidth="1"/>
    <col min="26" max="26" width="30.109375" bestFit="1" customWidth="1"/>
    <col min="27" max="27" width="29.6640625" bestFit="1" customWidth="1"/>
  </cols>
  <sheetData>
    <row r="1" spans="1:23" x14ac:dyDescent="0.3">
      <c r="A1" t="s">
        <v>342</v>
      </c>
      <c r="F1" t="s">
        <v>344</v>
      </c>
      <c r="K1" s="12" t="s">
        <v>346</v>
      </c>
      <c r="P1" s="12" t="s">
        <v>348</v>
      </c>
      <c r="V1" s="12" t="s">
        <v>350</v>
      </c>
    </row>
    <row r="3" spans="1:23" x14ac:dyDescent="0.3">
      <c r="A3" s="8" t="s">
        <v>450</v>
      </c>
      <c r="B3" s="11" t="s">
        <v>453</v>
      </c>
      <c r="F3" s="8" t="s">
        <v>471</v>
      </c>
      <c r="G3" t="s">
        <v>454</v>
      </c>
      <c r="K3" s="8" t="s">
        <v>471</v>
      </c>
      <c r="L3" t="s">
        <v>452</v>
      </c>
      <c r="P3" s="8" t="s">
        <v>471</v>
      </c>
      <c r="Q3" t="s">
        <v>453</v>
      </c>
      <c r="V3" s="8" t="s">
        <v>471</v>
      </c>
      <c r="W3" t="s">
        <v>453</v>
      </c>
    </row>
    <row r="4" spans="1:23" x14ac:dyDescent="0.3">
      <c r="A4" s="9" t="s">
        <v>21</v>
      </c>
      <c r="B4" s="11">
        <v>6623000</v>
      </c>
      <c r="F4" s="9" t="s">
        <v>12</v>
      </c>
      <c r="G4" s="13">
        <v>131</v>
      </c>
      <c r="K4" s="9" t="s">
        <v>12</v>
      </c>
      <c r="L4" s="13">
        <v>917000</v>
      </c>
      <c r="P4" s="9" t="s">
        <v>18</v>
      </c>
      <c r="Q4" s="13">
        <v>2956000</v>
      </c>
      <c r="V4" s="9" t="s">
        <v>14</v>
      </c>
      <c r="W4" s="13">
        <v>5691000</v>
      </c>
    </row>
    <row r="5" spans="1:23" x14ac:dyDescent="0.3">
      <c r="A5" s="9" t="s">
        <v>13</v>
      </c>
      <c r="B5" s="11">
        <v>10393000</v>
      </c>
      <c r="F5" s="9" t="s">
        <v>70</v>
      </c>
      <c r="G5" s="13">
        <v>93</v>
      </c>
      <c r="K5" s="9" t="s">
        <v>70</v>
      </c>
      <c r="L5" s="13">
        <v>837000</v>
      </c>
      <c r="P5" s="9" t="s">
        <v>15</v>
      </c>
      <c r="Q5" s="13">
        <v>4502000</v>
      </c>
      <c r="V5" s="9" t="s">
        <v>25</v>
      </c>
      <c r="W5" s="13">
        <v>5969000</v>
      </c>
    </row>
    <row r="6" spans="1:23" x14ac:dyDescent="0.3">
      <c r="A6" s="9" t="s">
        <v>41</v>
      </c>
      <c r="B6" s="11">
        <v>4742000</v>
      </c>
      <c r="F6" s="9" t="s">
        <v>24</v>
      </c>
      <c r="G6" s="13">
        <v>124</v>
      </c>
      <c r="K6" s="9" t="s">
        <v>24</v>
      </c>
      <c r="L6" s="13">
        <v>992000</v>
      </c>
      <c r="P6" s="9" t="s">
        <v>22</v>
      </c>
      <c r="Q6" s="13">
        <v>5071000</v>
      </c>
      <c r="V6" s="9" t="s">
        <v>46</v>
      </c>
      <c r="W6" s="13">
        <v>5356000</v>
      </c>
    </row>
    <row r="7" spans="1:23" x14ac:dyDescent="0.3">
      <c r="A7" s="9" t="s">
        <v>451</v>
      </c>
      <c r="B7" s="11">
        <v>21758000</v>
      </c>
      <c r="F7" s="9" t="s">
        <v>20</v>
      </c>
      <c r="G7" s="13">
        <v>129</v>
      </c>
      <c r="K7" s="9" t="s">
        <v>20</v>
      </c>
      <c r="L7" s="13">
        <v>838500</v>
      </c>
      <c r="P7" s="9" t="s">
        <v>26</v>
      </c>
      <c r="Q7" s="13">
        <v>4487000</v>
      </c>
      <c r="V7" s="9" t="s">
        <v>472</v>
      </c>
      <c r="W7" s="13">
        <v>17016000</v>
      </c>
    </row>
    <row r="8" spans="1:23" x14ac:dyDescent="0.3">
      <c r="F8" s="9" t="s">
        <v>17</v>
      </c>
      <c r="G8" s="13">
        <v>138</v>
      </c>
      <c r="K8" s="9" t="s">
        <v>17</v>
      </c>
      <c r="L8" s="13">
        <v>1380000</v>
      </c>
      <c r="P8" s="9" t="s">
        <v>472</v>
      </c>
      <c r="Q8" s="13">
        <v>17016000</v>
      </c>
    </row>
    <row r="9" spans="1:23" x14ac:dyDescent="0.3">
      <c r="F9" s="9" t="s">
        <v>60</v>
      </c>
      <c r="G9" s="13">
        <v>99</v>
      </c>
      <c r="K9" s="9" t="s">
        <v>60</v>
      </c>
      <c r="L9" s="13">
        <v>742500</v>
      </c>
    </row>
    <row r="10" spans="1:23" x14ac:dyDescent="0.3">
      <c r="F10" s="9" t="s">
        <v>28</v>
      </c>
      <c r="G10" s="13">
        <v>85</v>
      </c>
      <c r="K10" s="9" t="s">
        <v>28</v>
      </c>
      <c r="L10" s="13">
        <v>680000</v>
      </c>
    </row>
    <row r="11" spans="1:23" x14ac:dyDescent="0.3">
      <c r="F11" s="9" t="s">
        <v>44</v>
      </c>
      <c r="G11" s="13">
        <v>142</v>
      </c>
      <c r="K11" s="9" t="s">
        <v>44</v>
      </c>
      <c r="L11" s="13">
        <v>1278000</v>
      </c>
    </row>
    <row r="12" spans="1:23" x14ac:dyDescent="0.3">
      <c r="F12" s="9" t="s">
        <v>31</v>
      </c>
      <c r="G12" s="13">
        <v>130</v>
      </c>
      <c r="K12" s="9" t="s">
        <v>31</v>
      </c>
      <c r="L12" s="13">
        <v>715000</v>
      </c>
    </row>
    <row r="13" spans="1:23" x14ac:dyDescent="0.3">
      <c r="F13" s="9" t="s">
        <v>472</v>
      </c>
      <c r="G13" s="13">
        <v>1071</v>
      </c>
      <c r="K13" s="9" t="s">
        <v>472</v>
      </c>
      <c r="L13" s="13">
        <v>8380000</v>
      </c>
    </row>
    <row r="19" spans="1:26" x14ac:dyDescent="0.3">
      <c r="A19" s="12" t="s">
        <v>355</v>
      </c>
      <c r="F19" t="s">
        <v>357</v>
      </c>
      <c r="M19" t="s">
        <v>360</v>
      </c>
      <c r="P19" s="12" t="s">
        <v>367</v>
      </c>
      <c r="S19" t="s">
        <v>369</v>
      </c>
      <c r="V19" t="s">
        <v>371</v>
      </c>
      <c r="Z19" t="s">
        <v>373</v>
      </c>
    </row>
    <row r="21" spans="1:26" x14ac:dyDescent="0.3">
      <c r="A21" s="8" t="s">
        <v>471</v>
      </c>
      <c r="B21" t="s">
        <v>452</v>
      </c>
      <c r="E21" s="8" t="s">
        <v>471</v>
      </c>
      <c r="F21" t="s">
        <v>453</v>
      </c>
      <c r="M21" s="8" t="s">
        <v>471</v>
      </c>
      <c r="N21" t="s">
        <v>454</v>
      </c>
      <c r="P21" s="8" t="s">
        <v>471</v>
      </c>
      <c r="Q21" t="s">
        <v>453</v>
      </c>
      <c r="S21" s="8" t="s">
        <v>471</v>
      </c>
      <c r="T21" t="s">
        <v>453</v>
      </c>
      <c r="V21" s="8" t="s">
        <v>471</v>
      </c>
      <c r="W21" t="s">
        <v>453</v>
      </c>
    </row>
    <row r="22" spans="1:26" x14ac:dyDescent="0.3">
      <c r="A22" s="14" t="s">
        <v>455</v>
      </c>
      <c r="B22" s="13">
        <v>582500</v>
      </c>
      <c r="E22" s="14" t="s">
        <v>455</v>
      </c>
      <c r="F22" s="13">
        <v>1187000</v>
      </c>
      <c r="M22" s="9" t="s">
        <v>44</v>
      </c>
      <c r="N22" s="10">
        <v>142</v>
      </c>
      <c r="P22" s="9" t="s">
        <v>21</v>
      </c>
      <c r="Q22" s="13">
        <v>6623000</v>
      </c>
      <c r="S22" s="9" t="s">
        <v>14</v>
      </c>
      <c r="T22" s="13">
        <v>5691000</v>
      </c>
      <c r="V22" s="9" t="s">
        <v>18</v>
      </c>
      <c r="W22" s="13">
        <v>2956000</v>
      </c>
    </row>
    <row r="23" spans="1:26" x14ac:dyDescent="0.3">
      <c r="A23" s="14" t="s">
        <v>456</v>
      </c>
      <c r="B23" s="13">
        <v>841000</v>
      </c>
      <c r="E23" s="14" t="s">
        <v>456</v>
      </c>
      <c r="F23" s="13">
        <v>1693000</v>
      </c>
      <c r="M23" s="9" t="s">
        <v>17</v>
      </c>
      <c r="N23" s="10">
        <v>138</v>
      </c>
      <c r="P23" s="9" t="s">
        <v>13</v>
      </c>
      <c r="Q23" s="13">
        <v>10393000</v>
      </c>
      <c r="S23" s="9" t="s">
        <v>25</v>
      </c>
      <c r="T23" s="13">
        <v>5969000</v>
      </c>
      <c r="V23" s="9" t="s">
        <v>15</v>
      </c>
      <c r="W23" s="13">
        <v>4502000</v>
      </c>
    </row>
    <row r="24" spans="1:26" x14ac:dyDescent="0.3">
      <c r="A24" s="14" t="s">
        <v>457</v>
      </c>
      <c r="B24" s="13">
        <v>540500</v>
      </c>
      <c r="E24" s="14" t="s">
        <v>457</v>
      </c>
      <c r="F24" s="13">
        <v>1144000</v>
      </c>
      <c r="M24" s="9" t="s">
        <v>12</v>
      </c>
      <c r="N24" s="10">
        <v>131</v>
      </c>
      <c r="P24" s="9" t="s">
        <v>472</v>
      </c>
      <c r="Q24" s="13">
        <v>17016000</v>
      </c>
      <c r="S24" s="9" t="s">
        <v>46</v>
      </c>
      <c r="T24" s="13">
        <v>5356000</v>
      </c>
      <c r="V24" s="9" t="s">
        <v>22</v>
      </c>
      <c r="W24" s="13">
        <v>5071000</v>
      </c>
    </row>
    <row r="25" spans="1:26" x14ac:dyDescent="0.3">
      <c r="A25" s="14" t="s">
        <v>458</v>
      </c>
      <c r="B25" s="13">
        <v>491500</v>
      </c>
      <c r="E25" s="14" t="s">
        <v>458</v>
      </c>
      <c r="F25" s="13">
        <v>1010000</v>
      </c>
      <c r="M25" s="9" t="s">
        <v>31</v>
      </c>
      <c r="N25" s="10">
        <v>130</v>
      </c>
      <c r="S25" s="9" t="s">
        <v>472</v>
      </c>
      <c r="T25" s="13">
        <v>17016000</v>
      </c>
      <c r="V25" s="9" t="s">
        <v>26</v>
      </c>
      <c r="W25" s="13">
        <v>4487000</v>
      </c>
    </row>
    <row r="26" spans="1:26" x14ac:dyDescent="0.3">
      <c r="A26" s="14" t="s">
        <v>459</v>
      </c>
      <c r="B26" s="13">
        <v>947500</v>
      </c>
      <c r="E26" s="14" t="s">
        <v>459</v>
      </c>
      <c r="F26" s="13">
        <v>1985000</v>
      </c>
      <c r="M26" s="9" t="s">
        <v>20</v>
      </c>
      <c r="N26" s="10">
        <v>129</v>
      </c>
      <c r="V26" s="9" t="s">
        <v>472</v>
      </c>
      <c r="W26" s="13">
        <v>17016000</v>
      </c>
    </row>
    <row r="27" spans="1:26" x14ac:dyDescent="0.3">
      <c r="A27" s="14" t="s">
        <v>460</v>
      </c>
      <c r="B27" s="13">
        <v>658000</v>
      </c>
      <c r="E27" s="14" t="s">
        <v>460</v>
      </c>
      <c r="F27" s="13">
        <v>1281000</v>
      </c>
      <c r="M27" s="9" t="s">
        <v>472</v>
      </c>
      <c r="N27" s="10">
        <v>670</v>
      </c>
    </row>
    <row r="28" spans="1:26" x14ac:dyDescent="0.3">
      <c r="A28" s="14" t="s">
        <v>461</v>
      </c>
      <c r="B28" s="13">
        <v>939500</v>
      </c>
      <c r="E28" s="14" t="s">
        <v>461</v>
      </c>
      <c r="F28" s="13">
        <v>1852000</v>
      </c>
    </row>
    <row r="29" spans="1:26" x14ac:dyDescent="0.3">
      <c r="A29" s="14" t="s">
        <v>462</v>
      </c>
      <c r="B29" s="13">
        <v>775000</v>
      </c>
      <c r="E29" s="14" t="s">
        <v>462</v>
      </c>
      <c r="F29" s="13">
        <v>1586000</v>
      </c>
    </row>
    <row r="30" spans="1:26" x14ac:dyDescent="0.3">
      <c r="A30" s="14" t="s">
        <v>463</v>
      </c>
      <c r="B30" s="13">
        <v>492000</v>
      </c>
      <c r="E30" s="14" t="s">
        <v>463</v>
      </c>
      <c r="F30" s="13">
        <v>964000</v>
      </c>
    </row>
    <row r="31" spans="1:26" x14ac:dyDescent="0.3">
      <c r="A31" s="14" t="s">
        <v>464</v>
      </c>
      <c r="B31" s="13">
        <v>816000</v>
      </c>
      <c r="E31" s="14" t="s">
        <v>464</v>
      </c>
      <c r="F31" s="13">
        <v>1671000</v>
      </c>
    </row>
    <row r="32" spans="1:26" x14ac:dyDescent="0.3">
      <c r="A32" s="14" t="s">
        <v>465</v>
      </c>
      <c r="B32" s="13">
        <v>768500</v>
      </c>
      <c r="E32" s="14" t="s">
        <v>465</v>
      </c>
      <c r="F32" s="13">
        <v>1574000</v>
      </c>
    </row>
    <row r="33" spans="1:8" x14ac:dyDescent="0.3">
      <c r="A33" s="14" t="s">
        <v>466</v>
      </c>
      <c r="B33" s="13">
        <v>528000</v>
      </c>
      <c r="E33" s="14" t="s">
        <v>466</v>
      </c>
      <c r="F33" s="13">
        <v>1069000</v>
      </c>
    </row>
    <row r="34" spans="1:8" x14ac:dyDescent="0.3">
      <c r="A34" s="14" t="s">
        <v>472</v>
      </c>
      <c r="B34" s="13">
        <v>8380000</v>
      </c>
      <c r="E34" s="14" t="s">
        <v>472</v>
      </c>
      <c r="F34" s="13">
        <v>17016000</v>
      </c>
    </row>
    <row r="35" spans="1:8" x14ac:dyDescent="0.3">
      <c r="B35"/>
    </row>
    <row r="36" spans="1:8" x14ac:dyDescent="0.3">
      <c r="B36"/>
    </row>
    <row r="37" spans="1:8" x14ac:dyDescent="0.3">
      <c r="B37"/>
    </row>
    <row r="38" spans="1:8" x14ac:dyDescent="0.3">
      <c r="A38" t="s">
        <v>467</v>
      </c>
      <c r="B38"/>
    </row>
    <row r="39" spans="1:8" x14ac:dyDescent="0.3">
      <c r="B39"/>
    </row>
    <row r="40" spans="1:8" x14ac:dyDescent="0.3">
      <c r="A40" s="8" t="s">
        <v>471</v>
      </c>
      <c r="B40" s="7" t="s">
        <v>453</v>
      </c>
      <c r="C40" s="7" t="s">
        <v>452</v>
      </c>
    </row>
    <row r="41" spans="1:8" x14ac:dyDescent="0.3">
      <c r="A41" s="14" t="s">
        <v>455</v>
      </c>
      <c r="B41" s="10">
        <v>1187000</v>
      </c>
      <c r="C41" s="10">
        <v>582500</v>
      </c>
      <c r="E41" s="7" t="s">
        <v>453</v>
      </c>
      <c r="F41" s="7" t="s">
        <v>452</v>
      </c>
      <c r="G41" s="7" t="s">
        <v>454</v>
      </c>
      <c r="H41" s="7" t="s">
        <v>468</v>
      </c>
    </row>
    <row r="42" spans="1:8" x14ac:dyDescent="0.3">
      <c r="A42" s="14" t="s">
        <v>456</v>
      </c>
      <c r="B42" s="10">
        <v>1693000</v>
      </c>
      <c r="C42" s="10">
        <v>841000</v>
      </c>
      <c r="E42" s="13">
        <v>17016000</v>
      </c>
      <c r="F42" s="13">
        <v>8380000</v>
      </c>
      <c r="G42" s="13">
        <v>1071</v>
      </c>
      <c r="H42" s="13">
        <v>239</v>
      </c>
    </row>
    <row r="43" spans="1:8" x14ac:dyDescent="0.3">
      <c r="A43" s="14" t="s">
        <v>457</v>
      </c>
      <c r="B43" s="10">
        <v>1144000</v>
      </c>
      <c r="C43" s="10">
        <v>540500</v>
      </c>
    </row>
    <row r="44" spans="1:8" x14ac:dyDescent="0.3">
      <c r="A44" s="14" t="s">
        <v>458</v>
      </c>
      <c r="B44" s="10">
        <v>1010000</v>
      </c>
      <c r="C44" s="10">
        <v>491500</v>
      </c>
      <c r="E44" t="s">
        <v>469</v>
      </c>
    </row>
    <row r="45" spans="1:8" x14ac:dyDescent="0.3">
      <c r="A45" s="14" t="s">
        <v>459</v>
      </c>
      <c r="B45" s="10">
        <v>1985000</v>
      </c>
      <c r="C45" s="10">
        <v>947500</v>
      </c>
      <c r="E45" s="15">
        <f>GETPIVOTDATA("Jumlah dari Profit",$E$41)/GETPIVOTDATA("Jumlah dari Omzet",$E$41)</f>
        <v>0.49247766807710391</v>
      </c>
    </row>
    <row r="46" spans="1:8" x14ac:dyDescent="0.3">
      <c r="A46" s="14" t="s">
        <v>460</v>
      </c>
      <c r="B46" s="10">
        <v>1281000</v>
      </c>
      <c r="C46" s="10">
        <v>658000</v>
      </c>
    </row>
    <row r="47" spans="1:8" x14ac:dyDescent="0.3">
      <c r="A47" s="14" t="s">
        <v>461</v>
      </c>
      <c r="B47" s="10">
        <v>1852000</v>
      </c>
      <c r="C47" s="10">
        <v>939500</v>
      </c>
    </row>
    <row r="48" spans="1:8" x14ac:dyDescent="0.3">
      <c r="A48" s="14" t="s">
        <v>462</v>
      </c>
      <c r="B48" s="10">
        <v>1586000</v>
      </c>
      <c r="C48" s="10">
        <v>775000</v>
      </c>
    </row>
    <row r="49" spans="1:3" x14ac:dyDescent="0.3">
      <c r="A49" s="14" t="s">
        <v>463</v>
      </c>
      <c r="B49" s="10">
        <v>964000</v>
      </c>
      <c r="C49" s="10">
        <v>492000</v>
      </c>
    </row>
    <row r="50" spans="1:3" x14ac:dyDescent="0.3">
      <c r="A50" s="14" t="s">
        <v>464</v>
      </c>
      <c r="B50" s="10">
        <v>1671000</v>
      </c>
      <c r="C50" s="10">
        <v>816000</v>
      </c>
    </row>
    <row r="51" spans="1:3" x14ac:dyDescent="0.3">
      <c r="A51" s="14" t="s">
        <v>465</v>
      </c>
      <c r="B51" s="10">
        <v>1574000</v>
      </c>
      <c r="C51" s="10">
        <v>768500</v>
      </c>
    </row>
    <row r="52" spans="1:3" x14ac:dyDescent="0.3">
      <c r="A52" s="14" t="s">
        <v>466</v>
      </c>
      <c r="B52" s="10">
        <v>1069000</v>
      </c>
      <c r="C52" s="10">
        <v>528000</v>
      </c>
    </row>
    <row r="53" spans="1:3" x14ac:dyDescent="0.3">
      <c r="A53" s="14" t="s">
        <v>472</v>
      </c>
      <c r="B53" s="10">
        <v>17016000</v>
      </c>
      <c r="C53" s="10">
        <v>8380000</v>
      </c>
    </row>
    <row r="54" spans="1:3" x14ac:dyDescent="0.3">
      <c r="B54"/>
    </row>
    <row r="55" spans="1:3" x14ac:dyDescent="0.3">
      <c r="B55"/>
    </row>
    <row r="56" spans="1:3" x14ac:dyDescent="0.3">
      <c r="B56"/>
    </row>
    <row r="57" spans="1:3" x14ac:dyDescent="0.3">
      <c r="B57"/>
    </row>
    <row r="58" spans="1:3" x14ac:dyDescent="0.3">
      <c r="B58"/>
    </row>
    <row r="59" spans="1:3" x14ac:dyDescent="0.3">
      <c r="B59"/>
    </row>
    <row r="60" spans="1:3" x14ac:dyDescent="0.3">
      <c r="B60"/>
    </row>
    <row r="61" spans="1:3" x14ac:dyDescent="0.3">
      <c r="B61"/>
    </row>
    <row r="62" spans="1:3" x14ac:dyDescent="0.3">
      <c r="B62"/>
    </row>
    <row r="63" spans="1:3" x14ac:dyDescent="0.3">
      <c r="B63"/>
    </row>
    <row r="64" spans="1:3"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sheetData>
  <pageMargins left="0.7" right="0.7" top="0.75" bottom="0.75" header="0.3" footer="0.3"/>
  <pageSetup orientation="portrait"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D9922-A279-460C-8B6F-3889CB859B5A}">
  <dimension ref="A1:N53"/>
  <sheetViews>
    <sheetView showGridLines="0" tabSelected="1" zoomScale="56" zoomScaleNormal="56" workbookViewId="0">
      <selection activeCell="Q26" sqref="Q26"/>
    </sheetView>
  </sheetViews>
  <sheetFormatPr defaultRowHeight="14.4" x14ac:dyDescent="0.3"/>
  <sheetData>
    <row r="1" spans="1:14" x14ac:dyDescent="0.3">
      <c r="A1" s="18" t="s">
        <v>470</v>
      </c>
      <c r="B1" s="18"/>
      <c r="C1" s="18"/>
      <c r="D1" s="18"/>
      <c r="E1" s="18"/>
      <c r="F1" s="18"/>
      <c r="G1" s="18"/>
      <c r="H1" s="18"/>
      <c r="I1" s="18"/>
      <c r="J1" s="18"/>
      <c r="K1" s="18"/>
      <c r="L1" s="18"/>
      <c r="M1" s="18"/>
      <c r="N1" s="18"/>
    </row>
    <row r="2" spans="1:14" ht="13.2" customHeight="1" x14ac:dyDescent="0.3">
      <c r="A2" s="18"/>
      <c r="B2" s="18"/>
      <c r="C2" s="18"/>
      <c r="D2" s="18"/>
      <c r="E2" s="18"/>
      <c r="F2" s="18"/>
      <c r="G2" s="18"/>
      <c r="H2" s="18"/>
      <c r="I2" s="18"/>
      <c r="J2" s="18"/>
      <c r="K2" s="18"/>
      <c r="L2" s="18"/>
      <c r="M2" s="18"/>
      <c r="N2" s="18"/>
    </row>
    <row r="3" spans="1:14" hidden="1" x14ac:dyDescent="0.3">
      <c r="A3" s="26"/>
      <c r="B3" s="26"/>
      <c r="C3" s="26"/>
      <c r="D3" s="26"/>
      <c r="E3" s="26"/>
      <c r="F3" s="26"/>
      <c r="G3" s="26"/>
      <c r="H3" s="26"/>
      <c r="I3" s="26"/>
      <c r="J3" s="26"/>
      <c r="K3" s="26"/>
      <c r="L3" s="26"/>
      <c r="M3" s="25"/>
      <c r="N3" s="25"/>
    </row>
    <row r="4" spans="1:14" ht="13.8" customHeight="1" x14ac:dyDescent="0.3">
      <c r="A4" s="27" t="s">
        <v>421</v>
      </c>
      <c r="B4" s="28"/>
      <c r="C4" s="29"/>
      <c r="D4" s="27" t="s">
        <v>424</v>
      </c>
      <c r="E4" s="28"/>
      <c r="F4" s="29"/>
      <c r="G4" s="27" t="s">
        <v>473</v>
      </c>
      <c r="H4" s="28"/>
      <c r="I4" s="29"/>
      <c r="J4" s="27" t="s">
        <v>428</v>
      </c>
      <c r="K4" s="28"/>
      <c r="L4" s="29"/>
      <c r="M4" s="39"/>
      <c r="N4" s="39"/>
    </row>
    <row r="5" spans="1:14" ht="10.8" hidden="1" customHeight="1" x14ac:dyDescent="0.3">
      <c r="A5" s="30"/>
      <c r="B5" s="31"/>
      <c r="C5" s="32"/>
      <c r="D5" s="30"/>
      <c r="E5" s="31"/>
      <c r="F5" s="32"/>
      <c r="G5" s="30"/>
      <c r="H5" s="31"/>
      <c r="I5" s="32"/>
      <c r="J5" s="30"/>
      <c r="K5" s="31"/>
      <c r="L5" s="32"/>
      <c r="M5" s="39"/>
      <c r="N5" s="39"/>
    </row>
    <row r="6" spans="1:14" x14ac:dyDescent="0.3">
      <c r="A6" s="30">
        <f>GETPIVOTDATA("Jumlah dari Omzet",pivot!$E$41)</f>
        <v>17016000</v>
      </c>
      <c r="B6" s="31"/>
      <c r="C6" s="32"/>
      <c r="D6" s="30">
        <f>GETPIVOTDATA("Jumlah dari Profit",pivot!$E$41)</f>
        <v>8380000</v>
      </c>
      <c r="E6" s="31"/>
      <c r="F6" s="32"/>
      <c r="G6" s="30">
        <f>GETPIVOTDATA("Jumlah dari Qty",pivot!$E$41)</f>
        <v>1071</v>
      </c>
      <c r="H6" s="31"/>
      <c r="I6" s="32"/>
      <c r="J6" s="30">
        <f>GETPIVOTDATA("jumlah transaksi",pivot!$E$41)</f>
        <v>239</v>
      </c>
      <c r="K6" s="31"/>
      <c r="L6" s="32"/>
      <c r="M6" s="40"/>
      <c r="N6" s="39"/>
    </row>
    <row r="7" spans="1:14" ht="4.2" customHeight="1" x14ac:dyDescent="0.3">
      <c r="A7" s="33"/>
      <c r="B7" s="34"/>
      <c r="C7" s="35"/>
      <c r="D7" s="33"/>
      <c r="E7" s="34"/>
      <c r="F7" s="35"/>
      <c r="G7" s="33"/>
      <c r="H7" s="34"/>
      <c r="I7" s="35"/>
      <c r="J7" s="33"/>
      <c r="K7" s="34"/>
      <c r="L7" s="35"/>
      <c r="M7" s="39"/>
      <c r="N7" s="39"/>
    </row>
    <row r="8" spans="1:14" x14ac:dyDescent="0.3">
      <c r="A8" s="36" t="s">
        <v>430</v>
      </c>
      <c r="B8" s="37"/>
      <c r="C8" s="37"/>
      <c r="D8" s="37"/>
      <c r="E8" s="37"/>
      <c r="F8" s="37"/>
      <c r="G8" s="37"/>
      <c r="H8" s="37"/>
      <c r="I8" s="37"/>
      <c r="J8" s="37"/>
      <c r="K8" s="37"/>
      <c r="L8" s="38"/>
      <c r="M8" s="20"/>
      <c r="N8" s="20"/>
    </row>
    <row r="9" spans="1:14" x14ac:dyDescent="0.3">
      <c r="A9" s="41">
        <f>pivot!E45</f>
        <v>0.49247766807710391</v>
      </c>
      <c r="B9" s="37"/>
      <c r="C9" s="37"/>
      <c r="D9" s="37"/>
      <c r="E9" s="37"/>
      <c r="F9" s="37"/>
      <c r="G9" s="37"/>
      <c r="H9" s="37"/>
      <c r="I9" s="37"/>
      <c r="J9" s="37"/>
      <c r="K9" s="37"/>
      <c r="L9" s="38"/>
    </row>
    <row r="10" spans="1:14" x14ac:dyDescent="0.3">
      <c r="A10" s="19"/>
      <c r="B10" s="20"/>
      <c r="C10" s="20"/>
      <c r="D10" s="20"/>
      <c r="E10" s="20"/>
      <c r="F10" s="20"/>
      <c r="G10" s="20"/>
      <c r="H10" s="20"/>
      <c r="I10" s="20"/>
      <c r="J10" s="20"/>
      <c r="K10" s="20"/>
      <c r="L10" s="21"/>
    </row>
    <row r="11" spans="1:14" x14ac:dyDescent="0.3">
      <c r="A11" s="19"/>
      <c r="B11" s="20"/>
      <c r="C11" s="20"/>
      <c r="D11" s="20"/>
      <c r="E11" s="20"/>
      <c r="F11" s="20"/>
      <c r="G11" s="20"/>
      <c r="H11" s="20"/>
      <c r="I11" s="20"/>
      <c r="J11" s="20"/>
      <c r="K11" s="20"/>
      <c r="L11" s="21"/>
    </row>
    <row r="12" spans="1:14" x14ac:dyDescent="0.3">
      <c r="A12" s="19"/>
      <c r="B12" s="20"/>
      <c r="C12" s="20"/>
      <c r="D12" s="20"/>
      <c r="E12" s="20"/>
      <c r="F12" s="20"/>
      <c r="G12" s="20"/>
      <c r="H12" s="20"/>
      <c r="I12" s="20"/>
      <c r="J12" s="20"/>
      <c r="K12" s="20"/>
      <c r="L12" s="21"/>
    </row>
    <row r="13" spans="1:14" x14ac:dyDescent="0.3">
      <c r="A13" s="19"/>
      <c r="B13" s="20"/>
      <c r="C13" s="20"/>
      <c r="D13" s="20"/>
      <c r="E13" s="20"/>
      <c r="F13" s="20"/>
      <c r="G13" s="20"/>
      <c r="H13" s="20"/>
      <c r="I13" s="20"/>
      <c r="J13" s="20"/>
      <c r="K13" s="20"/>
      <c r="L13" s="21"/>
    </row>
    <row r="14" spans="1:14" x14ac:dyDescent="0.3">
      <c r="A14" s="19"/>
      <c r="B14" s="20"/>
      <c r="C14" s="20"/>
      <c r="D14" s="20"/>
      <c r="E14" s="20"/>
      <c r="F14" s="20"/>
      <c r="G14" s="20"/>
      <c r="H14" s="20"/>
      <c r="I14" s="20"/>
      <c r="J14" s="20"/>
      <c r="K14" s="20"/>
      <c r="L14" s="21"/>
    </row>
    <row r="15" spans="1:14" x14ac:dyDescent="0.3">
      <c r="A15" s="19"/>
      <c r="B15" s="20"/>
      <c r="C15" s="20"/>
      <c r="D15" s="20"/>
      <c r="E15" s="20"/>
      <c r="F15" s="20"/>
      <c r="G15" s="20"/>
      <c r="H15" s="20"/>
      <c r="I15" s="20"/>
      <c r="J15" s="20"/>
      <c r="K15" s="20"/>
      <c r="L15" s="21"/>
    </row>
    <row r="16" spans="1:14" x14ac:dyDescent="0.3">
      <c r="A16" s="19"/>
      <c r="B16" s="20"/>
      <c r="C16" s="20"/>
      <c r="D16" s="20"/>
      <c r="E16" s="20"/>
      <c r="F16" s="20"/>
      <c r="G16" s="20"/>
      <c r="H16" s="20"/>
      <c r="I16" s="20"/>
      <c r="J16" s="20"/>
      <c r="K16" s="20"/>
      <c r="L16" s="21"/>
    </row>
    <row r="17" spans="1:12" x14ac:dyDescent="0.3">
      <c r="A17" s="19"/>
      <c r="B17" s="20"/>
      <c r="C17" s="20"/>
      <c r="D17" s="20"/>
      <c r="E17" s="20"/>
      <c r="F17" s="20"/>
      <c r="G17" s="20"/>
      <c r="H17" s="20"/>
      <c r="I17" s="20"/>
      <c r="J17" s="20"/>
      <c r="K17" s="20"/>
      <c r="L17" s="21"/>
    </row>
    <row r="18" spans="1:12" x14ac:dyDescent="0.3">
      <c r="A18" s="19"/>
      <c r="B18" s="20"/>
      <c r="C18" s="20"/>
      <c r="D18" s="20"/>
      <c r="E18" s="20"/>
      <c r="F18" s="20"/>
      <c r="G18" s="20"/>
      <c r="H18" s="20"/>
      <c r="I18" s="20"/>
      <c r="J18" s="20"/>
      <c r="K18" s="20"/>
      <c r="L18" s="21"/>
    </row>
    <row r="19" spans="1:12" x14ac:dyDescent="0.3">
      <c r="A19" s="19"/>
      <c r="B19" s="20"/>
      <c r="C19" s="20"/>
      <c r="D19" s="20"/>
      <c r="E19" s="20"/>
      <c r="F19" s="20"/>
      <c r="G19" s="20"/>
      <c r="H19" s="20"/>
      <c r="I19" s="20"/>
      <c r="J19" s="20"/>
      <c r="K19" s="20"/>
      <c r="L19" s="21"/>
    </row>
    <row r="20" spans="1:12" x14ac:dyDescent="0.3">
      <c r="A20" s="19"/>
      <c r="B20" s="20"/>
      <c r="C20" s="20"/>
      <c r="D20" s="20"/>
      <c r="E20" s="20"/>
      <c r="F20" s="20"/>
      <c r="G20" s="20"/>
      <c r="H20" s="20"/>
      <c r="I20" s="20"/>
      <c r="J20" s="20"/>
      <c r="K20" s="20"/>
      <c r="L20" s="21"/>
    </row>
    <row r="21" spans="1:12" x14ac:dyDescent="0.3">
      <c r="A21" s="19"/>
      <c r="B21" s="20"/>
      <c r="C21" s="20"/>
      <c r="D21" s="20"/>
      <c r="E21" s="20"/>
      <c r="F21" s="20"/>
      <c r="G21" s="20"/>
      <c r="H21" s="20"/>
      <c r="I21" s="20"/>
      <c r="J21" s="20"/>
      <c r="K21" s="20"/>
      <c r="L21" s="21"/>
    </row>
    <row r="22" spans="1:12" x14ac:dyDescent="0.3">
      <c r="A22" s="19"/>
      <c r="B22" s="20"/>
      <c r="C22" s="20"/>
      <c r="D22" s="20"/>
      <c r="E22" s="20"/>
      <c r="F22" s="20"/>
      <c r="G22" s="20"/>
      <c r="H22" s="20"/>
      <c r="I22" s="20"/>
      <c r="J22" s="20"/>
      <c r="K22" s="20"/>
      <c r="L22" s="21"/>
    </row>
    <row r="23" spans="1:12" x14ac:dyDescent="0.3">
      <c r="A23" s="19"/>
      <c r="B23" s="20"/>
      <c r="C23" s="20"/>
      <c r="D23" s="20"/>
      <c r="E23" s="20"/>
      <c r="F23" s="20"/>
      <c r="G23" s="20"/>
      <c r="H23" s="20"/>
      <c r="I23" s="20"/>
      <c r="J23" s="20"/>
      <c r="K23" s="20"/>
      <c r="L23" s="21"/>
    </row>
    <row r="24" spans="1:12" x14ac:dyDescent="0.3">
      <c r="A24" s="19"/>
      <c r="B24" s="20"/>
      <c r="C24" s="20"/>
      <c r="D24" s="20"/>
      <c r="E24" s="20"/>
      <c r="F24" s="20"/>
      <c r="G24" s="20"/>
      <c r="H24" s="20"/>
      <c r="I24" s="20"/>
      <c r="J24" s="20"/>
      <c r="K24" s="20"/>
      <c r="L24" s="21"/>
    </row>
    <row r="25" spans="1:12" x14ac:dyDescent="0.3">
      <c r="A25" s="19"/>
      <c r="B25" s="20"/>
      <c r="C25" s="20"/>
      <c r="D25" s="20"/>
      <c r="E25" s="20"/>
      <c r="F25" s="20"/>
      <c r="G25" s="20"/>
      <c r="H25" s="20"/>
      <c r="I25" s="20"/>
      <c r="J25" s="20"/>
      <c r="K25" s="20"/>
      <c r="L25" s="21"/>
    </row>
    <row r="26" spans="1:12" x14ac:dyDescent="0.3">
      <c r="A26" s="19"/>
      <c r="B26" s="20"/>
      <c r="C26" s="20"/>
      <c r="D26" s="20"/>
      <c r="E26" s="20"/>
      <c r="F26" s="20"/>
      <c r="G26" s="20"/>
      <c r="H26" s="20"/>
      <c r="I26" s="20"/>
      <c r="J26" s="20"/>
      <c r="K26" s="20"/>
      <c r="L26" s="21"/>
    </row>
    <row r="27" spans="1:12" x14ac:dyDescent="0.3">
      <c r="A27" s="19"/>
      <c r="B27" s="20"/>
      <c r="C27" s="20"/>
      <c r="D27" s="20"/>
      <c r="E27" s="20"/>
      <c r="F27" s="20"/>
      <c r="G27" s="20"/>
      <c r="H27" s="20"/>
      <c r="I27" s="20"/>
      <c r="J27" s="20"/>
      <c r="K27" s="20"/>
      <c r="L27" s="21"/>
    </row>
    <row r="28" spans="1:12" x14ac:dyDescent="0.3">
      <c r="A28" s="19"/>
      <c r="B28" s="20"/>
      <c r="C28" s="20"/>
      <c r="D28" s="20"/>
      <c r="E28" s="20"/>
      <c r="F28" s="20"/>
      <c r="G28" s="20"/>
      <c r="H28" s="20"/>
      <c r="I28" s="20"/>
      <c r="J28" s="20"/>
      <c r="K28" s="20"/>
      <c r="L28" s="21"/>
    </row>
    <row r="29" spans="1:12" x14ac:dyDescent="0.3">
      <c r="A29" s="19"/>
      <c r="B29" s="20"/>
      <c r="C29" s="20"/>
      <c r="D29" s="20"/>
      <c r="E29" s="20"/>
      <c r="F29" s="20"/>
      <c r="G29" s="20"/>
      <c r="H29" s="20"/>
      <c r="I29" s="20"/>
      <c r="J29" s="20"/>
      <c r="K29" s="20"/>
      <c r="L29" s="21"/>
    </row>
    <row r="30" spans="1:12" x14ac:dyDescent="0.3">
      <c r="A30" s="19"/>
      <c r="B30" s="20"/>
      <c r="C30" s="20"/>
      <c r="D30" s="20"/>
      <c r="E30" s="20"/>
      <c r="F30" s="20"/>
      <c r="G30" s="20"/>
      <c r="H30" s="20"/>
      <c r="I30" s="20"/>
      <c r="J30" s="20"/>
      <c r="K30" s="20"/>
      <c r="L30" s="21"/>
    </row>
    <row r="31" spans="1:12" x14ac:dyDescent="0.3">
      <c r="A31" s="19"/>
      <c r="B31" s="20"/>
      <c r="C31" s="20"/>
      <c r="D31" s="20"/>
      <c r="E31" s="20"/>
      <c r="F31" s="20"/>
      <c r="G31" s="20"/>
      <c r="H31" s="20"/>
      <c r="I31" s="20"/>
      <c r="J31" s="20"/>
      <c r="K31" s="20"/>
      <c r="L31" s="21"/>
    </row>
    <row r="32" spans="1:12" x14ac:dyDescent="0.3">
      <c r="A32" s="19"/>
      <c r="B32" s="20"/>
      <c r="C32" s="20"/>
      <c r="D32" s="20"/>
      <c r="E32" s="20"/>
      <c r="F32" s="20"/>
      <c r="G32" s="20"/>
      <c r="H32" s="20"/>
      <c r="I32" s="20"/>
      <c r="J32" s="20"/>
      <c r="K32" s="20"/>
      <c r="L32" s="21"/>
    </row>
    <row r="33" spans="1:12" x14ac:dyDescent="0.3">
      <c r="A33" s="19"/>
      <c r="B33" s="20"/>
      <c r="C33" s="20"/>
      <c r="D33" s="20"/>
      <c r="E33" s="20"/>
      <c r="F33" s="20"/>
      <c r="G33" s="20"/>
      <c r="H33" s="20"/>
      <c r="I33" s="20"/>
      <c r="J33" s="20"/>
      <c r="K33" s="20"/>
      <c r="L33" s="21"/>
    </row>
    <row r="34" spans="1:12" x14ac:dyDescent="0.3">
      <c r="A34" s="19"/>
      <c r="B34" s="20"/>
      <c r="C34" s="20"/>
      <c r="D34" s="20"/>
      <c r="E34" s="20"/>
      <c r="F34" s="20"/>
      <c r="G34" s="20"/>
      <c r="H34" s="20"/>
      <c r="I34" s="20"/>
      <c r="J34" s="20"/>
      <c r="K34" s="20"/>
      <c r="L34" s="21"/>
    </row>
    <row r="35" spans="1:12" x14ac:dyDescent="0.3">
      <c r="A35" s="19"/>
      <c r="B35" s="20"/>
      <c r="C35" s="20"/>
      <c r="D35" s="20"/>
      <c r="E35" s="20"/>
      <c r="F35" s="20"/>
      <c r="G35" s="20"/>
      <c r="H35" s="20"/>
      <c r="I35" s="20"/>
      <c r="J35" s="20"/>
      <c r="K35" s="20"/>
      <c r="L35" s="21"/>
    </row>
    <row r="36" spans="1:12" x14ac:dyDescent="0.3">
      <c r="A36" s="19"/>
      <c r="B36" s="20"/>
      <c r="C36" s="20"/>
      <c r="D36" s="20"/>
      <c r="E36" s="20"/>
      <c r="F36" s="20"/>
      <c r="G36" s="20"/>
      <c r="H36" s="20"/>
      <c r="I36" s="20"/>
      <c r="J36" s="20"/>
      <c r="K36" s="20"/>
      <c r="L36" s="21"/>
    </row>
    <row r="37" spans="1:12" x14ac:dyDescent="0.3">
      <c r="A37" s="19"/>
      <c r="B37" s="20"/>
      <c r="C37" s="20"/>
      <c r="D37" s="20"/>
      <c r="E37" s="20"/>
      <c r="F37" s="20"/>
      <c r="G37" s="20"/>
      <c r="H37" s="20"/>
      <c r="I37" s="20"/>
      <c r="J37" s="20"/>
      <c r="K37" s="20"/>
      <c r="L37" s="21"/>
    </row>
    <row r="38" spans="1:12" x14ac:dyDescent="0.3">
      <c r="A38" s="19"/>
      <c r="B38" s="20"/>
      <c r="C38" s="20"/>
      <c r="D38" s="20"/>
      <c r="E38" s="20"/>
      <c r="F38" s="20"/>
      <c r="G38" s="20"/>
      <c r="H38" s="20"/>
      <c r="I38" s="20"/>
      <c r="J38" s="20"/>
      <c r="K38" s="20"/>
      <c r="L38" s="21"/>
    </row>
    <row r="39" spans="1:12" x14ac:dyDescent="0.3">
      <c r="A39" s="19"/>
      <c r="B39" s="20"/>
      <c r="C39" s="20"/>
      <c r="D39" s="20"/>
      <c r="E39" s="20"/>
      <c r="F39" s="20"/>
      <c r="G39" s="20"/>
      <c r="H39" s="20"/>
      <c r="I39" s="20"/>
      <c r="J39" s="20"/>
      <c r="K39" s="20"/>
      <c r="L39" s="21"/>
    </row>
    <row r="40" spans="1:12" x14ac:dyDescent="0.3">
      <c r="A40" s="19"/>
      <c r="B40" s="20"/>
      <c r="C40" s="20"/>
      <c r="D40" s="20"/>
      <c r="E40" s="20"/>
      <c r="F40" s="20"/>
      <c r="G40" s="20"/>
      <c r="H40" s="20"/>
      <c r="I40" s="20"/>
      <c r="J40" s="20"/>
      <c r="K40" s="20"/>
      <c r="L40" s="21"/>
    </row>
    <row r="41" spans="1:12" x14ac:dyDescent="0.3">
      <c r="A41" s="19"/>
      <c r="B41" s="20"/>
      <c r="C41" s="20"/>
      <c r="D41" s="20"/>
      <c r="E41" s="20"/>
      <c r="F41" s="20"/>
      <c r="G41" s="20"/>
      <c r="H41" s="20"/>
      <c r="I41" s="20"/>
      <c r="J41" s="20"/>
      <c r="K41" s="20"/>
      <c r="L41" s="21"/>
    </row>
    <row r="42" spans="1:12" x14ac:dyDescent="0.3">
      <c r="A42" s="19"/>
      <c r="B42" s="20"/>
      <c r="C42" s="20"/>
      <c r="D42" s="20"/>
      <c r="E42" s="20"/>
      <c r="F42" s="20"/>
      <c r="G42" s="20"/>
      <c r="H42" s="20"/>
      <c r="I42" s="20"/>
      <c r="J42" s="20"/>
      <c r="K42" s="20"/>
      <c r="L42" s="21"/>
    </row>
    <row r="43" spans="1:12" x14ac:dyDescent="0.3">
      <c r="A43" s="19"/>
      <c r="B43" s="20"/>
      <c r="C43" s="20"/>
      <c r="D43" s="20"/>
      <c r="E43" s="20"/>
      <c r="F43" s="20"/>
      <c r="G43" s="20"/>
      <c r="H43" s="20"/>
      <c r="I43" s="20"/>
      <c r="J43" s="20"/>
      <c r="K43" s="20"/>
      <c r="L43" s="21"/>
    </row>
    <row r="44" spans="1:12" x14ac:dyDescent="0.3">
      <c r="A44" s="19"/>
      <c r="B44" s="20"/>
      <c r="C44" s="20"/>
      <c r="D44" s="20"/>
      <c r="E44" s="20"/>
      <c r="F44" s="20"/>
      <c r="G44" s="20"/>
      <c r="H44" s="20"/>
      <c r="I44" s="20"/>
      <c r="J44" s="20"/>
      <c r="K44" s="20"/>
      <c r="L44" s="21"/>
    </row>
    <row r="45" spans="1:12" x14ac:dyDescent="0.3">
      <c r="A45" s="19"/>
      <c r="B45" s="20"/>
      <c r="C45" s="20"/>
      <c r="D45" s="20"/>
      <c r="E45" s="20"/>
      <c r="F45" s="20"/>
      <c r="G45" s="20"/>
      <c r="H45" s="20"/>
      <c r="I45" s="20"/>
      <c r="J45" s="20"/>
      <c r="K45" s="20"/>
      <c r="L45" s="21"/>
    </row>
    <row r="46" spans="1:12" x14ac:dyDescent="0.3">
      <c r="A46" s="22"/>
      <c r="B46" s="23"/>
      <c r="C46" s="23"/>
      <c r="D46" s="23"/>
      <c r="E46" s="23"/>
      <c r="F46" s="23"/>
      <c r="G46" s="23"/>
      <c r="H46" s="23"/>
      <c r="I46" s="23"/>
      <c r="J46" s="23"/>
      <c r="K46" s="23"/>
      <c r="L46" s="24"/>
    </row>
    <row r="47" spans="1:12" x14ac:dyDescent="0.3">
      <c r="A47" s="20"/>
      <c r="B47" s="20"/>
      <c r="C47" s="20"/>
      <c r="D47" s="20"/>
      <c r="E47" s="20"/>
      <c r="F47" s="20"/>
      <c r="G47" s="20"/>
      <c r="H47" s="20"/>
      <c r="I47" s="20"/>
      <c r="J47" s="20"/>
      <c r="K47" s="20"/>
      <c r="L47" s="20"/>
    </row>
    <row r="48" spans="1:12" x14ac:dyDescent="0.3">
      <c r="A48" s="20"/>
      <c r="B48" s="20"/>
      <c r="C48" s="20"/>
      <c r="D48" s="20"/>
      <c r="E48" s="20"/>
      <c r="F48" s="20"/>
      <c r="G48" s="20"/>
      <c r="H48" s="20"/>
      <c r="I48" s="20"/>
      <c r="J48" s="20"/>
      <c r="K48" s="20"/>
      <c r="L48" s="20"/>
    </row>
    <row r="49" spans="1:12" x14ac:dyDescent="0.3">
      <c r="A49" s="20"/>
      <c r="B49" s="20"/>
      <c r="C49" s="20"/>
      <c r="D49" s="20"/>
      <c r="E49" s="20"/>
      <c r="F49" s="20"/>
      <c r="G49" s="20"/>
      <c r="H49" s="20"/>
      <c r="I49" s="20"/>
      <c r="J49" s="20"/>
      <c r="K49" s="20"/>
      <c r="L49" s="20"/>
    </row>
    <row r="50" spans="1:12" x14ac:dyDescent="0.3">
      <c r="A50" s="20"/>
      <c r="B50" s="20"/>
      <c r="C50" s="20"/>
      <c r="D50" s="20"/>
      <c r="E50" s="20"/>
      <c r="F50" s="20"/>
      <c r="G50" s="20"/>
      <c r="H50" s="20"/>
      <c r="I50" s="20"/>
      <c r="J50" s="20"/>
      <c r="K50" s="20"/>
      <c r="L50" s="20"/>
    </row>
    <row r="51" spans="1:12" x14ac:dyDescent="0.3">
      <c r="A51" s="20"/>
      <c r="B51" s="20"/>
      <c r="C51" s="20"/>
      <c r="D51" s="20"/>
      <c r="E51" s="20"/>
      <c r="F51" s="20"/>
      <c r="G51" s="20"/>
      <c r="H51" s="20"/>
      <c r="I51" s="20"/>
      <c r="J51" s="20"/>
      <c r="K51" s="20"/>
      <c r="L51" s="20"/>
    </row>
    <row r="52" spans="1:12" x14ac:dyDescent="0.3">
      <c r="A52" s="20"/>
      <c r="B52" s="20"/>
      <c r="C52" s="20"/>
      <c r="D52" s="20"/>
      <c r="E52" s="20"/>
      <c r="F52" s="20"/>
      <c r="G52" s="20"/>
      <c r="H52" s="20"/>
      <c r="I52" s="20"/>
      <c r="J52" s="20"/>
      <c r="K52" s="20"/>
      <c r="L52" s="20"/>
    </row>
    <row r="53" spans="1:12" x14ac:dyDescent="0.3">
      <c r="A53" s="20"/>
      <c r="B53" s="20"/>
      <c r="C53" s="20"/>
      <c r="D53" s="20"/>
      <c r="E53" s="20"/>
      <c r="F53" s="20"/>
      <c r="G53" s="20"/>
      <c r="H53" s="20"/>
      <c r="I53" s="20"/>
      <c r="J53" s="20"/>
      <c r="K53" s="20"/>
      <c r="L53" s="20"/>
    </row>
  </sheetData>
  <mergeCells count="11">
    <mergeCell ref="A8:L8"/>
    <mergeCell ref="A9:L9"/>
    <mergeCell ref="G4:I5"/>
    <mergeCell ref="G6:I7"/>
    <mergeCell ref="J4:L5"/>
    <mergeCell ref="J6:L7"/>
    <mergeCell ref="A4:C5"/>
    <mergeCell ref="A6:C7"/>
    <mergeCell ref="D4:F5"/>
    <mergeCell ref="D6:F7"/>
    <mergeCell ref="A1: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election activeCell="B28" sqref="B28"/>
    </sheetView>
  </sheetViews>
  <sheetFormatPr defaultRowHeight="14.4" x14ac:dyDescent="0.3"/>
  <cols>
    <col min="1" max="1" width="18" customWidth="1"/>
    <col min="2" max="3" width="35" customWidth="1"/>
  </cols>
  <sheetData>
    <row r="1" spans="1:3" x14ac:dyDescent="0.3">
      <c r="A1" s="6" t="s">
        <v>417</v>
      </c>
      <c r="B1" s="6" t="s">
        <v>418</v>
      </c>
      <c r="C1" s="6" t="s">
        <v>419</v>
      </c>
    </row>
    <row r="2" spans="1:3" x14ac:dyDescent="0.3">
      <c r="A2" t="s">
        <v>420</v>
      </c>
      <c r="B2" t="s">
        <v>421</v>
      </c>
      <c r="C2" t="s">
        <v>422</v>
      </c>
    </row>
    <row r="3" spans="1:3" x14ac:dyDescent="0.3">
      <c r="A3" t="s">
        <v>423</v>
      </c>
      <c r="B3" t="s">
        <v>424</v>
      </c>
      <c r="C3" t="s">
        <v>422</v>
      </c>
    </row>
    <row r="4" spans="1:3" x14ac:dyDescent="0.3">
      <c r="A4" t="s">
        <v>425</v>
      </c>
      <c r="B4" t="s">
        <v>426</v>
      </c>
      <c r="C4" t="s">
        <v>422</v>
      </c>
    </row>
    <row r="5" spans="1:3" x14ac:dyDescent="0.3">
      <c r="A5" t="s">
        <v>427</v>
      </c>
      <c r="B5" t="s">
        <v>428</v>
      </c>
      <c r="C5" t="s">
        <v>422</v>
      </c>
    </row>
    <row r="6" spans="1:3" x14ac:dyDescent="0.3">
      <c r="A6" t="s">
        <v>429</v>
      </c>
      <c r="B6" t="s">
        <v>430</v>
      </c>
      <c r="C6" t="s">
        <v>422</v>
      </c>
    </row>
    <row r="7" spans="1:3" x14ac:dyDescent="0.3">
      <c r="A7" t="s">
        <v>431</v>
      </c>
      <c r="B7" t="s">
        <v>432</v>
      </c>
      <c r="C7" t="s">
        <v>433</v>
      </c>
    </row>
    <row r="8" spans="1:3" x14ac:dyDescent="0.3">
      <c r="A8" t="s">
        <v>434</v>
      </c>
      <c r="B8" t="s">
        <v>435</v>
      </c>
      <c r="C8" t="s">
        <v>436</v>
      </c>
    </row>
    <row r="9" spans="1:3" x14ac:dyDescent="0.3">
      <c r="A9" t="s">
        <v>437</v>
      </c>
      <c r="B9" t="s">
        <v>438</v>
      </c>
      <c r="C9" t="s">
        <v>439</v>
      </c>
    </row>
    <row r="10" spans="1:3" x14ac:dyDescent="0.3">
      <c r="A10" t="s">
        <v>440</v>
      </c>
      <c r="B10" t="s">
        <v>441</v>
      </c>
      <c r="C10" t="s">
        <v>442</v>
      </c>
    </row>
    <row r="11" spans="1:3" x14ac:dyDescent="0.3">
      <c r="A11" t="s">
        <v>443</v>
      </c>
      <c r="B11" t="s">
        <v>444</v>
      </c>
      <c r="C11" t="s">
        <v>445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
  <sheetViews>
    <sheetView workbookViewId="0"/>
  </sheetViews>
  <sheetFormatPr defaultRowHeight="14.4" x14ac:dyDescent="0.3"/>
  <cols>
    <col min="1" max="1" width="100" customWidth="1"/>
  </cols>
  <sheetData>
    <row r="1" spans="1:1" x14ac:dyDescent="0.3">
      <c r="A1" s="6" t="s">
        <v>446</v>
      </c>
    </row>
    <row r="2" spans="1:1" x14ac:dyDescent="0.3">
      <c r="A2" t="s">
        <v>447</v>
      </c>
    </row>
    <row r="3" spans="1:1" x14ac:dyDescent="0.3">
      <c r="A3" t="s">
        <v>448</v>
      </c>
    </row>
    <row r="4" spans="1:1" x14ac:dyDescent="0.3">
      <c r="A4" t="s">
        <v>449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Penjualan</vt:lpstr>
      <vt:lpstr>Latihan</vt:lpstr>
      <vt:lpstr>pivot</vt:lpstr>
      <vt:lpstr>dasboard</vt:lpstr>
      <vt:lpstr>Rancangan Dashboard</vt:lpstr>
      <vt:lpstr>Catatan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xaviaro 836</cp:lastModifiedBy>
  <dcterms:created xsi:type="dcterms:W3CDTF">2026-08-11T02:23:20Z</dcterms:created>
  <dcterms:modified xsi:type="dcterms:W3CDTF">2026-08-11T15:57:48Z</dcterms:modified>
</cp:coreProperties>
</file>
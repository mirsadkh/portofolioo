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yBook Hype AMD\OneDrive\Desktop\OneDrive\Documents\belajar\soal\"/>
    </mc:Choice>
  </mc:AlternateContent>
  <xr:revisionPtr revIDLastSave="0" documentId="13_ncr:1_{8A54CEB7-7B41-4040-A9FA-A9136E4315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_Accounting" sheetId="1" r:id="rId1"/>
    <sheet name="Petunjuk" sheetId="2" r:id="rId2"/>
    <sheet name="Parameter_Latihan" sheetId="3" r:id="rId3"/>
    <sheet name="COA" sheetId="4" r:id="rId4"/>
    <sheet name="Data_Master" sheetId="5" r:id="rId5"/>
    <sheet name="Soal_dan_Jurnal" sheetId="6" r:id="rId6"/>
    <sheet name="Kunci_Jurnal_80" sheetId="7" r:id="rId7"/>
    <sheet name="Buku_Besar" sheetId="8" r:id="rId8"/>
    <sheet name="Rekap_AP" sheetId="9" r:id="rId9"/>
    <sheet name="Rekap_AR" sheetId="10" r:id="rId10"/>
    <sheet name="Inventory_Kartu" sheetId="11" r:id="rId11"/>
    <sheet name="Payroll" sheetId="12" r:id="rId12"/>
    <sheet name="Rekonsiliasi_Bank" sheetId="13" r:id="rId13"/>
    <sheet name="Rekonsiliasi_Akun" sheetId="14" r:id="rId14"/>
    <sheet name="Neraca_Saldo" sheetId="15" r:id="rId15"/>
    <sheet name="Jurnal_Penyesuaian" sheetId="16" r:id="rId16"/>
    <sheet name="Kunci_Penyesuaian" sheetId="17" r:id="rId17"/>
    <sheet name="NS_Setelah_Penyesuaian" sheetId="18" r:id="rId18"/>
    <sheet name="Jurnal_Penutup" sheetId="19" r:id="rId19"/>
    <sheet name="NS_Setelah_Penutupan" sheetId="20" r:id="rId20"/>
    <sheet name="Laba_Rugi" sheetId="21" r:id="rId21"/>
    <sheet name="Perubahan_Ekuitas" sheetId="22" r:id="rId22"/>
    <sheet name="Posisi_Keuangan" sheetId="23" r:id="rId23"/>
    <sheet name="Arus_Kas" sheetId="24" r:id="rId24"/>
    <sheet name="CALK" sheetId="25" r:id="rId25"/>
    <sheet name="Kamus_Rumus" sheetId="26" r:id="rId26"/>
    <sheet name="Arus_Kas_Data" sheetId="27" r:id="rId27"/>
    <sheet name="Saldo_Awal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30" i="6" l="1"/>
  <c r="L228" i="6"/>
  <c r="L226" i="6"/>
  <c r="L224" i="6"/>
  <c r="L222" i="6"/>
  <c r="O222" i="6" s="1"/>
  <c r="L218" i="6"/>
  <c r="K214" i="6" s="1"/>
  <c r="N214" i="6" s="1"/>
  <c r="K208" i="6"/>
  <c r="L209" i="6" s="1"/>
  <c r="O209" i="6" s="1"/>
  <c r="L207" i="6"/>
  <c r="L203" i="6"/>
  <c r="K195" i="6"/>
  <c r="L196" i="6" s="1"/>
  <c r="O196" i="6" s="1"/>
  <c r="K192" i="6"/>
  <c r="L193" i="6" s="1"/>
  <c r="O193" i="6" s="1"/>
  <c r="K190" i="6"/>
  <c r="L191" i="6" s="1"/>
  <c r="K183" i="6"/>
  <c r="N183" i="6" s="1"/>
  <c r="K179" i="6"/>
  <c r="L180" i="6" s="1"/>
  <c r="O180" i="6" s="1"/>
  <c r="K162" i="6"/>
  <c r="N162" i="6" s="1"/>
  <c r="L164" i="6"/>
  <c r="O164" i="6" s="1"/>
  <c r="K163" i="6"/>
  <c r="N163" i="6" s="1"/>
  <c r="L141" i="6"/>
  <c r="K138" i="6" s="1"/>
  <c r="N138" i="6" s="1"/>
  <c r="K136" i="6"/>
  <c r="L137" i="6" s="1"/>
  <c r="O137" i="6" s="1"/>
  <c r="K134" i="6"/>
  <c r="L135" i="6" s="1"/>
  <c r="O135" i="6" s="1"/>
  <c r="K132" i="6"/>
  <c r="L133" i="6" s="1"/>
  <c r="O133" i="6" s="1"/>
  <c r="K130" i="6"/>
  <c r="N130" i="6" s="1"/>
  <c r="K129" i="6"/>
  <c r="N129" i="6" s="1"/>
  <c r="K127" i="6"/>
  <c r="L128" i="6" s="1"/>
  <c r="O128" i="6" s="1"/>
  <c r="K125" i="6"/>
  <c r="L126" i="6" s="1"/>
  <c r="O126" i="6" s="1"/>
  <c r="K121" i="6"/>
  <c r="L123" i="6" s="1"/>
  <c r="O123" i="6" s="1"/>
  <c r="K119" i="6"/>
  <c r="N119" i="6" s="1"/>
  <c r="K118" i="6"/>
  <c r="N118" i="6" s="1"/>
  <c r="L110" i="6"/>
  <c r="O110" i="6" s="1"/>
  <c r="K107" i="6"/>
  <c r="L108" i="6" s="1"/>
  <c r="O108" i="6" s="1"/>
  <c r="L99" i="6"/>
  <c r="K97" i="6" s="1"/>
  <c r="N97" i="6" s="1"/>
  <c r="L94" i="6"/>
  <c r="K92" i="6" s="1"/>
  <c r="N92" i="6" s="1"/>
  <c r="L89" i="6"/>
  <c r="O89" i="6" s="1"/>
  <c r="K83" i="6"/>
  <c r="N83" i="6" s="1"/>
  <c r="K81" i="6"/>
  <c r="L82" i="6" s="1"/>
  <c r="O82" i="6" s="1"/>
  <c r="L71" i="6"/>
  <c r="O71" i="6" s="1"/>
  <c r="K65" i="6"/>
  <c r="L67" i="6" s="1"/>
  <c r="O67" i="6" s="1"/>
  <c r="L62" i="6"/>
  <c r="O62" i="6" s="1"/>
  <c r="K61" i="6"/>
  <c r="M51" i="6"/>
  <c r="K42" i="6"/>
  <c r="L43" i="6" s="1"/>
  <c r="O43" i="6" s="1"/>
  <c r="O42" i="6"/>
  <c r="L40" i="6"/>
  <c r="K38" i="6" s="1"/>
  <c r="N38" i="6" s="1"/>
  <c r="L29" i="6"/>
  <c r="K27" i="6" s="1"/>
  <c r="L24" i="6"/>
  <c r="K22" i="6" s="1"/>
  <c r="K18" i="6"/>
  <c r="L19" i="6" s="1"/>
  <c r="O19" i="6" s="1"/>
  <c r="K15" i="6"/>
  <c r="N15" i="6" s="1"/>
  <c r="K12" i="6"/>
  <c r="L13" i="6" s="1"/>
  <c r="O13" i="6" s="1"/>
  <c r="K9" i="6"/>
  <c r="L10" i="6" s="1"/>
  <c r="O10" i="6" s="1"/>
  <c r="M5" i="6"/>
  <c r="N5" i="6"/>
  <c r="O5" i="6"/>
  <c r="M6" i="6"/>
  <c r="N6" i="6"/>
  <c r="O6" i="6"/>
  <c r="M7" i="6"/>
  <c r="N7" i="6"/>
  <c r="O7" i="6"/>
  <c r="M8" i="6"/>
  <c r="N8" i="6"/>
  <c r="O8" i="6"/>
  <c r="M9" i="6"/>
  <c r="O9" i="6"/>
  <c r="M10" i="6"/>
  <c r="N10" i="6"/>
  <c r="M11" i="6"/>
  <c r="N11" i="6"/>
  <c r="O11" i="6"/>
  <c r="M12" i="6"/>
  <c r="O12" i="6"/>
  <c r="M13" i="6"/>
  <c r="N13" i="6"/>
  <c r="M14" i="6"/>
  <c r="N14" i="6"/>
  <c r="O14" i="6"/>
  <c r="M15" i="6"/>
  <c r="O15" i="6"/>
  <c r="M16" i="6"/>
  <c r="N16" i="6"/>
  <c r="M17" i="6"/>
  <c r="N17" i="6"/>
  <c r="O17" i="6"/>
  <c r="M18" i="6"/>
  <c r="O18" i="6"/>
  <c r="M19" i="6"/>
  <c r="N19" i="6"/>
  <c r="M20" i="6"/>
  <c r="N20" i="6"/>
  <c r="O20" i="6"/>
  <c r="M21" i="6"/>
  <c r="N21" i="6"/>
  <c r="O21" i="6"/>
  <c r="M22" i="6"/>
  <c r="O22" i="6"/>
  <c r="M23" i="6"/>
  <c r="N23" i="6"/>
  <c r="O23" i="6"/>
  <c r="M24" i="6"/>
  <c r="N24" i="6"/>
  <c r="M25" i="6"/>
  <c r="N25" i="6"/>
  <c r="O25" i="6"/>
  <c r="M26" i="6"/>
  <c r="N26" i="6"/>
  <c r="O26" i="6"/>
  <c r="M27" i="6"/>
  <c r="O27" i="6"/>
  <c r="M28" i="6"/>
  <c r="N28" i="6"/>
  <c r="O28" i="6"/>
  <c r="M29" i="6"/>
  <c r="N29" i="6"/>
  <c r="M30" i="6"/>
  <c r="N30" i="6"/>
  <c r="O30" i="6"/>
  <c r="M31" i="6"/>
  <c r="N31" i="6"/>
  <c r="O31" i="6"/>
  <c r="M32" i="6"/>
  <c r="N32" i="6"/>
  <c r="O32" i="6"/>
  <c r="M33" i="6"/>
  <c r="N33" i="6"/>
  <c r="O33" i="6"/>
  <c r="M34" i="6"/>
  <c r="N34" i="6"/>
  <c r="O34" i="6"/>
  <c r="M35" i="6"/>
  <c r="N35" i="6"/>
  <c r="O35" i="6"/>
  <c r="M36" i="6"/>
  <c r="N36" i="6"/>
  <c r="O36" i="6"/>
  <c r="M37" i="6"/>
  <c r="N37" i="6"/>
  <c r="O37" i="6"/>
  <c r="M38" i="6"/>
  <c r="O38" i="6"/>
  <c r="M39" i="6"/>
  <c r="N39" i="6"/>
  <c r="O39" i="6"/>
  <c r="M40" i="6"/>
  <c r="N40" i="6"/>
  <c r="M41" i="6"/>
  <c r="N41" i="6"/>
  <c r="O41" i="6"/>
  <c r="M42" i="6"/>
  <c r="M43" i="6"/>
  <c r="N43" i="6"/>
  <c r="M44" i="6"/>
  <c r="N44" i="6"/>
  <c r="O44" i="6"/>
  <c r="M45" i="6"/>
  <c r="N45" i="6"/>
  <c r="O45" i="6"/>
  <c r="M46" i="6"/>
  <c r="N46" i="6"/>
  <c r="O46" i="6"/>
  <c r="M47" i="6"/>
  <c r="N47" i="6"/>
  <c r="O47" i="6"/>
  <c r="M48" i="6"/>
  <c r="N48" i="6"/>
  <c r="O48" i="6"/>
  <c r="M49" i="6"/>
  <c r="N49" i="6"/>
  <c r="O49" i="6"/>
  <c r="M50" i="6"/>
  <c r="N50" i="6"/>
  <c r="O50" i="6"/>
  <c r="N51" i="6"/>
  <c r="O51" i="6"/>
  <c r="M52" i="6"/>
  <c r="N52" i="6"/>
  <c r="O52" i="6"/>
  <c r="M53" i="6"/>
  <c r="N53" i="6"/>
  <c r="O53" i="6"/>
  <c r="M54" i="6"/>
  <c r="N54" i="6"/>
  <c r="O54" i="6"/>
  <c r="M55" i="6"/>
  <c r="N55" i="6"/>
  <c r="O55" i="6"/>
  <c r="M56" i="6"/>
  <c r="N56" i="6"/>
  <c r="O56" i="6"/>
  <c r="M57" i="6"/>
  <c r="N57" i="6"/>
  <c r="O57" i="6"/>
  <c r="M58" i="6"/>
  <c r="N58" i="6"/>
  <c r="O58" i="6"/>
  <c r="M59" i="6"/>
  <c r="N59" i="6"/>
  <c r="O59" i="6"/>
  <c r="M60" i="6"/>
  <c r="N60" i="6"/>
  <c r="O60" i="6"/>
  <c r="M61" i="6"/>
  <c r="O61" i="6"/>
  <c r="M62" i="6"/>
  <c r="N62" i="6"/>
  <c r="M63" i="6"/>
  <c r="N63" i="6"/>
  <c r="M64" i="6"/>
  <c r="N64" i="6"/>
  <c r="O64" i="6"/>
  <c r="M65" i="6"/>
  <c r="O65" i="6"/>
  <c r="M66" i="6"/>
  <c r="N66" i="6"/>
  <c r="O66" i="6"/>
  <c r="M67" i="6"/>
  <c r="N67" i="6"/>
  <c r="M68" i="6"/>
  <c r="N68" i="6"/>
  <c r="O68" i="6"/>
  <c r="M69" i="6"/>
  <c r="N69" i="6"/>
  <c r="O69" i="6"/>
  <c r="M70" i="6"/>
  <c r="N70" i="6"/>
  <c r="O70" i="6"/>
  <c r="M71" i="6"/>
  <c r="N71" i="6"/>
  <c r="M72" i="6"/>
  <c r="N72" i="6"/>
  <c r="O72" i="6"/>
  <c r="M73" i="6"/>
  <c r="N73" i="6"/>
  <c r="O73" i="6"/>
  <c r="M74" i="6"/>
  <c r="N74" i="6"/>
  <c r="O74" i="6"/>
  <c r="M75" i="6"/>
  <c r="N75" i="6"/>
  <c r="O75" i="6"/>
  <c r="M76" i="6"/>
  <c r="N76" i="6"/>
  <c r="O76" i="6"/>
  <c r="M77" i="6"/>
  <c r="N77" i="6"/>
  <c r="O77" i="6"/>
  <c r="M78" i="6"/>
  <c r="N78" i="6"/>
  <c r="O78" i="6"/>
  <c r="M79" i="6"/>
  <c r="N79" i="6"/>
  <c r="O79" i="6"/>
  <c r="M80" i="6"/>
  <c r="N80" i="6"/>
  <c r="O80" i="6"/>
  <c r="M81" i="6"/>
  <c r="O81" i="6"/>
  <c r="M82" i="6"/>
  <c r="N82" i="6"/>
  <c r="M83" i="6"/>
  <c r="O83" i="6"/>
  <c r="M84" i="6"/>
  <c r="N84" i="6"/>
  <c r="O84" i="6"/>
  <c r="M85" i="6"/>
  <c r="N85" i="6"/>
  <c r="O85" i="6"/>
  <c r="M86" i="6"/>
  <c r="N86" i="6"/>
  <c r="O86" i="6"/>
  <c r="M87" i="6"/>
  <c r="N87" i="6"/>
  <c r="O87" i="6"/>
  <c r="M88" i="6"/>
  <c r="N88" i="6"/>
  <c r="O88" i="6"/>
  <c r="M89" i="6"/>
  <c r="N89" i="6"/>
  <c r="M90" i="6"/>
  <c r="N90" i="6"/>
  <c r="O90" i="6"/>
  <c r="M91" i="6"/>
  <c r="N91" i="6"/>
  <c r="O91" i="6"/>
  <c r="M92" i="6"/>
  <c r="O92" i="6"/>
  <c r="M93" i="6"/>
  <c r="N93" i="6"/>
  <c r="O93" i="6"/>
  <c r="M94" i="6"/>
  <c r="N94" i="6"/>
  <c r="M95" i="6"/>
  <c r="N95" i="6"/>
  <c r="O95" i="6"/>
  <c r="M96" i="6"/>
  <c r="N96" i="6"/>
  <c r="O96" i="6"/>
  <c r="M97" i="6"/>
  <c r="O97" i="6"/>
  <c r="M98" i="6"/>
  <c r="N98" i="6"/>
  <c r="O98" i="6"/>
  <c r="M99" i="6"/>
  <c r="N99" i="6"/>
  <c r="M100" i="6"/>
  <c r="N100" i="6"/>
  <c r="O100" i="6"/>
  <c r="M101" i="6"/>
  <c r="N101" i="6"/>
  <c r="O101" i="6"/>
  <c r="M102" i="6"/>
  <c r="N102" i="6"/>
  <c r="O102" i="6"/>
  <c r="M103" i="6"/>
  <c r="N103" i="6"/>
  <c r="O103" i="6"/>
  <c r="M104" i="6"/>
  <c r="N104" i="6"/>
  <c r="O104" i="6"/>
  <c r="M105" i="6"/>
  <c r="N105" i="6"/>
  <c r="O105" i="6"/>
  <c r="M106" i="6"/>
  <c r="N106" i="6"/>
  <c r="O106" i="6"/>
  <c r="M107" i="6"/>
  <c r="O107" i="6"/>
  <c r="M108" i="6"/>
  <c r="N108" i="6"/>
  <c r="M109" i="6"/>
  <c r="N109" i="6"/>
  <c r="O109" i="6"/>
  <c r="M110" i="6"/>
  <c r="N110" i="6"/>
  <c r="M111" i="6"/>
  <c r="N111" i="6"/>
  <c r="O111" i="6"/>
  <c r="M112" i="6"/>
  <c r="N112" i="6"/>
  <c r="O112" i="6"/>
  <c r="M113" i="6"/>
  <c r="N113" i="6"/>
  <c r="O113" i="6"/>
  <c r="M114" i="6"/>
  <c r="N114" i="6"/>
  <c r="O114" i="6"/>
  <c r="M115" i="6"/>
  <c r="N115" i="6"/>
  <c r="O115" i="6"/>
  <c r="M116" i="6"/>
  <c r="N116" i="6"/>
  <c r="O116" i="6"/>
  <c r="M117" i="6"/>
  <c r="N117" i="6"/>
  <c r="O117" i="6"/>
  <c r="M118" i="6"/>
  <c r="O118" i="6"/>
  <c r="M119" i="6"/>
  <c r="O119" i="6"/>
  <c r="M120" i="6"/>
  <c r="N120" i="6"/>
  <c r="M121" i="6"/>
  <c r="O121" i="6"/>
  <c r="M122" i="6"/>
  <c r="O122" i="6"/>
  <c r="M123" i="6"/>
  <c r="N123" i="6"/>
  <c r="M124" i="6"/>
  <c r="N124" i="6"/>
  <c r="M125" i="6"/>
  <c r="O125" i="6"/>
  <c r="M126" i="6"/>
  <c r="N126" i="6"/>
  <c r="M127" i="6"/>
  <c r="O127" i="6"/>
  <c r="M128" i="6"/>
  <c r="N128" i="6"/>
  <c r="M129" i="6"/>
  <c r="O129" i="6"/>
  <c r="M130" i="6"/>
  <c r="O130" i="6"/>
  <c r="M131" i="6"/>
  <c r="N131" i="6"/>
  <c r="O131" i="6"/>
  <c r="M132" i="6"/>
  <c r="O132" i="6"/>
  <c r="M133" i="6"/>
  <c r="N133" i="6"/>
  <c r="M134" i="6"/>
  <c r="O134" i="6"/>
  <c r="M135" i="6"/>
  <c r="N135" i="6"/>
  <c r="M136" i="6"/>
  <c r="O136" i="6"/>
  <c r="M137" i="6"/>
  <c r="N137" i="6"/>
  <c r="M138" i="6"/>
  <c r="O138" i="6"/>
  <c r="M139" i="6"/>
  <c r="N139" i="6"/>
  <c r="O139" i="6"/>
  <c r="M140" i="6"/>
  <c r="N140" i="6"/>
  <c r="O140" i="6"/>
  <c r="M141" i="6"/>
  <c r="N141" i="6"/>
  <c r="M142" i="6"/>
  <c r="N142" i="6"/>
  <c r="O142" i="6"/>
  <c r="M143" i="6"/>
  <c r="N143" i="6"/>
  <c r="O143" i="6"/>
  <c r="M144" i="6"/>
  <c r="N144" i="6"/>
  <c r="O144" i="6"/>
  <c r="M145" i="6"/>
  <c r="N145" i="6"/>
  <c r="O145" i="6"/>
  <c r="M146" i="6"/>
  <c r="N146" i="6"/>
  <c r="O146" i="6"/>
  <c r="M147" i="6"/>
  <c r="N147" i="6"/>
  <c r="O147" i="6"/>
  <c r="M148" i="6"/>
  <c r="N148" i="6"/>
  <c r="O148" i="6"/>
  <c r="M149" i="6"/>
  <c r="N149" i="6"/>
  <c r="O149" i="6"/>
  <c r="M150" i="6"/>
  <c r="N150" i="6"/>
  <c r="O150" i="6"/>
  <c r="M151" i="6"/>
  <c r="N151" i="6"/>
  <c r="O151" i="6"/>
  <c r="M152" i="6"/>
  <c r="N152" i="6"/>
  <c r="O152" i="6"/>
  <c r="M153" i="6"/>
  <c r="N153" i="6"/>
  <c r="O153" i="6"/>
  <c r="M154" i="6"/>
  <c r="N154" i="6"/>
  <c r="O154" i="6"/>
  <c r="M155" i="6"/>
  <c r="N155" i="6"/>
  <c r="O155" i="6"/>
  <c r="M156" i="6"/>
  <c r="N156" i="6"/>
  <c r="O156" i="6"/>
  <c r="M157" i="6"/>
  <c r="N157" i="6"/>
  <c r="O157" i="6"/>
  <c r="M158" i="6"/>
  <c r="N158" i="6"/>
  <c r="O158" i="6"/>
  <c r="M159" i="6"/>
  <c r="N159" i="6"/>
  <c r="O159" i="6"/>
  <c r="M160" i="6"/>
  <c r="N160" i="6"/>
  <c r="O160" i="6"/>
  <c r="M161" i="6"/>
  <c r="N161" i="6"/>
  <c r="O161" i="6"/>
  <c r="M162" i="6"/>
  <c r="O162" i="6"/>
  <c r="M163" i="6"/>
  <c r="O163" i="6"/>
  <c r="M164" i="6"/>
  <c r="N164" i="6"/>
  <c r="M165" i="6"/>
  <c r="N165" i="6"/>
  <c r="M166" i="6"/>
  <c r="N166" i="6"/>
  <c r="O166" i="6"/>
  <c r="M167" i="6"/>
  <c r="N167" i="6"/>
  <c r="O167" i="6"/>
  <c r="M168" i="6"/>
  <c r="N168" i="6"/>
  <c r="O168" i="6"/>
  <c r="M169" i="6"/>
  <c r="N169" i="6"/>
  <c r="O169" i="6"/>
  <c r="M170" i="6"/>
  <c r="N170" i="6"/>
  <c r="O170" i="6"/>
  <c r="M171" i="6"/>
  <c r="N171" i="6"/>
  <c r="O171" i="6"/>
  <c r="M172" i="6"/>
  <c r="N172" i="6"/>
  <c r="O172" i="6"/>
  <c r="M173" i="6"/>
  <c r="N173" i="6"/>
  <c r="O173" i="6"/>
  <c r="M174" i="6"/>
  <c r="N174" i="6"/>
  <c r="O174" i="6"/>
  <c r="M175" i="6"/>
  <c r="N175" i="6"/>
  <c r="O175" i="6"/>
  <c r="M176" i="6"/>
  <c r="N176" i="6"/>
  <c r="O176" i="6"/>
  <c r="M177" i="6"/>
  <c r="N177" i="6"/>
  <c r="O177" i="6"/>
  <c r="M178" i="6"/>
  <c r="N178" i="6"/>
  <c r="O178" i="6"/>
  <c r="M179" i="6"/>
  <c r="O179" i="6"/>
  <c r="M180" i="6"/>
  <c r="N180" i="6"/>
  <c r="M181" i="6"/>
  <c r="N181" i="6"/>
  <c r="O181" i="6"/>
  <c r="M182" i="6"/>
  <c r="N182" i="6"/>
  <c r="O182" i="6"/>
  <c r="M183" i="6"/>
  <c r="O183" i="6"/>
  <c r="M184" i="6"/>
  <c r="O184" i="6"/>
  <c r="M185" i="6"/>
  <c r="N185" i="6"/>
  <c r="M186" i="6"/>
  <c r="N186" i="6"/>
  <c r="M187" i="6"/>
  <c r="N187" i="6"/>
  <c r="O187" i="6"/>
  <c r="M188" i="6"/>
  <c r="N188" i="6"/>
  <c r="O188" i="6"/>
  <c r="M189" i="6"/>
  <c r="N189" i="6"/>
  <c r="O189" i="6"/>
  <c r="M190" i="6"/>
  <c r="O190" i="6"/>
  <c r="M191" i="6"/>
  <c r="N191" i="6"/>
  <c r="M192" i="6"/>
  <c r="O192" i="6"/>
  <c r="M193" i="6"/>
  <c r="N193" i="6"/>
  <c r="M194" i="6"/>
  <c r="N194" i="6"/>
  <c r="O194" i="6"/>
  <c r="M195" i="6"/>
  <c r="O195" i="6"/>
  <c r="M196" i="6"/>
  <c r="N196" i="6"/>
  <c r="M197" i="6"/>
  <c r="N197" i="6"/>
  <c r="O197" i="6"/>
  <c r="M198" i="6"/>
  <c r="N198" i="6"/>
  <c r="O198" i="6"/>
  <c r="M199" i="6"/>
  <c r="N199" i="6"/>
  <c r="O199" i="6"/>
  <c r="M200" i="6"/>
  <c r="N200" i="6"/>
  <c r="O200" i="6"/>
  <c r="M201" i="6"/>
  <c r="N201" i="6"/>
  <c r="O201" i="6"/>
  <c r="M202" i="6"/>
  <c r="N202" i="6"/>
  <c r="O202" i="6"/>
  <c r="M203" i="6"/>
  <c r="N203" i="6"/>
  <c r="O203" i="6"/>
  <c r="M204" i="6"/>
  <c r="N204" i="6"/>
  <c r="O204" i="6"/>
  <c r="M205" i="6"/>
  <c r="N205" i="6"/>
  <c r="O205" i="6"/>
  <c r="M206" i="6"/>
  <c r="N206" i="6"/>
  <c r="O206" i="6"/>
  <c r="M207" i="6"/>
  <c r="N207" i="6"/>
  <c r="O207" i="6"/>
  <c r="M208" i="6"/>
  <c r="O208" i="6"/>
  <c r="M209" i="6"/>
  <c r="N209" i="6"/>
  <c r="M210" i="6"/>
  <c r="N210" i="6"/>
  <c r="O210" i="6"/>
  <c r="M211" i="6"/>
  <c r="N211" i="6"/>
  <c r="O211" i="6"/>
  <c r="M212" i="6"/>
  <c r="N212" i="6"/>
  <c r="O212" i="6"/>
  <c r="M213" i="6"/>
  <c r="N213" i="6"/>
  <c r="O213" i="6"/>
  <c r="M214" i="6"/>
  <c r="O214" i="6"/>
  <c r="M215" i="6"/>
  <c r="N215" i="6"/>
  <c r="O215" i="6"/>
  <c r="M216" i="6"/>
  <c r="N216" i="6"/>
  <c r="O216" i="6"/>
  <c r="M217" i="6"/>
  <c r="N217" i="6"/>
  <c r="O217" i="6"/>
  <c r="M218" i="6"/>
  <c r="N218" i="6"/>
  <c r="M219" i="6"/>
  <c r="N219" i="6"/>
  <c r="O219" i="6"/>
  <c r="M220" i="6"/>
  <c r="N220" i="6"/>
  <c r="O220" i="6"/>
  <c r="M221" i="6"/>
  <c r="N221" i="6"/>
  <c r="O221" i="6"/>
  <c r="M222" i="6"/>
  <c r="N222" i="6"/>
  <c r="M223" i="6"/>
  <c r="N223" i="6"/>
  <c r="O223" i="6"/>
  <c r="M224" i="6"/>
  <c r="N224" i="6"/>
  <c r="O224" i="6"/>
  <c r="M225" i="6"/>
  <c r="N225" i="6"/>
  <c r="O225" i="6"/>
  <c r="M226" i="6"/>
  <c r="N226" i="6"/>
  <c r="O226" i="6"/>
  <c r="M227" i="6"/>
  <c r="N227" i="6"/>
  <c r="O227" i="6"/>
  <c r="M228" i="6"/>
  <c r="N228" i="6"/>
  <c r="O228" i="6"/>
  <c r="M229" i="6"/>
  <c r="N229" i="6"/>
  <c r="O229" i="6"/>
  <c r="M230" i="6"/>
  <c r="N230" i="6"/>
  <c r="O230" i="6"/>
  <c r="M231" i="6"/>
  <c r="N231" i="6"/>
  <c r="O231" i="6"/>
  <c r="O4" i="6"/>
  <c r="N4" i="6"/>
  <c r="M4" i="6"/>
  <c r="D92" i="28"/>
  <c r="C92" i="28"/>
  <c r="G92" i="28" s="1"/>
  <c r="B16" i="24"/>
  <c r="B15" i="24"/>
  <c r="B17" i="24" s="1"/>
  <c r="B12" i="24"/>
  <c r="B11" i="24"/>
  <c r="B13" i="24" s="1"/>
  <c r="B8" i="24"/>
  <c r="B7" i="24"/>
  <c r="B9" i="24" s="1"/>
  <c r="P94" i="16"/>
  <c r="O94" i="16"/>
  <c r="N94" i="16"/>
  <c r="M94" i="16"/>
  <c r="P93" i="16"/>
  <c r="O93" i="16"/>
  <c r="N93" i="16"/>
  <c r="M93" i="16"/>
  <c r="P91" i="16"/>
  <c r="O91" i="16"/>
  <c r="N91" i="16"/>
  <c r="M91" i="16"/>
  <c r="P90" i="16"/>
  <c r="O90" i="16"/>
  <c r="N90" i="16"/>
  <c r="M90" i="16"/>
  <c r="P89" i="16"/>
  <c r="O89" i="16"/>
  <c r="N89" i="16"/>
  <c r="M89" i="16"/>
  <c r="P87" i="16"/>
  <c r="O87" i="16"/>
  <c r="N87" i="16"/>
  <c r="M87" i="16"/>
  <c r="P86" i="16"/>
  <c r="O86" i="16"/>
  <c r="N86" i="16"/>
  <c r="M86" i="16"/>
  <c r="P84" i="16"/>
  <c r="O84" i="16"/>
  <c r="N84" i="16"/>
  <c r="M84" i="16"/>
  <c r="P83" i="16"/>
  <c r="O83" i="16"/>
  <c r="N83" i="16"/>
  <c r="M83" i="16"/>
  <c r="P81" i="16"/>
  <c r="O81" i="16"/>
  <c r="N81" i="16"/>
  <c r="M81" i="16"/>
  <c r="P79" i="16"/>
  <c r="O79" i="16"/>
  <c r="N79" i="16"/>
  <c r="M79" i="16"/>
  <c r="P78" i="16"/>
  <c r="O78" i="16"/>
  <c r="N78" i="16"/>
  <c r="M78" i="16"/>
  <c r="P76" i="16"/>
  <c r="O76" i="16"/>
  <c r="N76" i="16"/>
  <c r="M76" i="16"/>
  <c r="P75" i="16"/>
  <c r="O75" i="16"/>
  <c r="N75" i="16"/>
  <c r="M75" i="16"/>
  <c r="P73" i="16"/>
  <c r="O73" i="16"/>
  <c r="N73" i="16"/>
  <c r="M73" i="16"/>
  <c r="P72" i="16"/>
  <c r="O72" i="16"/>
  <c r="N72" i="16"/>
  <c r="M72" i="16"/>
  <c r="P70" i="16"/>
  <c r="O70" i="16"/>
  <c r="N70" i="16"/>
  <c r="M70" i="16"/>
  <c r="P69" i="16"/>
  <c r="O69" i="16"/>
  <c r="N69" i="16"/>
  <c r="M69" i="16"/>
  <c r="P67" i="16"/>
  <c r="O67" i="16"/>
  <c r="N67" i="16"/>
  <c r="M67" i="16"/>
  <c r="P66" i="16"/>
  <c r="O66" i="16"/>
  <c r="N66" i="16"/>
  <c r="M66" i="16"/>
  <c r="P64" i="16"/>
  <c r="O64" i="16"/>
  <c r="N64" i="16"/>
  <c r="M64" i="16"/>
  <c r="P63" i="16"/>
  <c r="O63" i="16"/>
  <c r="N63" i="16"/>
  <c r="M63" i="16"/>
  <c r="P61" i="16"/>
  <c r="O61" i="16"/>
  <c r="N61" i="16"/>
  <c r="M61" i="16"/>
  <c r="P60" i="16"/>
  <c r="O60" i="16"/>
  <c r="N60" i="16"/>
  <c r="M60" i="16"/>
  <c r="P59" i="16"/>
  <c r="O59" i="16"/>
  <c r="N59" i="16"/>
  <c r="M59" i="16"/>
  <c r="P57" i="16"/>
  <c r="O57" i="16"/>
  <c r="N57" i="16"/>
  <c r="M57" i="16"/>
  <c r="P56" i="16"/>
  <c r="O56" i="16"/>
  <c r="N56" i="16"/>
  <c r="M56" i="16"/>
  <c r="P54" i="16"/>
  <c r="O54" i="16"/>
  <c r="N54" i="16"/>
  <c r="M54" i="16"/>
  <c r="P53" i="16"/>
  <c r="O53" i="16"/>
  <c r="N53" i="16"/>
  <c r="M53" i="16"/>
  <c r="P51" i="16"/>
  <c r="O51" i="16"/>
  <c r="N51" i="16"/>
  <c r="M51" i="16"/>
  <c r="P50" i="16"/>
  <c r="O50" i="16"/>
  <c r="N50" i="16"/>
  <c r="M50" i="16"/>
  <c r="P48" i="16"/>
  <c r="O48" i="16"/>
  <c r="N48" i="16"/>
  <c r="M48" i="16"/>
  <c r="P47" i="16"/>
  <c r="O47" i="16"/>
  <c r="N47" i="16"/>
  <c r="M47" i="16"/>
  <c r="P45" i="16"/>
  <c r="O45" i="16"/>
  <c r="N45" i="16"/>
  <c r="M45" i="16"/>
  <c r="P44" i="16"/>
  <c r="O44" i="16"/>
  <c r="N44" i="16"/>
  <c r="M44" i="16"/>
  <c r="P42" i="16"/>
  <c r="O42" i="16"/>
  <c r="N42" i="16"/>
  <c r="M42" i="16"/>
  <c r="P41" i="16"/>
  <c r="O41" i="16"/>
  <c r="N41" i="16"/>
  <c r="M41" i="16"/>
  <c r="P40" i="16"/>
  <c r="O40" i="16"/>
  <c r="N40" i="16"/>
  <c r="M40" i="16"/>
  <c r="P38" i="16"/>
  <c r="O38" i="16"/>
  <c r="N38" i="16"/>
  <c r="M38" i="16"/>
  <c r="P37" i="16"/>
  <c r="O37" i="16"/>
  <c r="N37" i="16"/>
  <c r="M37" i="16"/>
  <c r="P35" i="16"/>
  <c r="O35" i="16"/>
  <c r="N35" i="16"/>
  <c r="M35" i="16"/>
  <c r="P34" i="16"/>
  <c r="O34" i="16"/>
  <c r="N34" i="16"/>
  <c r="M34" i="16"/>
  <c r="P32" i="16"/>
  <c r="O32" i="16"/>
  <c r="N32" i="16"/>
  <c r="M32" i="16"/>
  <c r="P31" i="16"/>
  <c r="O31" i="16"/>
  <c r="N31" i="16"/>
  <c r="M31" i="16"/>
  <c r="P29" i="16"/>
  <c r="O29" i="16"/>
  <c r="N29" i="16"/>
  <c r="M29" i="16"/>
  <c r="P28" i="16"/>
  <c r="O28" i="16"/>
  <c r="N28" i="16"/>
  <c r="M28" i="16"/>
  <c r="P26" i="16"/>
  <c r="O26" i="16"/>
  <c r="N26" i="16"/>
  <c r="M26" i="16"/>
  <c r="P25" i="16"/>
  <c r="O25" i="16"/>
  <c r="N25" i="16"/>
  <c r="M25" i="16"/>
  <c r="P23" i="16"/>
  <c r="O23" i="16"/>
  <c r="N23" i="16"/>
  <c r="M23" i="16"/>
  <c r="P22" i="16"/>
  <c r="O22" i="16"/>
  <c r="N22" i="16"/>
  <c r="M22" i="16"/>
  <c r="P20" i="16"/>
  <c r="O20" i="16"/>
  <c r="N20" i="16"/>
  <c r="M20" i="16"/>
  <c r="P19" i="16"/>
  <c r="O19" i="16"/>
  <c r="N19" i="16"/>
  <c r="M19" i="16"/>
  <c r="P17" i="16"/>
  <c r="O17" i="16"/>
  <c r="N17" i="16"/>
  <c r="M17" i="16"/>
  <c r="P16" i="16"/>
  <c r="O16" i="16"/>
  <c r="N16" i="16"/>
  <c r="M16" i="16"/>
  <c r="P14" i="16"/>
  <c r="O14" i="16"/>
  <c r="N14" i="16"/>
  <c r="M14" i="16"/>
  <c r="P13" i="16"/>
  <c r="O13" i="16"/>
  <c r="N13" i="16"/>
  <c r="M13" i="16"/>
  <c r="P11" i="16"/>
  <c r="O11" i="16"/>
  <c r="N11" i="16"/>
  <c r="M11" i="16"/>
  <c r="P10" i="16"/>
  <c r="O10" i="16"/>
  <c r="N10" i="16"/>
  <c r="M10" i="16"/>
  <c r="P8" i="16"/>
  <c r="O8" i="16"/>
  <c r="N8" i="16"/>
  <c r="M8" i="16"/>
  <c r="P7" i="16"/>
  <c r="O7" i="16"/>
  <c r="N7" i="16"/>
  <c r="M7" i="16"/>
  <c r="P5" i="16"/>
  <c r="O5" i="16"/>
  <c r="N5" i="16"/>
  <c r="M5" i="16"/>
  <c r="P4" i="16"/>
  <c r="O4" i="16"/>
  <c r="N4" i="16"/>
  <c r="M4" i="16"/>
  <c r="E8" i="14"/>
  <c r="E6" i="14"/>
  <c r="D11" i="13"/>
  <c r="B11" i="13"/>
  <c r="B13" i="13" s="1"/>
  <c r="D19" i="25" s="1"/>
  <c r="C11" i="12"/>
  <c r="K9" i="12"/>
  <c r="I9" i="12"/>
  <c r="E9" i="12"/>
  <c r="K8" i="12"/>
  <c r="E8" i="12"/>
  <c r="I8" i="12" s="1"/>
  <c r="J8" i="12" s="1"/>
  <c r="K7" i="12"/>
  <c r="I7" i="12"/>
  <c r="E7" i="12"/>
  <c r="K6" i="12"/>
  <c r="J6" i="12"/>
  <c r="I6" i="12"/>
  <c r="E6" i="12"/>
  <c r="K5" i="12"/>
  <c r="J5" i="12"/>
  <c r="I5" i="12"/>
  <c r="E5" i="12"/>
  <c r="K4" i="12"/>
  <c r="J4" i="12"/>
  <c r="I4" i="12"/>
  <c r="E4" i="12"/>
  <c r="E11" i="12" s="1"/>
  <c r="B8" i="14" s="1"/>
  <c r="H13" i="11"/>
  <c r="F13" i="11"/>
  <c r="F12" i="11"/>
  <c r="H11" i="11"/>
  <c r="F11" i="11"/>
  <c r="F10" i="11"/>
  <c r="H9" i="11"/>
  <c r="F9" i="11"/>
  <c r="H8" i="11"/>
  <c r="F8" i="11"/>
  <c r="F7" i="11"/>
  <c r="F6" i="11"/>
  <c r="I5" i="11"/>
  <c r="I6" i="11" s="1"/>
  <c r="I7" i="11" s="1"/>
  <c r="I8" i="11" s="1"/>
  <c r="I9" i="11" s="1"/>
  <c r="I10" i="11" s="1"/>
  <c r="I11" i="11" s="1"/>
  <c r="I12" i="11" s="1"/>
  <c r="I13" i="11" s="1"/>
  <c r="H5" i="11"/>
  <c r="J5" i="11" s="1"/>
  <c r="J6" i="11" s="1"/>
  <c r="J7" i="11" s="1"/>
  <c r="J8" i="11" s="1"/>
  <c r="J9" i="11" s="1"/>
  <c r="J10" i="11" s="1"/>
  <c r="J11" i="11" s="1"/>
  <c r="J12" i="11" s="1"/>
  <c r="J13" i="11" s="1"/>
  <c r="B6" i="14" s="1"/>
  <c r="F5" i="11"/>
  <c r="I4" i="11"/>
  <c r="F4" i="11"/>
  <c r="J4" i="11" s="1"/>
  <c r="K8" i="10"/>
  <c r="J8" i="10"/>
  <c r="I8" i="10"/>
  <c r="I7" i="10"/>
  <c r="I6" i="10"/>
  <c r="I5" i="10"/>
  <c r="I4" i="10"/>
  <c r="I11" i="9"/>
  <c r="H11" i="9"/>
  <c r="G9" i="9"/>
  <c r="G8" i="9"/>
  <c r="G7" i="9"/>
  <c r="G6" i="9"/>
  <c r="G5" i="9"/>
  <c r="G4" i="9"/>
  <c r="G11" i="9" s="1"/>
  <c r="N91" i="8"/>
  <c r="M91" i="8"/>
  <c r="J91" i="8"/>
  <c r="I91" i="8"/>
  <c r="H91" i="8"/>
  <c r="G91" i="8"/>
  <c r="F91" i="8"/>
  <c r="F91" i="15" s="1"/>
  <c r="E91" i="8"/>
  <c r="N90" i="8"/>
  <c r="M90" i="8"/>
  <c r="J90" i="8"/>
  <c r="I90" i="8"/>
  <c r="H90" i="8"/>
  <c r="G90" i="8"/>
  <c r="F90" i="8"/>
  <c r="E90" i="8"/>
  <c r="M89" i="8"/>
  <c r="L89" i="8"/>
  <c r="J89" i="8"/>
  <c r="I89" i="8"/>
  <c r="H89" i="8"/>
  <c r="G89" i="8"/>
  <c r="F89" i="8"/>
  <c r="E89" i="8"/>
  <c r="K89" i="8" s="1"/>
  <c r="M88" i="8"/>
  <c r="J88" i="8"/>
  <c r="I88" i="8"/>
  <c r="H88" i="8"/>
  <c r="G88" i="8"/>
  <c r="F88" i="8"/>
  <c r="L88" i="8" s="1"/>
  <c r="E88" i="8"/>
  <c r="M87" i="8"/>
  <c r="L87" i="8"/>
  <c r="J87" i="8"/>
  <c r="I87" i="8"/>
  <c r="H87" i="8"/>
  <c r="G87" i="8"/>
  <c r="F87" i="8"/>
  <c r="E87" i="8"/>
  <c r="K87" i="8" s="1"/>
  <c r="M86" i="8"/>
  <c r="J86" i="8"/>
  <c r="I86" i="8"/>
  <c r="H86" i="8"/>
  <c r="G86" i="8"/>
  <c r="F86" i="8"/>
  <c r="L86" i="8" s="1"/>
  <c r="E86" i="8"/>
  <c r="E86" i="15" s="1"/>
  <c r="M85" i="8"/>
  <c r="L85" i="8"/>
  <c r="J85" i="8"/>
  <c r="I85" i="8"/>
  <c r="H85" i="8"/>
  <c r="G85" i="8"/>
  <c r="F85" i="8"/>
  <c r="F85" i="15" s="1"/>
  <c r="E85" i="8"/>
  <c r="K85" i="8" s="1"/>
  <c r="M84" i="8"/>
  <c r="J84" i="8"/>
  <c r="I84" i="8"/>
  <c r="H84" i="8"/>
  <c r="G84" i="8"/>
  <c r="F84" i="8"/>
  <c r="L84" i="8" s="1"/>
  <c r="E84" i="8"/>
  <c r="M83" i="8"/>
  <c r="L83" i="8"/>
  <c r="J83" i="8"/>
  <c r="I83" i="8"/>
  <c r="H83" i="8"/>
  <c r="G83" i="8"/>
  <c r="F83" i="8"/>
  <c r="E83" i="8"/>
  <c r="K83" i="8" s="1"/>
  <c r="M82" i="8"/>
  <c r="J82" i="8"/>
  <c r="I82" i="8"/>
  <c r="H82" i="8"/>
  <c r="G82" i="8"/>
  <c r="F82" i="8"/>
  <c r="L82" i="8" s="1"/>
  <c r="E82" i="8"/>
  <c r="M81" i="8"/>
  <c r="L81" i="8"/>
  <c r="J81" i="8"/>
  <c r="I81" i="8"/>
  <c r="H81" i="8"/>
  <c r="G81" i="8"/>
  <c r="F81" i="8"/>
  <c r="E81" i="8"/>
  <c r="K81" i="8" s="1"/>
  <c r="M80" i="8"/>
  <c r="J80" i="8"/>
  <c r="I80" i="8"/>
  <c r="H80" i="8"/>
  <c r="G80" i="8"/>
  <c r="F80" i="8"/>
  <c r="L80" i="8" s="1"/>
  <c r="E80" i="8"/>
  <c r="M79" i="8"/>
  <c r="L79" i="8"/>
  <c r="J79" i="8"/>
  <c r="I79" i="8"/>
  <c r="H79" i="8"/>
  <c r="G79" i="8"/>
  <c r="F79" i="8"/>
  <c r="E79" i="8"/>
  <c r="K79" i="8" s="1"/>
  <c r="M78" i="8"/>
  <c r="J78" i="8"/>
  <c r="I78" i="8"/>
  <c r="H78" i="8"/>
  <c r="G78" i="8"/>
  <c r="F78" i="8"/>
  <c r="L78" i="8" s="1"/>
  <c r="E78" i="8"/>
  <c r="M77" i="8"/>
  <c r="L77" i="8"/>
  <c r="J77" i="8"/>
  <c r="I77" i="8"/>
  <c r="H77" i="8"/>
  <c r="G77" i="8"/>
  <c r="F77" i="8"/>
  <c r="E77" i="8"/>
  <c r="K77" i="8" s="1"/>
  <c r="M76" i="8"/>
  <c r="J76" i="8"/>
  <c r="I76" i="8"/>
  <c r="H76" i="8"/>
  <c r="G76" i="8"/>
  <c r="F76" i="8"/>
  <c r="F76" i="15" s="1"/>
  <c r="E76" i="8"/>
  <c r="M75" i="8"/>
  <c r="L75" i="8"/>
  <c r="J75" i="8"/>
  <c r="I75" i="8"/>
  <c r="H75" i="8"/>
  <c r="G75" i="8"/>
  <c r="F75" i="8"/>
  <c r="F75" i="15" s="1"/>
  <c r="E75" i="8"/>
  <c r="K75" i="8" s="1"/>
  <c r="M74" i="8"/>
  <c r="J74" i="8"/>
  <c r="I74" i="8"/>
  <c r="H74" i="8"/>
  <c r="G74" i="8"/>
  <c r="F74" i="8"/>
  <c r="L74" i="8" s="1"/>
  <c r="E74" i="8"/>
  <c r="M73" i="8"/>
  <c r="L73" i="8"/>
  <c r="J73" i="8"/>
  <c r="I73" i="8"/>
  <c r="H73" i="8"/>
  <c r="G73" i="8"/>
  <c r="F73" i="8"/>
  <c r="E73" i="8"/>
  <c r="K73" i="8" s="1"/>
  <c r="M72" i="8"/>
  <c r="J72" i="8"/>
  <c r="I72" i="8"/>
  <c r="H72" i="8"/>
  <c r="G72" i="8"/>
  <c r="F72" i="8"/>
  <c r="L72" i="8" s="1"/>
  <c r="E72" i="8"/>
  <c r="E72" i="18" s="1"/>
  <c r="M71" i="8"/>
  <c r="L71" i="8"/>
  <c r="J71" i="8"/>
  <c r="I71" i="8"/>
  <c r="H71" i="8"/>
  <c r="G71" i="8"/>
  <c r="F71" i="8"/>
  <c r="E71" i="8"/>
  <c r="K71" i="8" s="1"/>
  <c r="M70" i="8"/>
  <c r="J70" i="8"/>
  <c r="I70" i="8"/>
  <c r="H70" i="8"/>
  <c r="G70" i="8"/>
  <c r="F70" i="8"/>
  <c r="L70" i="8" s="1"/>
  <c r="E70" i="8"/>
  <c r="E70" i="15" s="1"/>
  <c r="M69" i="8"/>
  <c r="L69" i="8"/>
  <c r="J69" i="8"/>
  <c r="I69" i="8"/>
  <c r="H69" i="8"/>
  <c r="G69" i="8"/>
  <c r="F69" i="8"/>
  <c r="E69" i="8"/>
  <c r="K69" i="8" s="1"/>
  <c r="M68" i="8"/>
  <c r="J68" i="8"/>
  <c r="I68" i="8"/>
  <c r="H68" i="8"/>
  <c r="G68" i="8"/>
  <c r="F68" i="8"/>
  <c r="L68" i="8" s="1"/>
  <c r="E68" i="8"/>
  <c r="M67" i="8"/>
  <c r="L67" i="8"/>
  <c r="J67" i="8"/>
  <c r="I67" i="8"/>
  <c r="H67" i="8"/>
  <c r="G67" i="8"/>
  <c r="F67" i="8"/>
  <c r="F67" i="18" s="1"/>
  <c r="E67" i="8"/>
  <c r="M66" i="8"/>
  <c r="J66" i="8"/>
  <c r="I66" i="8"/>
  <c r="H66" i="8"/>
  <c r="G66" i="8"/>
  <c r="F66" i="8"/>
  <c r="L66" i="8" s="1"/>
  <c r="E66" i="8"/>
  <c r="M65" i="8"/>
  <c r="L65" i="8"/>
  <c r="J65" i="8"/>
  <c r="I65" i="8"/>
  <c r="H65" i="8"/>
  <c r="G65" i="8"/>
  <c r="F65" i="8"/>
  <c r="K65" i="8" s="1"/>
  <c r="E65" i="8"/>
  <c r="M64" i="8"/>
  <c r="J64" i="8"/>
  <c r="I64" i="8"/>
  <c r="H64" i="8"/>
  <c r="G64" i="8"/>
  <c r="F64" i="8"/>
  <c r="F64" i="18" s="1"/>
  <c r="E64" i="8"/>
  <c r="M63" i="8"/>
  <c r="L63" i="8"/>
  <c r="J63" i="8"/>
  <c r="I63" i="8"/>
  <c r="H63" i="8"/>
  <c r="G63" i="8"/>
  <c r="F63" i="8"/>
  <c r="K63" i="8" s="1"/>
  <c r="E63" i="8"/>
  <c r="M62" i="8"/>
  <c r="J62" i="8"/>
  <c r="I62" i="8"/>
  <c r="H62" i="8"/>
  <c r="G62" i="8"/>
  <c r="F62" i="8"/>
  <c r="L62" i="8" s="1"/>
  <c r="E62" i="8"/>
  <c r="M61" i="8"/>
  <c r="L61" i="8"/>
  <c r="J61" i="8"/>
  <c r="I61" i="8"/>
  <c r="H61" i="8"/>
  <c r="G61" i="8"/>
  <c r="F61" i="8"/>
  <c r="K61" i="8" s="1"/>
  <c r="E61" i="8"/>
  <c r="M60" i="8"/>
  <c r="J60" i="8"/>
  <c r="I60" i="8"/>
  <c r="H60" i="8"/>
  <c r="G60" i="8"/>
  <c r="F60" i="8"/>
  <c r="L60" i="8" s="1"/>
  <c r="E60" i="8"/>
  <c r="N59" i="8"/>
  <c r="L59" i="8"/>
  <c r="J59" i="8"/>
  <c r="I59" i="8"/>
  <c r="H59" i="8"/>
  <c r="G59" i="8"/>
  <c r="F59" i="8"/>
  <c r="F59" i="15" s="1"/>
  <c r="E59" i="8"/>
  <c r="N58" i="8"/>
  <c r="J58" i="8"/>
  <c r="I58" i="8"/>
  <c r="H58" i="8"/>
  <c r="G58" i="8"/>
  <c r="F58" i="8"/>
  <c r="L58" i="8" s="1"/>
  <c r="E58" i="8"/>
  <c r="N57" i="8"/>
  <c r="L57" i="8"/>
  <c r="J57" i="8"/>
  <c r="I57" i="8"/>
  <c r="H57" i="8"/>
  <c r="G57" i="8"/>
  <c r="F57" i="8"/>
  <c r="K57" i="8" s="1"/>
  <c r="E57" i="8"/>
  <c r="N56" i="8"/>
  <c r="J56" i="8"/>
  <c r="I56" i="8"/>
  <c r="H56" i="8"/>
  <c r="G56" i="8"/>
  <c r="F56" i="8"/>
  <c r="L56" i="8" s="1"/>
  <c r="E56" i="8"/>
  <c r="M55" i="8"/>
  <c r="L55" i="8"/>
  <c r="J55" i="8"/>
  <c r="I55" i="8"/>
  <c r="H55" i="8"/>
  <c r="G55" i="8"/>
  <c r="F55" i="8"/>
  <c r="K55" i="8" s="1"/>
  <c r="E55" i="8"/>
  <c r="M54" i="8"/>
  <c r="J54" i="8"/>
  <c r="I54" i="8"/>
  <c r="H54" i="8"/>
  <c r="G54" i="8"/>
  <c r="F54" i="8"/>
  <c r="L54" i="8" s="1"/>
  <c r="E54" i="8"/>
  <c r="N53" i="8"/>
  <c r="L53" i="8"/>
  <c r="K53" i="8"/>
  <c r="J53" i="8"/>
  <c r="I53" i="8"/>
  <c r="H53" i="8"/>
  <c r="G53" i="8"/>
  <c r="F53" i="8"/>
  <c r="F53" i="18" s="1"/>
  <c r="E53" i="8"/>
  <c r="J52" i="8"/>
  <c r="I52" i="8"/>
  <c r="H52" i="8"/>
  <c r="G52" i="8"/>
  <c r="F52" i="8"/>
  <c r="L52" i="8" s="1"/>
  <c r="E52" i="8"/>
  <c r="L51" i="8"/>
  <c r="K51" i="8"/>
  <c r="J51" i="8"/>
  <c r="I51" i="8"/>
  <c r="H51" i="8"/>
  <c r="G51" i="8"/>
  <c r="F51" i="8"/>
  <c r="E51" i="8"/>
  <c r="M50" i="8"/>
  <c r="J50" i="8"/>
  <c r="I50" i="8"/>
  <c r="H50" i="8"/>
  <c r="G50" i="8"/>
  <c r="F50" i="8"/>
  <c r="L50" i="8" s="1"/>
  <c r="E50" i="8"/>
  <c r="N49" i="8"/>
  <c r="M49" i="8"/>
  <c r="L49" i="8"/>
  <c r="K49" i="8"/>
  <c r="O49" i="8" s="1"/>
  <c r="E49" i="20" s="1"/>
  <c r="J49" i="8"/>
  <c r="I49" i="8"/>
  <c r="H49" i="8"/>
  <c r="G49" i="8"/>
  <c r="F49" i="8"/>
  <c r="E49" i="8"/>
  <c r="E49" i="18" s="1"/>
  <c r="N48" i="8"/>
  <c r="M48" i="8"/>
  <c r="J48" i="8"/>
  <c r="I48" i="8"/>
  <c r="H48" i="8"/>
  <c r="G48" i="8"/>
  <c r="F48" i="8"/>
  <c r="E48" i="8"/>
  <c r="N47" i="8"/>
  <c r="M47" i="8"/>
  <c r="L47" i="8"/>
  <c r="K47" i="8"/>
  <c r="J47" i="8"/>
  <c r="I47" i="8"/>
  <c r="H47" i="8"/>
  <c r="G47" i="8"/>
  <c r="F47" i="8"/>
  <c r="E47" i="8"/>
  <c r="N46" i="8"/>
  <c r="M46" i="8"/>
  <c r="J46" i="8"/>
  <c r="I46" i="8"/>
  <c r="H46" i="8"/>
  <c r="G46" i="8"/>
  <c r="F46" i="8"/>
  <c r="L46" i="8" s="1"/>
  <c r="E46" i="8"/>
  <c r="N45" i="8"/>
  <c r="M45" i="8"/>
  <c r="L45" i="8"/>
  <c r="K45" i="8"/>
  <c r="J45" i="8"/>
  <c r="I45" i="8"/>
  <c r="H45" i="8"/>
  <c r="G45" i="8"/>
  <c r="F45" i="8"/>
  <c r="E45" i="8"/>
  <c r="N44" i="8"/>
  <c r="M44" i="8"/>
  <c r="J44" i="8"/>
  <c r="I44" i="8"/>
  <c r="H44" i="8"/>
  <c r="G44" i="8"/>
  <c r="F44" i="8"/>
  <c r="E44" i="8"/>
  <c r="N43" i="8"/>
  <c r="M43" i="8"/>
  <c r="L43" i="8"/>
  <c r="K43" i="8"/>
  <c r="O43" i="8" s="1"/>
  <c r="E43" i="20" s="1"/>
  <c r="J43" i="8"/>
  <c r="I43" i="8"/>
  <c r="H43" i="8"/>
  <c r="G43" i="8"/>
  <c r="F43" i="8"/>
  <c r="F43" i="15" s="1"/>
  <c r="E43" i="8"/>
  <c r="N42" i="8"/>
  <c r="M42" i="8"/>
  <c r="J42" i="8"/>
  <c r="I42" i="8"/>
  <c r="H42" i="8"/>
  <c r="G42" i="8"/>
  <c r="F42" i="8"/>
  <c r="L42" i="8" s="1"/>
  <c r="E42" i="8"/>
  <c r="N41" i="8"/>
  <c r="M41" i="8"/>
  <c r="L41" i="8"/>
  <c r="K41" i="8"/>
  <c r="J41" i="8"/>
  <c r="I41" i="8"/>
  <c r="H41" i="8"/>
  <c r="G41" i="8"/>
  <c r="F41" i="8"/>
  <c r="E41" i="8"/>
  <c r="N40" i="8"/>
  <c r="P40" i="8" s="1"/>
  <c r="M40" i="8"/>
  <c r="J40" i="8"/>
  <c r="I40" i="8"/>
  <c r="H40" i="8"/>
  <c r="G40" i="8"/>
  <c r="F40" i="8"/>
  <c r="L40" i="8" s="1"/>
  <c r="E40" i="8"/>
  <c r="K40" i="8" s="1"/>
  <c r="N39" i="8"/>
  <c r="M39" i="8"/>
  <c r="L39" i="8"/>
  <c r="K39" i="8"/>
  <c r="J39" i="8"/>
  <c r="I39" i="8"/>
  <c r="H39" i="8"/>
  <c r="G39" i="8"/>
  <c r="F39" i="8"/>
  <c r="E39" i="8"/>
  <c r="N38" i="8"/>
  <c r="M38" i="8"/>
  <c r="J38" i="8"/>
  <c r="I38" i="8"/>
  <c r="H38" i="8"/>
  <c r="G38" i="8"/>
  <c r="F38" i="8"/>
  <c r="E38" i="8"/>
  <c r="K38" i="8" s="1"/>
  <c r="N37" i="8"/>
  <c r="M37" i="8"/>
  <c r="L37" i="8"/>
  <c r="K37" i="8"/>
  <c r="J37" i="8"/>
  <c r="I37" i="8"/>
  <c r="H37" i="8"/>
  <c r="G37" i="8"/>
  <c r="F37" i="8"/>
  <c r="E37" i="8"/>
  <c r="N36" i="8"/>
  <c r="M36" i="8"/>
  <c r="J36" i="8"/>
  <c r="I36" i="8"/>
  <c r="H36" i="8"/>
  <c r="G36" i="8"/>
  <c r="F36" i="8"/>
  <c r="E36" i="8"/>
  <c r="K36" i="8" s="1"/>
  <c r="N35" i="8"/>
  <c r="M35" i="8"/>
  <c r="K35" i="8"/>
  <c r="J35" i="8"/>
  <c r="I35" i="8"/>
  <c r="H35" i="8"/>
  <c r="G35" i="8"/>
  <c r="F35" i="8"/>
  <c r="L35" i="8" s="1"/>
  <c r="P35" i="8" s="1"/>
  <c r="E35" i="8"/>
  <c r="N34" i="8"/>
  <c r="M34" i="8"/>
  <c r="J34" i="8"/>
  <c r="I34" i="8"/>
  <c r="H34" i="8"/>
  <c r="G34" i="8"/>
  <c r="F34" i="8"/>
  <c r="E34" i="8"/>
  <c r="K34" i="8" s="1"/>
  <c r="N33" i="8"/>
  <c r="M33" i="8"/>
  <c r="L33" i="8"/>
  <c r="K33" i="8"/>
  <c r="O33" i="8" s="1"/>
  <c r="E33" i="20" s="1"/>
  <c r="J33" i="8"/>
  <c r="I33" i="8"/>
  <c r="H33" i="8"/>
  <c r="G33" i="8"/>
  <c r="F33" i="8"/>
  <c r="E33" i="8"/>
  <c r="N32" i="8"/>
  <c r="M32" i="8"/>
  <c r="J32" i="8"/>
  <c r="I32" i="8"/>
  <c r="H32" i="8"/>
  <c r="G32" i="8"/>
  <c r="F32" i="8"/>
  <c r="E32" i="8"/>
  <c r="K32" i="8" s="1"/>
  <c r="N31" i="8"/>
  <c r="M31" i="8"/>
  <c r="J31" i="8"/>
  <c r="I31" i="8"/>
  <c r="K31" i="8" s="1"/>
  <c r="H31" i="8"/>
  <c r="G31" i="8"/>
  <c r="F31" i="8"/>
  <c r="L31" i="8" s="1"/>
  <c r="E31" i="8"/>
  <c r="N30" i="8"/>
  <c r="M30" i="8"/>
  <c r="J30" i="8"/>
  <c r="I30" i="8"/>
  <c r="H30" i="8"/>
  <c r="G30" i="8"/>
  <c r="F30" i="8"/>
  <c r="E30" i="8"/>
  <c r="N29" i="8"/>
  <c r="M29" i="8"/>
  <c r="K29" i="8"/>
  <c r="J29" i="8"/>
  <c r="I29" i="8"/>
  <c r="H29" i="8"/>
  <c r="G29" i="8"/>
  <c r="F29" i="8"/>
  <c r="L29" i="8" s="1"/>
  <c r="E29" i="8"/>
  <c r="N28" i="8"/>
  <c r="M28" i="8"/>
  <c r="J28" i="8"/>
  <c r="I28" i="8"/>
  <c r="H28" i="8"/>
  <c r="G28" i="8"/>
  <c r="F28" i="8"/>
  <c r="E28" i="8"/>
  <c r="N27" i="8"/>
  <c r="M27" i="8"/>
  <c r="J27" i="8"/>
  <c r="I27" i="8"/>
  <c r="K27" i="8" s="1"/>
  <c r="H27" i="8"/>
  <c r="G27" i="8"/>
  <c r="F27" i="8"/>
  <c r="L27" i="8" s="1"/>
  <c r="E27" i="8"/>
  <c r="N26" i="8"/>
  <c r="M26" i="8"/>
  <c r="J26" i="8"/>
  <c r="I26" i="8"/>
  <c r="H26" i="8"/>
  <c r="G26" i="8"/>
  <c r="F26" i="8"/>
  <c r="E26" i="8"/>
  <c r="N25" i="8"/>
  <c r="M25" i="8"/>
  <c r="K25" i="8"/>
  <c r="J25" i="8"/>
  <c r="I25" i="8"/>
  <c r="H25" i="8"/>
  <c r="G25" i="8"/>
  <c r="F25" i="8"/>
  <c r="L25" i="8" s="1"/>
  <c r="E25" i="8"/>
  <c r="N24" i="8"/>
  <c r="M24" i="8"/>
  <c r="J24" i="8"/>
  <c r="I24" i="8"/>
  <c r="H24" i="8"/>
  <c r="G24" i="8"/>
  <c r="F24" i="8"/>
  <c r="E24" i="8"/>
  <c r="N23" i="8"/>
  <c r="M23" i="8"/>
  <c r="J23" i="8"/>
  <c r="I23" i="8"/>
  <c r="H23" i="8"/>
  <c r="G23" i="8"/>
  <c r="F23" i="8"/>
  <c r="L23" i="8" s="1"/>
  <c r="E23" i="8"/>
  <c r="K23" i="8" s="1"/>
  <c r="N22" i="8"/>
  <c r="M22" i="8"/>
  <c r="J22" i="8"/>
  <c r="I22" i="8"/>
  <c r="H22" i="8"/>
  <c r="G22" i="8"/>
  <c r="F22" i="8"/>
  <c r="E22" i="8"/>
  <c r="N21" i="8"/>
  <c r="M21" i="8"/>
  <c r="K21" i="8"/>
  <c r="J21" i="8"/>
  <c r="I21" i="8"/>
  <c r="H21" i="8"/>
  <c r="G21" i="8"/>
  <c r="F21" i="8"/>
  <c r="L21" i="8" s="1"/>
  <c r="P21" i="8" s="1"/>
  <c r="F21" i="20" s="1"/>
  <c r="E21" i="8"/>
  <c r="N20" i="8"/>
  <c r="M20" i="8"/>
  <c r="J20" i="8"/>
  <c r="I20" i="8"/>
  <c r="H20" i="8"/>
  <c r="G20" i="8"/>
  <c r="F20" i="8"/>
  <c r="E20" i="8"/>
  <c r="N19" i="8"/>
  <c r="M19" i="8"/>
  <c r="J19" i="8"/>
  <c r="I19" i="8"/>
  <c r="K19" i="8" s="1"/>
  <c r="H19" i="8"/>
  <c r="L19" i="8" s="1"/>
  <c r="G19" i="8"/>
  <c r="F19" i="8"/>
  <c r="E19" i="8"/>
  <c r="N18" i="8"/>
  <c r="M18" i="8"/>
  <c r="J18" i="8"/>
  <c r="I18" i="8"/>
  <c r="H18" i="8"/>
  <c r="G18" i="8"/>
  <c r="F18" i="8"/>
  <c r="E18" i="8"/>
  <c r="N17" i="8"/>
  <c r="M17" i="8"/>
  <c r="J17" i="8"/>
  <c r="I17" i="8"/>
  <c r="H17" i="8"/>
  <c r="G17" i="8"/>
  <c r="K17" i="8" s="1"/>
  <c r="F17" i="8"/>
  <c r="L17" i="8" s="1"/>
  <c r="E17" i="8"/>
  <c r="N16" i="8"/>
  <c r="M16" i="8"/>
  <c r="L16" i="8"/>
  <c r="J16" i="8"/>
  <c r="I16" i="8"/>
  <c r="H16" i="8"/>
  <c r="G16" i="8"/>
  <c r="F16" i="8"/>
  <c r="E16" i="8"/>
  <c r="N15" i="8"/>
  <c r="M15" i="8"/>
  <c r="J15" i="8"/>
  <c r="I15" i="8"/>
  <c r="H15" i="8"/>
  <c r="G15" i="8"/>
  <c r="K15" i="8" s="1"/>
  <c r="F15" i="8"/>
  <c r="L15" i="8" s="1"/>
  <c r="E15" i="8"/>
  <c r="N14" i="8"/>
  <c r="M14" i="8"/>
  <c r="L14" i="8"/>
  <c r="J14" i="8"/>
  <c r="I14" i="8"/>
  <c r="H14" i="8"/>
  <c r="G14" i="8"/>
  <c r="F14" i="8"/>
  <c r="E14" i="8"/>
  <c r="N13" i="8"/>
  <c r="M13" i="8"/>
  <c r="J13" i="8"/>
  <c r="I13" i="8"/>
  <c r="H13" i="8"/>
  <c r="G13" i="8"/>
  <c r="K13" i="8" s="1"/>
  <c r="F13" i="8"/>
  <c r="L13" i="8" s="1"/>
  <c r="P13" i="8" s="1"/>
  <c r="F13" i="20" s="1"/>
  <c r="E13" i="8"/>
  <c r="N12" i="8"/>
  <c r="M12" i="8"/>
  <c r="L12" i="8"/>
  <c r="J12" i="8"/>
  <c r="I12" i="8"/>
  <c r="H12" i="8"/>
  <c r="G12" i="8"/>
  <c r="F12" i="8"/>
  <c r="E12" i="8"/>
  <c r="N11" i="8"/>
  <c r="M11" i="8"/>
  <c r="J11" i="8"/>
  <c r="I11" i="8"/>
  <c r="H11" i="8"/>
  <c r="L11" i="8" s="1"/>
  <c r="G11" i="8"/>
  <c r="K11" i="8" s="1"/>
  <c r="O11" i="8" s="1"/>
  <c r="F11" i="8"/>
  <c r="E11" i="8"/>
  <c r="N10" i="8"/>
  <c r="M10" i="8"/>
  <c r="L10" i="8"/>
  <c r="J10" i="8"/>
  <c r="I10" i="8"/>
  <c r="H10" i="8"/>
  <c r="G10" i="8"/>
  <c r="F10" i="8"/>
  <c r="E10" i="8"/>
  <c r="N9" i="8"/>
  <c r="M9" i="8"/>
  <c r="J9" i="8"/>
  <c r="I9" i="8"/>
  <c r="H9" i="8"/>
  <c r="L9" i="8" s="1"/>
  <c r="G9" i="8"/>
  <c r="K9" i="8" s="1"/>
  <c r="O9" i="8" s="1"/>
  <c r="E9" i="20" s="1"/>
  <c r="F9" i="8"/>
  <c r="E9" i="8"/>
  <c r="N8" i="8"/>
  <c r="M8" i="8"/>
  <c r="L8" i="8"/>
  <c r="J8" i="8"/>
  <c r="I8" i="8"/>
  <c r="H8" i="8"/>
  <c r="G8" i="8"/>
  <c r="F8" i="8"/>
  <c r="E8" i="8"/>
  <c r="N7" i="8"/>
  <c r="M7" i="8"/>
  <c r="J7" i="8"/>
  <c r="I7" i="8"/>
  <c r="H7" i="8"/>
  <c r="L7" i="8" s="1"/>
  <c r="G7" i="8"/>
  <c r="K7" i="8" s="1"/>
  <c r="F7" i="8"/>
  <c r="E7" i="8"/>
  <c r="N6" i="8"/>
  <c r="M6" i="8"/>
  <c r="L6" i="8"/>
  <c r="J6" i="8"/>
  <c r="I6" i="8"/>
  <c r="H6" i="8"/>
  <c r="G6" i="8"/>
  <c r="F6" i="8"/>
  <c r="E6" i="8"/>
  <c r="N5" i="8"/>
  <c r="M5" i="8"/>
  <c r="J5" i="8"/>
  <c r="I5" i="8"/>
  <c r="H5" i="8"/>
  <c r="L5" i="8" s="1"/>
  <c r="G5" i="8"/>
  <c r="K5" i="8" s="1"/>
  <c r="F5" i="8"/>
  <c r="E5" i="8"/>
  <c r="N4" i="8"/>
  <c r="M4" i="8"/>
  <c r="L4" i="8"/>
  <c r="J4" i="8"/>
  <c r="I4" i="8"/>
  <c r="H4" i="8"/>
  <c r="G4" i="8"/>
  <c r="F4" i="8"/>
  <c r="E4" i="8"/>
  <c r="B14" i="1"/>
  <c r="B13" i="1"/>
  <c r="C12" i="1"/>
  <c r="B12" i="1"/>
  <c r="O218" i="6" l="1"/>
  <c r="O17" i="8"/>
  <c r="P23" i="8"/>
  <c r="F23" i="20" s="1"/>
  <c r="P25" i="8"/>
  <c r="F25" i="20" s="1"/>
  <c r="O40" i="8"/>
  <c r="E40" i="20" s="1"/>
  <c r="P41" i="8"/>
  <c r="P49" i="8"/>
  <c r="E28" i="23" s="1"/>
  <c r="P19" i="8"/>
  <c r="F19" i="20" s="1"/>
  <c r="P27" i="8"/>
  <c r="P29" i="8"/>
  <c r="O5" i="8"/>
  <c r="P31" i="8"/>
  <c r="O37" i="8"/>
  <c r="E37" i="20" s="1"/>
  <c r="P43" i="8"/>
  <c r="O15" i="8"/>
  <c r="B15" i="23" s="1"/>
  <c r="O7" i="8"/>
  <c r="O45" i="8"/>
  <c r="E45" i="20" s="1"/>
  <c r="O39" i="8"/>
  <c r="E39" i="20" s="1"/>
  <c r="P45" i="8"/>
  <c r="P7" i="8"/>
  <c r="F7" i="20" s="1"/>
  <c r="O47" i="8"/>
  <c r="E47" i="20" s="1"/>
  <c r="P47" i="8"/>
  <c r="F47" i="20" s="1"/>
  <c r="N192" i="6"/>
  <c r="N190" i="6"/>
  <c r="N208" i="6"/>
  <c r="N195" i="6"/>
  <c r="N179" i="6"/>
  <c r="O191" i="6"/>
  <c r="O141" i="6"/>
  <c r="N136" i="6"/>
  <c r="K184" i="6"/>
  <c r="N184" i="6" s="1"/>
  <c r="L165" i="6"/>
  <c r="O165" i="6" s="1"/>
  <c r="N134" i="6"/>
  <c r="N132" i="6"/>
  <c r="N125" i="6"/>
  <c r="N127" i="6"/>
  <c r="N121" i="6"/>
  <c r="O99" i="6"/>
  <c r="L120" i="6"/>
  <c r="O120" i="6" s="1"/>
  <c r="K122" i="6"/>
  <c r="N107" i="6"/>
  <c r="O94" i="6"/>
  <c r="N81" i="6"/>
  <c r="N65" i="6"/>
  <c r="L63" i="6"/>
  <c r="O63" i="6" s="1"/>
  <c r="N61" i="6"/>
  <c r="N42" i="6"/>
  <c r="O40" i="6"/>
  <c r="O29" i="6"/>
  <c r="N18" i="6"/>
  <c r="N27" i="6"/>
  <c r="O24" i="6"/>
  <c r="N22" i="6"/>
  <c r="N12" i="6"/>
  <c r="L16" i="6"/>
  <c r="O16" i="6" s="1"/>
  <c r="N9" i="6"/>
  <c r="B17" i="23"/>
  <c r="E17" i="20"/>
  <c r="B25" i="23"/>
  <c r="F27" i="20"/>
  <c r="F29" i="20"/>
  <c r="B10" i="23"/>
  <c r="O32" i="8"/>
  <c r="E32" i="20" s="1"/>
  <c r="B7" i="23"/>
  <c r="E5" i="20"/>
  <c r="P14" i="8"/>
  <c r="F14" i="20" s="1"/>
  <c r="O19" i="8"/>
  <c r="E7" i="23"/>
  <c r="F31" i="20"/>
  <c r="P5" i="8"/>
  <c r="F5" i="20" s="1"/>
  <c r="E7" i="20"/>
  <c r="B9" i="23"/>
  <c r="O34" i="8"/>
  <c r="E34" i="20" s="1"/>
  <c r="O27" i="8"/>
  <c r="E27" i="20" s="1"/>
  <c r="E11" i="23"/>
  <c r="F35" i="20"/>
  <c r="P9" i="8"/>
  <c r="F9" i="20" s="1"/>
  <c r="E11" i="20"/>
  <c r="C7" i="14"/>
  <c r="B7" i="14"/>
  <c r="D18" i="25" s="1"/>
  <c r="B13" i="23"/>
  <c r="O31" i="8"/>
  <c r="E31" i="20" s="1"/>
  <c r="P11" i="8"/>
  <c r="F11" i="20" s="1"/>
  <c r="O13" i="8"/>
  <c r="E13" i="20" s="1"/>
  <c r="P15" i="8"/>
  <c r="F15" i="20" s="1"/>
  <c r="O38" i="8"/>
  <c r="E38" i="20" s="1"/>
  <c r="P17" i="8"/>
  <c r="F17" i="20" s="1"/>
  <c r="O23" i="8"/>
  <c r="F20" i="18"/>
  <c r="F20" i="15"/>
  <c r="E24" i="18"/>
  <c r="E24" i="15"/>
  <c r="K24" i="8"/>
  <c r="O24" i="8" s="1"/>
  <c r="O25" i="8"/>
  <c r="E25" i="20" s="1"/>
  <c r="E16" i="23"/>
  <c r="F40" i="20"/>
  <c r="O21" i="8"/>
  <c r="E28" i="18"/>
  <c r="E28" i="15"/>
  <c r="K28" i="8"/>
  <c r="O28" i="8" s="1"/>
  <c r="E28" i="20" s="1"/>
  <c r="O29" i="8"/>
  <c r="E29" i="20" s="1"/>
  <c r="E17" i="23"/>
  <c r="F41" i="20"/>
  <c r="B7" i="21"/>
  <c r="E9" i="19"/>
  <c r="F10" i="19"/>
  <c r="N55" i="8" s="1"/>
  <c r="O55" i="8" s="1"/>
  <c r="E55" i="20" s="1"/>
  <c r="E11" i="19"/>
  <c r="M56" i="8" s="1"/>
  <c r="F12" i="19"/>
  <c r="B40" i="21"/>
  <c r="F16" i="19"/>
  <c r="E15" i="19"/>
  <c r="M58" i="8" s="1"/>
  <c r="F22" i="19"/>
  <c r="N61" i="8" s="1"/>
  <c r="B11" i="21"/>
  <c r="E21" i="19"/>
  <c r="O61" i="8"/>
  <c r="E25" i="19"/>
  <c r="B13" i="21"/>
  <c r="F26" i="19"/>
  <c r="N63" i="8" s="1"/>
  <c r="O63" i="8" s="1"/>
  <c r="E63" i="20" s="1"/>
  <c r="B15" i="21"/>
  <c r="F30" i="19"/>
  <c r="N65" i="8" s="1"/>
  <c r="E29" i="19"/>
  <c r="O65" i="8"/>
  <c r="E65" i="20" s="1"/>
  <c r="E4" i="18"/>
  <c r="E4" i="15"/>
  <c r="E92" i="8"/>
  <c r="E6" i="15"/>
  <c r="E6" i="18"/>
  <c r="E8" i="18"/>
  <c r="E8" i="15"/>
  <c r="E10" i="15"/>
  <c r="E10" i="18"/>
  <c r="E12" i="18"/>
  <c r="E12" i="15"/>
  <c r="E14" i="15"/>
  <c r="E14" i="18"/>
  <c r="E16" i="18"/>
  <c r="E16" i="15"/>
  <c r="E18" i="15"/>
  <c r="E18" i="18"/>
  <c r="K18" i="8"/>
  <c r="O18" i="8" s="1"/>
  <c r="F24" i="18"/>
  <c r="F24" i="15"/>
  <c r="L24" i="8"/>
  <c r="F28" i="15"/>
  <c r="F28" i="18"/>
  <c r="L28" i="8"/>
  <c r="L32" i="8"/>
  <c r="P32" i="8" s="1"/>
  <c r="P33" i="8"/>
  <c r="L36" i="8"/>
  <c r="P36" i="8" s="1"/>
  <c r="P37" i="8"/>
  <c r="K46" i="8"/>
  <c r="O46" i="8" s="1"/>
  <c r="E46" i="20" s="1"/>
  <c r="F4" i="18"/>
  <c r="F4" i="15"/>
  <c r="F92" i="8"/>
  <c r="F10" i="18"/>
  <c r="F10" i="15"/>
  <c r="F14" i="18"/>
  <c r="F14" i="15"/>
  <c r="E25" i="18"/>
  <c r="E25" i="15"/>
  <c r="E29" i="15"/>
  <c r="E29" i="18"/>
  <c r="F16" i="15"/>
  <c r="F16" i="18"/>
  <c r="F18" i="18"/>
  <c r="F18" i="15"/>
  <c r="E21" i="18"/>
  <c r="E21" i="15"/>
  <c r="G92" i="8"/>
  <c r="F21" i="18"/>
  <c r="F21" i="15"/>
  <c r="F25" i="18"/>
  <c r="F25" i="15"/>
  <c r="F29" i="18"/>
  <c r="F29" i="15"/>
  <c r="F33" i="18"/>
  <c r="F33" i="15"/>
  <c r="F37" i="18"/>
  <c r="F37" i="15"/>
  <c r="K42" i="8"/>
  <c r="O42" i="8" s="1"/>
  <c r="E42" i="20" s="1"/>
  <c r="E19" i="23"/>
  <c r="F43" i="20"/>
  <c r="F6" i="18"/>
  <c r="F6" i="15"/>
  <c r="H92" i="8"/>
  <c r="E19" i="18"/>
  <c r="E19" i="15"/>
  <c r="E22" i="15"/>
  <c r="E22" i="18"/>
  <c r="K22" i="8"/>
  <c r="O22" i="8" s="1"/>
  <c r="E26" i="15"/>
  <c r="E26" i="18"/>
  <c r="K26" i="8"/>
  <c r="O26" i="8" s="1"/>
  <c r="E26" i="20" s="1"/>
  <c r="E30" i="15"/>
  <c r="E30" i="18"/>
  <c r="K30" i="8"/>
  <c r="O35" i="8"/>
  <c r="E35" i="20" s="1"/>
  <c r="K48" i="8"/>
  <c r="O48" i="8" s="1"/>
  <c r="E48" i="20" s="1"/>
  <c r="I92" i="8"/>
  <c r="E5" i="18"/>
  <c r="E5" i="15"/>
  <c r="E7" i="18"/>
  <c r="E7" i="15"/>
  <c r="E9" i="18"/>
  <c r="E9" i="15"/>
  <c r="E11" i="18"/>
  <c r="E11" i="15"/>
  <c r="E13" i="15"/>
  <c r="E13" i="18"/>
  <c r="E15" i="18"/>
  <c r="E15" i="15"/>
  <c r="E17" i="18"/>
  <c r="E17" i="15"/>
  <c r="F19" i="18"/>
  <c r="F19" i="15"/>
  <c r="L20" i="8"/>
  <c r="F22" i="18"/>
  <c r="F22" i="15"/>
  <c r="L22" i="8"/>
  <c r="F26" i="18"/>
  <c r="F26" i="15"/>
  <c r="L26" i="8"/>
  <c r="L30" i="8"/>
  <c r="P30" i="8" s="1"/>
  <c r="L34" i="8"/>
  <c r="P34" i="8" s="1"/>
  <c r="L38" i="8"/>
  <c r="P38" i="8" s="1"/>
  <c r="P39" i="8"/>
  <c r="L48" i="8"/>
  <c r="F6" i="19"/>
  <c r="B5" i="21"/>
  <c r="E5" i="19"/>
  <c r="M53" i="8" s="1"/>
  <c r="O53" i="8" s="1"/>
  <c r="E53" i="20" s="1"/>
  <c r="B39" i="21"/>
  <c r="F14" i="19"/>
  <c r="E13" i="19"/>
  <c r="M57" i="8" s="1"/>
  <c r="O57" i="8" s="1"/>
  <c r="E57" i="20" s="1"/>
  <c r="E17" i="19"/>
  <c r="M59" i="8" s="1"/>
  <c r="B41" i="21"/>
  <c r="F18" i="19"/>
  <c r="P61" i="8"/>
  <c r="F61" i="20" s="1"/>
  <c r="P65" i="8"/>
  <c r="F65" i="20" s="1"/>
  <c r="F8" i="18"/>
  <c r="F8" i="15"/>
  <c r="J92" i="8"/>
  <c r="F5" i="18"/>
  <c r="F5" i="15"/>
  <c r="F7" i="18"/>
  <c r="F7" i="15"/>
  <c r="F9" i="18"/>
  <c r="F9" i="15"/>
  <c r="F11" i="15"/>
  <c r="F11" i="18"/>
  <c r="F13" i="18"/>
  <c r="F13" i="15"/>
  <c r="F15" i="18"/>
  <c r="F15" i="15"/>
  <c r="F17" i="18"/>
  <c r="F17" i="15"/>
  <c r="E23" i="18"/>
  <c r="E23" i="15"/>
  <c r="E27" i="18"/>
  <c r="E27" i="15"/>
  <c r="E31" i="18"/>
  <c r="E31" i="15"/>
  <c r="K44" i="8"/>
  <c r="O44" i="8" s="1"/>
  <c r="E44" i="20" s="1"/>
  <c r="E21" i="23"/>
  <c r="F45" i="20"/>
  <c r="F12" i="15"/>
  <c r="F12" i="18"/>
  <c r="K4" i="8"/>
  <c r="P4" i="8" s="1"/>
  <c r="K6" i="8"/>
  <c r="O6" i="8" s="1"/>
  <c r="K8" i="8"/>
  <c r="O8" i="8" s="1"/>
  <c r="K10" i="8"/>
  <c r="O10" i="8" s="1"/>
  <c r="K12" i="8"/>
  <c r="O12" i="8" s="1"/>
  <c r="K14" i="8"/>
  <c r="O14" i="8" s="1"/>
  <c r="E14" i="20" s="1"/>
  <c r="K16" i="8"/>
  <c r="O16" i="8" s="1"/>
  <c r="L18" i="8"/>
  <c r="E20" i="18"/>
  <c r="E20" i="15"/>
  <c r="K20" i="8"/>
  <c r="O20" i="8" s="1"/>
  <c r="F23" i="18"/>
  <c r="F23" i="15"/>
  <c r="F27" i="15"/>
  <c r="F27" i="18"/>
  <c r="F31" i="15"/>
  <c r="F31" i="18"/>
  <c r="F35" i="18"/>
  <c r="F35" i="15"/>
  <c r="O41" i="8"/>
  <c r="E41" i="20" s="1"/>
  <c r="L44" i="8"/>
  <c r="K50" i="8"/>
  <c r="K52" i="8"/>
  <c r="K54" i="8"/>
  <c r="K56" i="8"/>
  <c r="O56" i="8" s="1"/>
  <c r="E56" i="20" s="1"/>
  <c r="K58" i="8"/>
  <c r="O58" i="8" s="1"/>
  <c r="E58" i="20" s="1"/>
  <c r="K60" i="8"/>
  <c r="K62" i="8"/>
  <c r="K64" i="8"/>
  <c r="K66" i="8"/>
  <c r="K68" i="8"/>
  <c r="F38" i="19"/>
  <c r="N69" i="8" s="1"/>
  <c r="P69" i="8" s="1"/>
  <c r="F69" i="20" s="1"/>
  <c r="B19" i="21"/>
  <c r="E37" i="19"/>
  <c r="E41" i="19"/>
  <c r="F42" i="19"/>
  <c r="N71" i="8" s="1"/>
  <c r="O71" i="8" s="1"/>
  <c r="E71" i="20" s="1"/>
  <c r="B21" i="21"/>
  <c r="B23" i="21"/>
  <c r="F46" i="19"/>
  <c r="N73" i="8" s="1"/>
  <c r="P73" i="8" s="1"/>
  <c r="F73" i="20" s="1"/>
  <c r="E45" i="19"/>
  <c r="K74" i="8"/>
  <c r="E49" i="19"/>
  <c r="F50" i="19"/>
  <c r="N75" i="8" s="1"/>
  <c r="O75" i="8" s="1"/>
  <c r="E75" i="20" s="1"/>
  <c r="B25" i="21"/>
  <c r="K76" i="8"/>
  <c r="F54" i="19"/>
  <c r="N77" i="8" s="1"/>
  <c r="O77" i="8" s="1"/>
  <c r="E77" i="20" s="1"/>
  <c r="E53" i="19"/>
  <c r="B27" i="21"/>
  <c r="K78" i="8"/>
  <c r="E57" i="19"/>
  <c r="B29" i="21"/>
  <c r="F58" i="19"/>
  <c r="N79" i="8" s="1"/>
  <c r="O79" i="8" s="1"/>
  <c r="E79" i="20" s="1"/>
  <c r="K80" i="8"/>
  <c r="B31" i="21"/>
  <c r="F62" i="19"/>
  <c r="N81" i="8" s="1"/>
  <c r="P81" i="8" s="1"/>
  <c r="F81" i="20" s="1"/>
  <c r="E61" i="19"/>
  <c r="K82" i="8"/>
  <c r="E65" i="19"/>
  <c r="B44" i="21"/>
  <c r="F66" i="19"/>
  <c r="N83" i="8" s="1"/>
  <c r="P83" i="8" s="1"/>
  <c r="F83" i="20" s="1"/>
  <c r="O83" i="8"/>
  <c r="E83" i="20" s="1"/>
  <c r="K84" i="8"/>
  <c r="F70" i="19"/>
  <c r="N85" i="8" s="1"/>
  <c r="P85" i="8" s="1"/>
  <c r="F85" i="20" s="1"/>
  <c r="E69" i="19"/>
  <c r="B34" i="21"/>
  <c r="O85" i="8"/>
  <c r="E85" i="20" s="1"/>
  <c r="E73" i="19"/>
  <c r="B36" i="21"/>
  <c r="F74" i="19"/>
  <c r="N87" i="8" s="1"/>
  <c r="O87" i="8" s="1"/>
  <c r="E87" i="20" s="1"/>
  <c r="K88" i="8"/>
  <c r="F78" i="19"/>
  <c r="N89" i="8" s="1"/>
  <c r="P89" i="8" s="1"/>
  <c r="F89" i="20" s="1"/>
  <c r="E77" i="19"/>
  <c r="D16" i="25"/>
  <c r="B4" i="14"/>
  <c r="K70" i="8"/>
  <c r="K72" i="8"/>
  <c r="K86" i="8"/>
  <c r="E90" i="18"/>
  <c r="K90" i="8"/>
  <c r="K91" i="8"/>
  <c r="O91" i="8" s="1"/>
  <c r="E91" i="20" s="1"/>
  <c r="F67" i="15"/>
  <c r="F59" i="18"/>
  <c r="L64" i="8"/>
  <c r="L76" i="8"/>
  <c r="F90" i="15"/>
  <c r="F90" i="18"/>
  <c r="L90" i="8"/>
  <c r="P90" i="8" s="1"/>
  <c r="L91" i="8"/>
  <c r="E72" i="15"/>
  <c r="E32" i="18"/>
  <c r="E32" i="15"/>
  <c r="E34" i="15"/>
  <c r="E34" i="18"/>
  <c r="E36" i="15"/>
  <c r="E36" i="18"/>
  <c r="E38" i="15"/>
  <c r="E40" i="18"/>
  <c r="E42" i="18"/>
  <c r="E42" i="15"/>
  <c r="E44" i="18"/>
  <c r="E44" i="15"/>
  <c r="E46" i="18"/>
  <c r="E46" i="15"/>
  <c r="E48" i="18"/>
  <c r="E48" i="15"/>
  <c r="E50" i="18"/>
  <c r="E50" i="15"/>
  <c r="E52" i="18"/>
  <c r="E52" i="15"/>
  <c r="E54" i="15"/>
  <c r="E56" i="15"/>
  <c r="E56" i="18"/>
  <c r="E58" i="18"/>
  <c r="E60" i="18"/>
  <c r="E60" i="15"/>
  <c r="E62" i="15"/>
  <c r="E62" i="18"/>
  <c r="E64" i="18"/>
  <c r="E64" i="15"/>
  <c r="E66" i="15"/>
  <c r="E66" i="18"/>
  <c r="E68" i="15"/>
  <c r="E68" i="18"/>
  <c r="E74" i="18"/>
  <c r="E74" i="15"/>
  <c r="E76" i="18"/>
  <c r="E76" i="15"/>
  <c r="E78" i="18"/>
  <c r="E78" i="15"/>
  <c r="E80" i="18"/>
  <c r="E80" i="15"/>
  <c r="E82" i="18"/>
  <c r="E82" i="15"/>
  <c r="E84" i="18"/>
  <c r="E84" i="15"/>
  <c r="E88" i="15"/>
  <c r="E88" i="18"/>
  <c r="E91" i="18"/>
  <c r="E91" i="15"/>
  <c r="E40" i="15"/>
  <c r="E70" i="18"/>
  <c r="F30" i="15"/>
  <c r="F30" i="18"/>
  <c r="F32" i="15"/>
  <c r="F34" i="15"/>
  <c r="F34" i="18"/>
  <c r="F36" i="18"/>
  <c r="F36" i="15"/>
  <c r="F38" i="15"/>
  <c r="F38" i="18"/>
  <c r="F40" i="15"/>
  <c r="F40" i="18"/>
  <c r="F42" i="15"/>
  <c r="F42" i="18"/>
  <c r="F44" i="18"/>
  <c r="F46" i="15"/>
  <c r="F46" i="18"/>
  <c r="F48" i="15"/>
  <c r="F50" i="15"/>
  <c r="F50" i="18"/>
  <c r="F52" i="18"/>
  <c r="F52" i="15"/>
  <c r="F54" i="15"/>
  <c r="F54" i="18"/>
  <c r="F56" i="15"/>
  <c r="F56" i="18"/>
  <c r="F58" i="15"/>
  <c r="F58" i="18"/>
  <c r="F60" i="15"/>
  <c r="F60" i="18"/>
  <c r="F62" i="15"/>
  <c r="F62" i="18"/>
  <c r="F64" i="15"/>
  <c r="F66" i="15"/>
  <c r="F66" i="18"/>
  <c r="F68" i="18"/>
  <c r="F68" i="15"/>
  <c r="F70" i="15"/>
  <c r="F70" i="18"/>
  <c r="F72" i="15"/>
  <c r="F72" i="18"/>
  <c r="F74" i="15"/>
  <c r="F74" i="18"/>
  <c r="F76" i="18"/>
  <c r="F78" i="15"/>
  <c r="F78" i="18"/>
  <c r="F80" i="15"/>
  <c r="F82" i="15"/>
  <c r="F82" i="18"/>
  <c r="F84" i="18"/>
  <c r="F84" i="15"/>
  <c r="F86" i="15"/>
  <c r="F86" i="18"/>
  <c r="F88" i="15"/>
  <c r="F88" i="18"/>
  <c r="D17" i="25"/>
  <c r="B5" i="14"/>
  <c r="F44" i="15"/>
  <c r="E81" i="15"/>
  <c r="F32" i="18"/>
  <c r="F75" i="18"/>
  <c r="K59" i="8"/>
  <c r="O59" i="8" s="1"/>
  <c r="E59" i="20" s="1"/>
  <c r="K67" i="8"/>
  <c r="E49" i="15"/>
  <c r="E38" i="18"/>
  <c r="F80" i="18"/>
  <c r="F53" i="15"/>
  <c r="E90" i="15"/>
  <c r="F43" i="18"/>
  <c r="E86" i="18"/>
  <c r="E33" i="18"/>
  <c r="E33" i="15"/>
  <c r="E35" i="18"/>
  <c r="E35" i="15"/>
  <c r="E37" i="18"/>
  <c r="E37" i="15"/>
  <c r="E39" i="18"/>
  <c r="E39" i="15"/>
  <c r="E41" i="18"/>
  <c r="E41" i="15"/>
  <c r="E43" i="18"/>
  <c r="E43" i="15"/>
  <c r="E45" i="15"/>
  <c r="E45" i="18"/>
  <c r="E47" i="18"/>
  <c r="E47" i="15"/>
  <c r="E51" i="18"/>
  <c r="E51" i="15"/>
  <c r="E53" i="18"/>
  <c r="E53" i="15"/>
  <c r="E55" i="18"/>
  <c r="E55" i="15"/>
  <c r="E57" i="15"/>
  <c r="E57" i="18"/>
  <c r="E59" i="18"/>
  <c r="E59" i="15"/>
  <c r="E61" i="15"/>
  <c r="E61" i="18"/>
  <c r="E63" i="18"/>
  <c r="E65" i="18"/>
  <c r="E65" i="15"/>
  <c r="E67" i="18"/>
  <c r="E67" i="15"/>
  <c r="E69" i="18"/>
  <c r="E69" i="15"/>
  <c r="E71" i="18"/>
  <c r="E71" i="15"/>
  <c r="E73" i="18"/>
  <c r="E73" i="15"/>
  <c r="E75" i="18"/>
  <c r="E75" i="15"/>
  <c r="E77" i="15"/>
  <c r="E77" i="18"/>
  <c r="E79" i="18"/>
  <c r="E79" i="15"/>
  <c r="E81" i="18"/>
  <c r="E83" i="18"/>
  <c r="E83" i="15"/>
  <c r="E85" i="18"/>
  <c r="E85" i="15"/>
  <c r="E87" i="18"/>
  <c r="E87" i="15"/>
  <c r="E89" i="15"/>
  <c r="E89" i="18"/>
  <c r="E58" i="15"/>
  <c r="F48" i="18"/>
  <c r="F91" i="18"/>
  <c r="F39" i="15"/>
  <c r="F39" i="18"/>
  <c r="F41" i="18"/>
  <c r="F41" i="15"/>
  <c r="F45" i="18"/>
  <c r="F45" i="15"/>
  <c r="F47" i="18"/>
  <c r="F47" i="15"/>
  <c r="F49" i="18"/>
  <c r="F49" i="15"/>
  <c r="F51" i="18"/>
  <c r="F51" i="15"/>
  <c r="F55" i="15"/>
  <c r="F55" i="18"/>
  <c r="F57" i="18"/>
  <c r="F57" i="15"/>
  <c r="F61" i="18"/>
  <c r="F61" i="15"/>
  <c r="F63" i="15"/>
  <c r="F63" i="18"/>
  <c r="F65" i="18"/>
  <c r="F65" i="15"/>
  <c r="F69" i="18"/>
  <c r="F69" i="15"/>
  <c r="F71" i="15"/>
  <c r="F71" i="18"/>
  <c r="F73" i="18"/>
  <c r="F73" i="15"/>
  <c r="F77" i="18"/>
  <c r="F77" i="15"/>
  <c r="F79" i="18"/>
  <c r="F79" i="15"/>
  <c r="F81" i="18"/>
  <c r="F81" i="15"/>
  <c r="F83" i="18"/>
  <c r="F83" i="15"/>
  <c r="F85" i="18"/>
  <c r="F87" i="15"/>
  <c r="F87" i="18"/>
  <c r="F89" i="18"/>
  <c r="F89" i="15"/>
  <c r="I11" i="12"/>
  <c r="J7" i="12"/>
  <c r="J11" i="12" s="1"/>
  <c r="E63" i="15"/>
  <c r="E54" i="18"/>
  <c r="B18" i="24"/>
  <c r="B20" i="24" s="1"/>
  <c r="J9" i="12"/>
  <c r="K232" i="6" l="1"/>
  <c r="P75" i="8"/>
  <c r="F75" i="20" s="1"/>
  <c r="O81" i="8"/>
  <c r="E81" i="20" s="1"/>
  <c r="P71" i="8"/>
  <c r="F71" i="20" s="1"/>
  <c r="F49" i="20"/>
  <c r="B6" i="22"/>
  <c r="P55" i="8"/>
  <c r="F55" i="20" s="1"/>
  <c r="E15" i="20"/>
  <c r="L185" i="6"/>
  <c r="L124" i="6"/>
  <c r="L232" i="6" s="1"/>
  <c r="N122" i="6"/>
  <c r="F4" i="20"/>
  <c r="F48" i="19"/>
  <c r="N74" i="8" s="1"/>
  <c r="P74" i="8" s="1"/>
  <c r="F74" i="20" s="1"/>
  <c r="B24" i="21"/>
  <c r="E47" i="19"/>
  <c r="E10" i="20"/>
  <c r="B12" i="23"/>
  <c r="C6" i="14"/>
  <c r="D6" i="14" s="1"/>
  <c r="F92" i="15"/>
  <c r="E24" i="20"/>
  <c r="B26" i="23"/>
  <c r="B30" i="21"/>
  <c r="F60" i="19"/>
  <c r="N80" i="8" s="1"/>
  <c r="P80" i="8" s="1"/>
  <c r="F80" i="20" s="1"/>
  <c r="E59" i="19"/>
  <c r="O73" i="8"/>
  <c r="E73" i="20" s="1"/>
  <c r="O69" i="8"/>
  <c r="E69" i="20" s="1"/>
  <c r="B9" i="21"/>
  <c r="G6" i="1" s="1"/>
  <c r="F20" i="19"/>
  <c r="N60" i="8" s="1"/>
  <c r="P60" i="8" s="1"/>
  <c r="F60" i="20" s="1"/>
  <c r="E19" i="19"/>
  <c r="O60" i="8"/>
  <c r="E60" i="20" s="1"/>
  <c r="E20" i="20"/>
  <c r="B20" i="23"/>
  <c r="B11" i="23"/>
  <c r="E8" i="20"/>
  <c r="P79" i="8"/>
  <c r="F79" i="20" s="1"/>
  <c r="P63" i="8"/>
  <c r="F63" i="20" s="1"/>
  <c r="P48" i="8"/>
  <c r="P22" i="8"/>
  <c r="F22" i="20" s="1"/>
  <c r="F92" i="18"/>
  <c r="P6" i="8"/>
  <c r="F6" i="20" s="1"/>
  <c r="B20" i="21"/>
  <c r="F40" i="19"/>
  <c r="N70" i="8" s="1"/>
  <c r="P70" i="8" s="1"/>
  <c r="F70" i="20" s="1"/>
  <c r="E39" i="19"/>
  <c r="E61" i="20"/>
  <c r="C8" i="14"/>
  <c r="D8" i="14" s="1"/>
  <c r="P91" i="8"/>
  <c r="E6" i="20"/>
  <c r="B8" i="23"/>
  <c r="C5" i="14"/>
  <c r="D5" i="14" s="1"/>
  <c r="E5" i="14" s="1"/>
  <c r="C14" i="1" s="1"/>
  <c r="P77" i="8"/>
  <c r="F77" i="20" s="1"/>
  <c r="E15" i="23"/>
  <c r="F39" i="20"/>
  <c r="P24" i="8"/>
  <c r="F24" i="20" s="1"/>
  <c r="P8" i="8"/>
  <c r="F8" i="20" s="1"/>
  <c r="P12" i="8"/>
  <c r="F12" i="20" s="1"/>
  <c r="E23" i="23"/>
  <c r="F90" i="20"/>
  <c r="O89" i="8"/>
  <c r="E89" i="20" s="1"/>
  <c r="F52" i="19"/>
  <c r="N76" i="8" s="1"/>
  <c r="O76" i="8" s="1"/>
  <c r="E76" i="20" s="1"/>
  <c r="E51" i="19"/>
  <c r="B26" i="21"/>
  <c r="K92" i="8"/>
  <c r="O4" i="8"/>
  <c r="L92" i="8"/>
  <c r="P59" i="8"/>
  <c r="F59" i="20" s="1"/>
  <c r="E14" i="23"/>
  <c r="F38" i="20"/>
  <c r="E22" i="20"/>
  <c r="B22" i="23"/>
  <c r="E13" i="23"/>
  <c r="F37" i="20"/>
  <c r="B12" i="21"/>
  <c r="B37" i="21" s="1"/>
  <c r="G8" i="1" s="1"/>
  <c r="F24" i="19"/>
  <c r="N62" i="8" s="1"/>
  <c r="P62" i="8" s="1"/>
  <c r="F62" i="20" s="1"/>
  <c r="E23" i="19"/>
  <c r="O90" i="8"/>
  <c r="E90" i="20" s="1"/>
  <c r="F64" i="19"/>
  <c r="N82" i="8" s="1"/>
  <c r="P82" i="8" s="1"/>
  <c r="F82" i="20" s="1"/>
  <c r="E63" i="19"/>
  <c r="B32" i="21"/>
  <c r="B6" i="21"/>
  <c r="B8" i="21" s="1"/>
  <c r="F8" i="19"/>
  <c r="N54" i="8" s="1"/>
  <c r="P54" i="8" s="1"/>
  <c r="F54" i="20" s="1"/>
  <c r="E7" i="19"/>
  <c r="P18" i="8"/>
  <c r="F18" i="20" s="1"/>
  <c r="P53" i="8"/>
  <c r="F53" i="20" s="1"/>
  <c r="E10" i="23"/>
  <c r="F34" i="20"/>
  <c r="P20" i="8"/>
  <c r="F20" i="20" s="1"/>
  <c r="F36" i="20"/>
  <c r="B21" i="23"/>
  <c r="E21" i="20"/>
  <c r="P46" i="8"/>
  <c r="F46" i="20" s="1"/>
  <c r="P42" i="8"/>
  <c r="E35" i="19"/>
  <c r="B18" i="21"/>
  <c r="F36" i="19"/>
  <c r="N68" i="8" s="1"/>
  <c r="P68" i="8" s="1"/>
  <c r="F68" i="20" s="1"/>
  <c r="O68" i="8"/>
  <c r="E68" i="20" s="1"/>
  <c r="E16" i="20"/>
  <c r="B16" i="23"/>
  <c r="P87" i="8"/>
  <c r="F87" i="20" s="1"/>
  <c r="E6" i="23"/>
  <c r="F30" i="20"/>
  <c r="C4" i="14"/>
  <c r="D4" i="14" s="1"/>
  <c r="E4" i="14" s="1"/>
  <c r="C13" i="1" s="1"/>
  <c r="O30" i="8"/>
  <c r="E30" i="20" s="1"/>
  <c r="E18" i="20"/>
  <c r="B18" i="23"/>
  <c r="P76" i="8"/>
  <c r="F76" i="20" s="1"/>
  <c r="F72" i="19"/>
  <c r="N86" i="8" s="1"/>
  <c r="P86" i="8" s="1"/>
  <c r="F86" i="20" s="1"/>
  <c r="E71" i="19"/>
  <c r="B35" i="21"/>
  <c r="E75" i="19"/>
  <c r="F76" i="19"/>
  <c r="N88" i="8" s="1"/>
  <c r="P88" i="8" s="1"/>
  <c r="F88" i="20" s="1"/>
  <c r="B42" i="21"/>
  <c r="B28" i="21"/>
  <c r="F56" i="19"/>
  <c r="N78" i="8" s="1"/>
  <c r="P78" i="8" s="1"/>
  <c r="F78" i="20" s="1"/>
  <c r="E55" i="19"/>
  <c r="F32" i="19"/>
  <c r="N66" i="8" s="1"/>
  <c r="P66" i="8" s="1"/>
  <c r="F66" i="20" s="1"/>
  <c r="E31" i="19"/>
  <c r="B16" i="21"/>
  <c r="O66" i="8"/>
  <c r="E66" i="20" s="1"/>
  <c r="E82" i="19"/>
  <c r="F81" i="19"/>
  <c r="N50" i="8" s="1"/>
  <c r="O50" i="8" s="1"/>
  <c r="P58" i="8"/>
  <c r="F58" i="20" s="1"/>
  <c r="P26" i="8"/>
  <c r="E8" i="23"/>
  <c r="F32" i="20"/>
  <c r="E92" i="15"/>
  <c r="B23" i="23"/>
  <c r="E23" i="20"/>
  <c r="D7" i="14"/>
  <c r="E7" i="14" s="1"/>
  <c r="O36" i="8"/>
  <c r="E36" i="20" s="1"/>
  <c r="P16" i="8"/>
  <c r="F16" i="20" s="1"/>
  <c r="E9" i="23"/>
  <c r="F33" i="20"/>
  <c r="E33" i="19"/>
  <c r="B17" i="21"/>
  <c r="F34" i="19"/>
  <c r="N67" i="8" s="1"/>
  <c r="P67" i="8" s="1"/>
  <c r="F67" i="20" s="1"/>
  <c r="O67" i="8"/>
  <c r="E67" i="20" s="1"/>
  <c r="B22" i="21"/>
  <c r="E43" i="19"/>
  <c r="F44" i="19"/>
  <c r="N72" i="8" s="1"/>
  <c r="P72" i="8" s="1"/>
  <c r="F72" i="20" s="1"/>
  <c r="B33" i="21"/>
  <c r="E67" i="19"/>
  <c r="F68" i="19"/>
  <c r="N84" i="8" s="1"/>
  <c r="P84" i="8" s="1"/>
  <c r="F84" i="20" s="1"/>
  <c r="F28" i="19"/>
  <c r="N64" i="8" s="1"/>
  <c r="P64" i="8" s="1"/>
  <c r="F64" i="20" s="1"/>
  <c r="B14" i="21"/>
  <c r="E27" i="19"/>
  <c r="P44" i="8"/>
  <c r="E12" i="20"/>
  <c r="B14" i="23"/>
  <c r="P56" i="8"/>
  <c r="F56" i="20" s="1"/>
  <c r="P57" i="8"/>
  <c r="F57" i="20" s="1"/>
  <c r="P28" i="8"/>
  <c r="E92" i="18"/>
  <c r="B19" i="23"/>
  <c r="E19" i="20"/>
  <c r="P10" i="8"/>
  <c r="F10" i="20" s="1"/>
  <c r="L233" i="6" l="1"/>
  <c r="O88" i="8"/>
  <c r="E88" i="20" s="1"/>
  <c r="E12" i="23"/>
  <c r="O80" i="8"/>
  <c r="E80" i="20" s="1"/>
  <c r="O74" i="8"/>
  <c r="E74" i="20" s="1"/>
  <c r="O86" i="8"/>
  <c r="E86" i="20" s="1"/>
  <c r="O82" i="8"/>
  <c r="E82" i="20" s="1"/>
  <c r="O185" i="6"/>
  <c r="O186" i="6"/>
  <c r="O124" i="6"/>
  <c r="E50" i="20"/>
  <c r="B8" i="22"/>
  <c r="B10" i="21"/>
  <c r="G5" i="1"/>
  <c r="E24" i="23"/>
  <c r="F91" i="20"/>
  <c r="O78" i="8"/>
  <c r="E78" i="20" s="1"/>
  <c r="O62" i="8"/>
  <c r="E62" i="20" s="1"/>
  <c r="C9" i="1"/>
  <c r="B9" i="1"/>
  <c r="O70" i="8"/>
  <c r="E70" i="20" s="1"/>
  <c r="F48" i="20"/>
  <c r="E22" i="23"/>
  <c r="E20" i="23"/>
  <c r="F44" i="20"/>
  <c r="C10" i="1"/>
  <c r="B10" i="1"/>
  <c r="O64" i="8"/>
  <c r="E64" i="20" s="1"/>
  <c r="F28" i="20"/>
  <c r="B27" i="23"/>
  <c r="O72" i="8"/>
  <c r="E72" i="20" s="1"/>
  <c r="E18" i="23"/>
  <c r="E25" i="23" s="1"/>
  <c r="F42" i="20"/>
  <c r="B21" i="24"/>
  <c r="E4" i="20"/>
  <c r="B6" i="23"/>
  <c r="P50" i="8"/>
  <c r="F50" i="20" s="1"/>
  <c r="B24" i="23"/>
  <c r="F26" i="20"/>
  <c r="O84" i="8"/>
  <c r="E84" i="20" s="1"/>
  <c r="O54" i="8"/>
  <c r="E54" i="20" s="1"/>
  <c r="B28" i="23" l="1"/>
  <c r="D14" i="25" s="1"/>
  <c r="B16" i="1"/>
  <c r="B38" i="21"/>
  <c r="G7" i="1"/>
  <c r="D15" i="25"/>
  <c r="B22" i="24"/>
  <c r="B43" i="21" l="1"/>
  <c r="B45" i="21" s="1"/>
  <c r="G9" i="1"/>
  <c r="D13" i="25" l="1"/>
  <c r="B7" i="22"/>
  <c r="B9" i="22" s="1"/>
  <c r="E80" i="19"/>
  <c r="M51" i="8" s="1"/>
  <c r="F80" i="19"/>
  <c r="N51" i="8" s="1"/>
  <c r="F79" i="19"/>
  <c r="N52" i="8" s="1"/>
  <c r="E79" i="19"/>
  <c r="M52" i="8" s="1"/>
  <c r="G10" i="1"/>
  <c r="B15" i="1"/>
  <c r="C15" i="1" s="1"/>
  <c r="P52" i="8" l="1"/>
  <c r="F52" i="20" s="1"/>
  <c r="O52" i="8"/>
  <c r="E52" i="20" s="1"/>
  <c r="M92" i="8"/>
  <c r="O51" i="8"/>
  <c r="P51" i="8"/>
  <c r="N92" i="8"/>
  <c r="E29" i="23" l="1"/>
  <c r="E30" i="23" s="1"/>
  <c r="E31" i="23" s="1"/>
  <c r="E33" i="23" s="1"/>
  <c r="C16" i="1" s="1"/>
  <c r="F51" i="20"/>
  <c r="F92" i="20" s="1"/>
  <c r="P92" i="8"/>
  <c r="E51" i="20"/>
  <c r="E92" i="20" s="1"/>
  <c r="O92" i="8"/>
  <c r="C11" i="1" l="1"/>
  <c r="B11" i="1"/>
  <c r="G8" i="12"/>
  <c r="H11" i="12"/>
  <c r="H4" i="12"/>
  <c r="G7" i="12"/>
  <c r="H6" i="12"/>
  <c r="F6" i="12"/>
  <c r="F5" i="12"/>
  <c r="H5" i="12"/>
  <c r="G6" i="12"/>
  <c r="F7" i="12"/>
  <c r="H7" i="12"/>
  <c r="G9" i="12"/>
  <c r="F9" i="12"/>
  <c r="H9" i="12"/>
  <c r="F4" i="12"/>
  <c r="F11" i="12"/>
  <c r="F8" i="12"/>
  <c r="H8" i="12"/>
  <c r="G4" i="12"/>
  <c r="G11" i="12"/>
  <c r="G5" i="12"/>
</calcChain>
</file>

<file path=xl/sharedStrings.xml><?xml version="1.0" encoding="utf-8"?>
<sst xmlns="http://schemas.openxmlformats.org/spreadsheetml/2006/main" count="6011" uniqueCount="1503">
  <si>
    <t>ACCOUNTING WORKBOOK DASHBOARD – PT SINAR NIAGA INDONESIA</t>
  </si>
  <si>
    <t>Panel kontrol workbook latihan: volume latihan, tie-out, performa, dan saldo utama.</t>
  </si>
  <si>
    <t>KPI</t>
  </si>
  <si>
    <t>Nilai</t>
  </si>
  <si>
    <t>Status</t>
  </si>
  <si>
    <t>Sumber</t>
  </si>
  <si>
    <t>P&amp;L Snapshot</t>
  </si>
  <si>
    <t>Rp</t>
  </si>
  <si>
    <t>Jurnal Umum</t>
  </si>
  <si>
    <t>80 soal</t>
  </si>
  <si>
    <t>READY</t>
  </si>
  <si>
    <t>Soal_dan_Jurnal</t>
  </si>
  <si>
    <t>Penjualan Bersih</t>
  </si>
  <si>
    <t>Jurnal Penyesuaian</t>
  </si>
  <si>
    <t>30 soal</t>
  </si>
  <si>
    <t>Jurnal_Penyesuaian</t>
  </si>
  <si>
    <t>HPP</t>
  </si>
  <si>
    <t>COA</t>
  </si>
  <si>
    <t>88 akun</t>
  </si>
  <si>
    <t>Laba Kotor</t>
  </si>
  <si>
    <t>Saldo Awal</t>
  </si>
  <si>
    <t>569.000.000</t>
  </si>
  <si>
    <t>BALANCE</t>
  </si>
  <si>
    <t>Saldo_Awal</t>
  </si>
  <si>
    <t>Beban Operasi</t>
  </si>
  <si>
    <t>Neraca Saldo</t>
  </si>
  <si>
    <t>Neraca_Saldo</t>
  </si>
  <si>
    <t>Laba Operasi</t>
  </si>
  <si>
    <t>NS Setelah Penyesuaian</t>
  </si>
  <si>
    <t>NS_Setelah_Penyesuaian</t>
  </si>
  <si>
    <t>Laba Bersih</t>
  </si>
  <si>
    <t>NS Setelah Penutupan</t>
  </si>
  <si>
    <t>NS_Setelah_Penutupan</t>
  </si>
  <si>
    <t>Rekonsiliasi Bank</t>
  </si>
  <si>
    <t>Rekonsiliasi_Bank</t>
  </si>
  <si>
    <t>AP Subledger</t>
  </si>
  <si>
    <t>Rekap_AP</t>
  </si>
  <si>
    <t>AR Subledger</t>
  </si>
  <si>
    <t>Rekap_AR</t>
  </si>
  <si>
    <t>Laba_Rugi</t>
  </si>
  <si>
    <t>Total Aset</t>
  </si>
  <si>
    <t>Posisi_Keuangan</t>
  </si>
  <si>
    <t>LATIHAN AKUNTANSI PERUSAHAAN DAGANG – WORKBOOK SIMULASI ACCOUNTING END-TO-END</t>
  </si>
  <si>
    <t>1</t>
  </si>
  <si>
    <t>Mulai dari Dashboard_Accounting untuk melihat status tie-out dan ringkasan workbook.</t>
  </si>
  <si>
    <t>2</t>
  </si>
  <si>
    <t>Baca Parameter_Latihan sebelum mengerjakan: periode, kebijakan perpetual/accrual, PPN/PPh, dan asumsi latihan.</t>
  </si>
  <si>
    <t>3</t>
  </si>
  <si>
    <t>Gunakan COA sebagai daftar akun resmi 88 akun. Jangan membuat akun baru sembarangan; gunakan akun yang paling spesifik.</t>
  </si>
  <si>
    <t>4</t>
  </si>
  <si>
    <t>Data_Master berisi supplier, customer, SKU, dan dokumen master untuk membuat kasus lebih realistis.</t>
  </si>
  <si>
    <t>5</t>
  </si>
  <si>
    <t>Saldo_Awal berisi posisi per 31-Des-2026 dan harus balance sebelum transaksi Januari dimasukkan.</t>
  </si>
  <si>
    <t>6</t>
  </si>
  <si>
    <t>Soal_dan_Jurnal berisi 80 kasus Basic → Intermediate → Advanced. Kolom J:L adalah area jawaban siswa.</t>
  </si>
  <si>
    <t>7</t>
  </si>
  <si>
    <t>Selesaikan setiap jurnal dengan menentukan tanggal, akun, debit, kredit, counterparty, dan dokumen pendukung.</t>
  </si>
  <si>
    <t>8</t>
  </si>
  <si>
    <t>Kolom M:P di Soal_dan_Jurnal adalah self-check otomatis terhadap Kunci_Jurnal_80.</t>
  </si>
  <si>
    <t>9</t>
  </si>
  <si>
    <t>Kunci_Jurnal_80 adalah jawaban pembanding mentor. Gunakan untuk review setelah latihan, bukan sebelum mengerjakan.</t>
  </si>
  <si>
    <t>10</t>
  </si>
  <si>
    <t>Buku_Besar memposting Saldo Awal + Jurnal Umum + Penyesuaian + Jurnal Penutup secara formula-driven.</t>
  </si>
  <si>
    <t>11</t>
  </si>
  <si>
    <t>Rekap_AP melatih invoice supplier, retur, pembayaran, diskon, dan aging saldo utang.</t>
  </si>
  <si>
    <t>12</t>
  </si>
  <si>
    <t>Rekap_AR melatih invoice customer, retur/rebate, NSF, penerimaan, write-off, dan aging saldo piutang.</t>
  </si>
  <si>
    <t>13</t>
  </si>
  <si>
    <t>Inventory_Kartu adalah latihan kartu persediaan/FIFO untuk SKU terpilih; gunakan full warehouse listing untuk tie-out total GL.</t>
  </si>
  <si>
    <t>14</t>
  </si>
  <si>
    <t>Payroll adalah simulasi register gaji, PPh21, BPJS pegawai/pemberi kerja, take-home pay, dan jurnal payroll.</t>
  </si>
  <si>
    <t>15</t>
  </si>
  <si>
    <t>Rekonsiliasi_Bank mencari perbedaan antara buku perusahaan dan rekening koran serta mengidentifikasi jurnal bank-only.</t>
  </si>
  <si>
    <t>16</t>
  </si>
  <si>
    <t>Rekonsiliasi_Akun melatih AP, AR, VAT, inventory control, dan payroll control dengan status TIED / PERIKSA / CONTROL ONLY.</t>
  </si>
  <si>
    <t>17</t>
  </si>
  <si>
    <t>Jurnal_Penyesuaian berisi 30 kasus; sebagian membutuhkan perhitungan akrual/prepaid/depreciation/tax, satu kasus menguji keputusan bahwa tidak perlu jurnal.</t>
  </si>
  <si>
    <t>18</t>
  </si>
  <si>
    <t>Alur utama: Dokumen → Jurnal → Buku Besar → Rekonsiliasi → Penyesuaian → Neraca Saldo → Penutup → Laporan Keuangan → CALK.</t>
  </si>
  <si>
    <t>19</t>
  </si>
  <si>
    <t>Gunakan Kamus_Rumus untuk memahami prinsip SUMIF/SUMIFS, saldo normal, rekonsiliasi, dan kontrol balance.</t>
  </si>
  <si>
    <t>PARAMETER &amp; ASUMSI LATIHAN – JANGAN DISAMAKAN OTOMATIS DENGAN PERLAKUAN PAJAK RIIL</t>
  </si>
  <si>
    <t>Parameter</t>
  </si>
  <si>
    <t>Satuan</t>
  </si>
  <si>
    <t>Catatan</t>
  </si>
  <si>
    <t>Periode mulai</t>
  </si>
  <si>
    <t>tanggal</t>
  </si>
  <si>
    <t>Fixed</t>
  </si>
  <si>
    <t>Awal periode latihan</t>
  </si>
  <si>
    <t>Workbook</t>
  </si>
  <si>
    <t>Periode akhir</t>
  </si>
  <si>
    <t>Akhir periode latihan</t>
  </si>
  <si>
    <t>PPN tarif umum (referensi)</t>
  </si>
  <si>
    <t>%</t>
  </si>
  <si>
    <t>Referensi</t>
  </si>
  <si>
    <t>Tarif umum berdasarkan rezim sejak 2025; konteks objek harus dicek.</t>
  </si>
  <si>
    <t>https://www.pajak.go.id/id/peraturan/harmonisasi-peraturan-perpajakan</t>
  </si>
  <si>
    <t>PPN efektif latihan</t>
  </si>
  <si>
    <t>Asumsi latihan</t>
  </si>
  <si>
    <t>Dipakai pada soal yang secara eksplisit menyatakan PPN latihan efektif 11%.</t>
  </si>
  <si>
    <t>https://stats.pajak.go.id/id/siaran-pers/pemerintah-terbitkan-aturan-dpp-nilai-lain-dan-besaran-tertentu-pajak-pertambahan-nilai</t>
  </si>
  <si>
    <t>PPh 23 jasa tertentu</t>
  </si>
  <si>
    <t>Referensi/latihan</t>
  </si>
  <si>
    <t>2% dari jumlah bruto untuk jasa tertentu; kasus hanya menggunakan objek yang dinyatakan.</t>
  </si>
  <si>
    <t>https://www.pajak.go.id/id/pph-pasal-23</t>
  </si>
  <si>
    <t>PPh Final sewa tanah/bangunan</t>
  </si>
  <si>
    <t>10% dari jumlah bruto sewa tanah/bangunan.</t>
  </si>
  <si>
    <t>https://pajak.go.id/id/pph-pasal-4-ayat-2</t>
  </si>
  <si>
    <t>PPh 22 pembelian oleh pemungut tertentu</t>
  </si>
  <si>
    <t>1,5% dari harga pembelian tidak termasuk PPN pada konteks pemungut tertentu.</t>
  </si>
  <si>
    <t>https://pajak.go.id/pph-pasal-22</t>
  </si>
  <si>
    <t>PPh 22 impor API</t>
  </si>
  <si>
    <t>2,5% dari nilai impor untuk impor dengan API.</t>
  </si>
  <si>
    <t>PPh 21</t>
  </si>
  <si>
    <t>Nominal pajak ditetapkan per soal; simulasi detail payroll ada di sheet Payroll.</t>
  </si>
  <si>
    <t>https://stats.pajak.go.id/id/artikel/tarif-efektif-rata-rata-penyempurnaan-perhitungan-pph-pasal-21</t>
  </si>
  <si>
    <t>Metode persediaan</t>
  </si>
  <si>
    <t>Perpetual</t>
  </si>
  <si>
    <t>metode</t>
  </si>
  <si>
    <t>HPP dicatat saat penjualan.</t>
  </si>
  <si>
    <t>Metode kartu persediaan</t>
  </si>
  <si>
    <t>FIFO</t>
  </si>
  <si>
    <t>Untuk modul kartu persediaan per SKU.</t>
  </si>
  <si>
    <t>Dasar pencatatan</t>
  </si>
  <si>
    <t>Accrual basis</t>
  </si>
  <si>
    <t>basis</t>
  </si>
  <si>
    <t>Akui hak/kewajiban saat terjadi.</t>
  </si>
  <si>
    <t>Mata uang</t>
  </si>
  <si>
    <t>Rupiah</t>
  </si>
  <si>
    <t>IDR</t>
  </si>
  <si>
    <t>Semua angka dalam Rp.</t>
  </si>
  <si>
    <t>CHART OF ACCOUNTS – PT SINAR NIAGA INDONESIA</t>
  </si>
  <si>
    <t>Kode Akun</t>
  </si>
  <si>
    <t>Nama Akun</t>
  </si>
  <si>
    <t>Kategori</t>
  </si>
  <si>
    <t>Saldo Normal</t>
  </si>
  <si>
    <t>Kelompok Laporan</t>
  </si>
  <si>
    <t>1-001</t>
  </si>
  <si>
    <t>Bank</t>
  </si>
  <si>
    <t>Aset</t>
  </si>
  <si>
    <t>Debit</t>
  </si>
  <si>
    <t>Posisi Keuangan - Aset Lancar</t>
  </si>
  <si>
    <t>1-002</t>
  </si>
  <si>
    <t>Kas Kecil</t>
  </si>
  <si>
    <t>1-003</t>
  </si>
  <si>
    <t>Piutang Usaha</t>
  </si>
  <si>
    <t>1-004</t>
  </si>
  <si>
    <t>Piutang Karyawan</t>
  </si>
  <si>
    <t>1-005</t>
  </si>
  <si>
    <t>Piutang Bunga</t>
  </si>
  <si>
    <t>1-006</t>
  </si>
  <si>
    <t>Piutang Pendapatan</t>
  </si>
  <si>
    <t>1-007</t>
  </si>
  <si>
    <t>Persediaan Barang Dagang</t>
  </si>
  <si>
    <t>1-008</t>
  </si>
  <si>
    <t>PPN Masukan</t>
  </si>
  <si>
    <t>1-009</t>
  </si>
  <si>
    <t>PPh 22 Dibayar di Muka</t>
  </si>
  <si>
    <t>1-010</t>
  </si>
  <si>
    <t>PPh 23 Dibayar di Muka</t>
  </si>
  <si>
    <t>1-011</t>
  </si>
  <si>
    <t>PPh Final Dibayar di Muka</t>
  </si>
  <si>
    <t>1-012</t>
  </si>
  <si>
    <t>Sewa Dibayar di Muka</t>
  </si>
  <si>
    <t>1-013</t>
  </si>
  <si>
    <t>Asuransi Dibayar di Muka</t>
  </si>
  <si>
    <t>1-014</t>
  </si>
  <si>
    <t>Iklan Dibayar di Muka</t>
  </si>
  <si>
    <t>1-015</t>
  </si>
  <si>
    <t>Perlengkapan</t>
  </si>
  <si>
    <t>1-016</t>
  </si>
  <si>
    <t>Uang Muka Pembelian</t>
  </si>
  <si>
    <t>1-017</t>
  </si>
  <si>
    <t>Software Dibayar di Muka</t>
  </si>
  <si>
    <t>1-018</t>
  </si>
  <si>
    <t>Lisensi Dibayar di Muka</t>
  </si>
  <si>
    <t>1-019</t>
  </si>
  <si>
    <t>Peralatan Toko</t>
  </si>
  <si>
    <t>Posisi Keuangan - Aset Tetap</t>
  </si>
  <si>
    <t>1-020</t>
  </si>
  <si>
    <t>Peralatan Kantor</t>
  </si>
  <si>
    <t>1-021</t>
  </si>
  <si>
    <t>Kendaraan</t>
  </si>
  <si>
    <t>1-022</t>
  </si>
  <si>
    <t>Tanah</t>
  </si>
  <si>
    <t>1-023</t>
  </si>
  <si>
    <t>Akumulasi Penyusutan Peralatan Toko</t>
  </si>
  <si>
    <t>Aset Kontra</t>
  </si>
  <si>
    <t>Kredit</t>
  </si>
  <si>
    <t>Posisi Keuangan - Kontra Aset</t>
  </si>
  <si>
    <t>1-024</t>
  </si>
  <si>
    <t>Akumulasi Penyusutan Peralatan Kantor</t>
  </si>
  <si>
    <t>1-025</t>
  </si>
  <si>
    <t>Akumulasi Penyusutan Kendaraan</t>
  </si>
  <si>
    <t>1-026</t>
  </si>
  <si>
    <t>Penyisihan Piutang Tak Tertagih</t>
  </si>
  <si>
    <t>2-001</t>
  </si>
  <si>
    <t>Utang Usaha</t>
  </si>
  <si>
    <t>Liabilitas</t>
  </si>
  <si>
    <t>Posisi Keuangan - Liabilitas Lancar</t>
  </si>
  <si>
    <t>2-002</t>
  </si>
  <si>
    <t>Utang Gaji</t>
  </si>
  <si>
    <t>2-003</t>
  </si>
  <si>
    <t>Utang Bonus</t>
  </si>
  <si>
    <t>2-004</t>
  </si>
  <si>
    <t>Utang Bunga</t>
  </si>
  <si>
    <t>2-005</t>
  </si>
  <si>
    <t>Utang Utilitas</t>
  </si>
  <si>
    <t>2-006</t>
  </si>
  <si>
    <t>Utang BPJS</t>
  </si>
  <si>
    <t>2-007</t>
  </si>
  <si>
    <t>Utang PPN</t>
  </si>
  <si>
    <t>2-008</t>
  </si>
  <si>
    <t>Utang PPh 21</t>
  </si>
  <si>
    <t>2-009</t>
  </si>
  <si>
    <t>Utang PPh 22</t>
  </si>
  <si>
    <t>2-010</t>
  </si>
  <si>
    <t>Utang PPh 23</t>
  </si>
  <si>
    <t>2-011</t>
  </si>
  <si>
    <t>Utang PPh Final 4(2)</t>
  </si>
  <si>
    <t>2-012</t>
  </si>
  <si>
    <t>Utang Pajak Penghasilan</t>
  </si>
  <si>
    <t>2-013</t>
  </si>
  <si>
    <t>Utang Pajak Daerah</t>
  </si>
  <si>
    <t>2-014</t>
  </si>
  <si>
    <t>Utang Bank Jangka Pendek</t>
  </si>
  <si>
    <t>2-015</t>
  </si>
  <si>
    <t>Utang Bank Jangka Panjang</t>
  </si>
  <si>
    <t>Posisi Keuangan - Liabilitas</t>
  </si>
  <si>
    <t>2-016</t>
  </si>
  <si>
    <t>Uang Muka Pelanggan</t>
  </si>
  <si>
    <t>2-017</t>
  </si>
  <si>
    <t>Pendapatan Diterima di Muka</t>
  </si>
  <si>
    <t>2-018</t>
  </si>
  <si>
    <t>Utang Leasing</t>
  </si>
  <si>
    <t>2-019</t>
  </si>
  <si>
    <t>Utang Dividen</t>
  </si>
  <si>
    <t>3-001</t>
  </si>
  <si>
    <t>Modal Saham</t>
  </si>
  <si>
    <t>Ekuitas</t>
  </si>
  <si>
    <t>Posisi Keuangan - Ekuitas</t>
  </si>
  <si>
    <t>3-002</t>
  </si>
  <si>
    <t>Dividen</t>
  </si>
  <si>
    <t>Ekuitas Kontra</t>
  </si>
  <si>
    <t>Perubahan Ekuitas</t>
  </si>
  <si>
    <t>3-003</t>
  </si>
  <si>
    <t>Saldo Laba</t>
  </si>
  <si>
    <t>3-004</t>
  </si>
  <si>
    <t>Ikhtisar Laba Rugi</t>
  </si>
  <si>
    <t>Ekuitas Temporer</t>
  </si>
  <si>
    <t>Jurnal Penutup</t>
  </si>
  <si>
    <t>4-001</t>
  </si>
  <si>
    <t>Penjualan</t>
  </si>
  <si>
    <t>Pendapatan</t>
  </si>
  <si>
    <t>Laba Rugi - Pendapatan</t>
  </si>
  <si>
    <t>4-002</t>
  </si>
  <si>
    <t>Retur Penjualan</t>
  </si>
  <si>
    <t>Kontra Pendapatan</t>
  </si>
  <si>
    <t>4-003</t>
  </si>
  <si>
    <t>Potongan Penjualan</t>
  </si>
  <si>
    <t>4-004</t>
  </si>
  <si>
    <t>Pendapatan Jasa</t>
  </si>
  <si>
    <t>4-005</t>
  </si>
  <si>
    <t>Pendapatan Bunga</t>
  </si>
  <si>
    <t>Laba Rugi - Pendapatan Lain</t>
  </si>
  <si>
    <t>4-006</t>
  </si>
  <si>
    <t>Keuntungan Penjualan Aset</t>
  </si>
  <si>
    <t>4-007</t>
  </si>
  <si>
    <t>Pendapatan Lain-lain</t>
  </si>
  <si>
    <t>5-001</t>
  </si>
  <si>
    <t>Beban Pokok</t>
  </si>
  <si>
    <t>Laba Rugi - HPP</t>
  </si>
  <si>
    <t>5-002</t>
  </si>
  <si>
    <t>Beban Gaji</t>
  </si>
  <si>
    <t>Beban</t>
  </si>
  <si>
    <t>Laba Rugi - Beban</t>
  </si>
  <si>
    <t>5-003</t>
  </si>
  <si>
    <t>Beban BPJS</t>
  </si>
  <si>
    <t>5-004</t>
  </si>
  <si>
    <t>Beban Sewa</t>
  </si>
  <si>
    <t>5-005</t>
  </si>
  <si>
    <t>Beban Asuransi</t>
  </si>
  <si>
    <t>5-006</t>
  </si>
  <si>
    <t>Beban Perlengkapan</t>
  </si>
  <si>
    <t>5-007</t>
  </si>
  <si>
    <t>Beban Iklan</t>
  </si>
  <si>
    <t>5-008</t>
  </si>
  <si>
    <t>Beban Lisensi/Software</t>
  </si>
  <si>
    <t>5-009</t>
  </si>
  <si>
    <t>Beban Penyusutan Peralatan Toko</t>
  </si>
  <si>
    <t>5-010</t>
  </si>
  <si>
    <t>Beban Penyusutan Peralatan Kantor</t>
  </si>
  <si>
    <t>5-011</t>
  </si>
  <si>
    <t>Beban Penyusutan Kendaraan</t>
  </si>
  <si>
    <t>5-012</t>
  </si>
  <si>
    <t>Beban Utilitas</t>
  </si>
  <si>
    <t>5-013</t>
  </si>
  <si>
    <t>Beban Pengiriman Penjualan</t>
  </si>
  <si>
    <t>5-014</t>
  </si>
  <si>
    <t>Beban Jasa Profesional</t>
  </si>
  <si>
    <t>5-015</t>
  </si>
  <si>
    <t>Beban Pemeliharaan</t>
  </si>
  <si>
    <t>5-016</t>
  </si>
  <si>
    <t>Beban ATK</t>
  </si>
  <si>
    <t>5-017</t>
  </si>
  <si>
    <t>Beban Bunga</t>
  </si>
  <si>
    <t>5-018</t>
  </si>
  <si>
    <t>Beban Komisi</t>
  </si>
  <si>
    <t>5-019</t>
  </si>
  <si>
    <t>Beban Bonus</t>
  </si>
  <si>
    <t>5-020</t>
  </si>
  <si>
    <t>Beban Kerugian Piutang</t>
  </si>
  <si>
    <t>5-021</t>
  </si>
  <si>
    <t>Beban Kerugian Persediaan</t>
  </si>
  <si>
    <t>5-022</t>
  </si>
  <si>
    <t>Beban Pajak Daerah</t>
  </si>
  <si>
    <t>5-023</t>
  </si>
  <si>
    <t>Beban Administrasi Bank</t>
  </si>
  <si>
    <t>5-024</t>
  </si>
  <si>
    <t>Beban Pajak Penghasilan</t>
  </si>
  <si>
    <t>Laba Rugi - Beban Pajak</t>
  </si>
  <si>
    <t>5-025</t>
  </si>
  <si>
    <t>Beban Training</t>
  </si>
  <si>
    <t>5-026</t>
  </si>
  <si>
    <t>Beban Keamanan</t>
  </si>
  <si>
    <t>5-027</t>
  </si>
  <si>
    <t>Beban Kurir</t>
  </si>
  <si>
    <t>5-028</t>
  </si>
  <si>
    <t>Beban Selisih Kas</t>
  </si>
  <si>
    <t>5-029</t>
  </si>
  <si>
    <t>Kerugian Penjualan Aset</t>
  </si>
  <si>
    <t>Laba Rugi - Beban Non-operasi</t>
  </si>
  <si>
    <t>5-030</t>
  </si>
  <si>
    <t>Beban Denda Pajak</t>
  </si>
  <si>
    <t>2-020</t>
  </si>
  <si>
    <t>Utang Beban / Akrual</t>
  </si>
  <si>
    <t>2-021</t>
  </si>
  <si>
    <t>PPN Keluaran</t>
  </si>
  <si>
    <t>DATA MASTER – SUPPLIER, CUSTOMER, SKU, DAN TERMS</t>
  </si>
  <si>
    <t>Supplier Code</t>
  </si>
  <si>
    <t>Supplier</t>
  </si>
  <si>
    <t>Payment Terms</t>
  </si>
  <si>
    <t>PPh/Pajak Case</t>
  </si>
  <si>
    <t>Contact / Note</t>
  </si>
  <si>
    <t>Customer Code</t>
  </si>
  <si>
    <t>Customer</t>
  </si>
  <si>
    <t>Credit Limit</t>
  </si>
  <si>
    <t>Terms</t>
  </si>
  <si>
    <t>Note</t>
  </si>
  <si>
    <t>SUP-A</t>
  </si>
  <si>
    <t>Supplier A</t>
  </si>
  <si>
    <t>30 hari</t>
  </si>
  <si>
    <t>Pemasok barang dagang</t>
  </si>
  <si>
    <t>Supplier utama</t>
  </si>
  <si>
    <t>CUS-B</t>
  </si>
  <si>
    <t>Pelanggan B</t>
  </si>
  <si>
    <t>AR utama</t>
  </si>
  <si>
    <t>SUP-B</t>
  </si>
  <si>
    <t>Supplier B</t>
  </si>
  <si>
    <t>14 hari</t>
  </si>
  <si>
    <t>Rebate volume</t>
  </si>
  <si>
    <t>CUS-C</t>
  </si>
  <si>
    <t>Pelanggan C</t>
  </si>
  <si>
    <t>DP</t>
  </si>
  <si>
    <t>Customer advance</t>
  </si>
  <si>
    <t>SUP-C</t>
  </si>
  <si>
    <t>PT Perkasa Office</t>
  </si>
  <si>
    <t>Aset tetap</t>
  </si>
  <si>
    <t>Peralatan toko</t>
  </si>
  <si>
    <t>CUS-D</t>
  </si>
  <si>
    <t>Pelanggan D</t>
  </si>
  <si>
    <t>45 hari</t>
  </si>
  <si>
    <t>Volume rebate</t>
  </si>
  <si>
    <t>SUP-D</t>
  </si>
  <si>
    <t>PT Kantor Jaya</t>
  </si>
  <si>
    <t>Peralatan kantor</t>
  </si>
  <si>
    <t>CUS-E</t>
  </si>
  <si>
    <t>Pelanggan E</t>
  </si>
  <si>
    <t>Early payment discount</t>
  </si>
  <si>
    <t>SUP-E</t>
  </si>
  <si>
    <t>Supplier E</t>
  </si>
  <si>
    <t>Uang muka</t>
  </si>
  <si>
    <t>Skenario advance</t>
  </si>
  <si>
    <t>CUS-F</t>
  </si>
  <si>
    <t>Pelanggan F</t>
  </si>
  <si>
    <t>Partial collection</t>
  </si>
  <si>
    <t>SUP-F</t>
  </si>
  <si>
    <t>Supplier F</t>
  </si>
  <si>
    <t>Immediate</t>
  </si>
  <si>
    <t>Pembelian tunai</t>
  </si>
  <si>
    <t>Diskon pembelian</t>
  </si>
  <si>
    <t>CUS-G</t>
  </si>
  <si>
    <t>Pelanggan Umum</t>
  </si>
  <si>
    <t>Cash</t>
  </si>
  <si>
    <t>Retail/cash sales</t>
  </si>
  <si>
    <t>SUP-G</t>
  </si>
  <si>
    <t>Supplier G</t>
  </si>
  <si>
    <t>Transaksi akhir</t>
  </si>
  <si>
    <t>CUS-H</t>
  </si>
  <si>
    <t>Pelanggan H</t>
  </si>
  <si>
    <t>Aged AR practice</t>
  </si>
  <si>
    <t>SUP-H</t>
  </si>
  <si>
    <t>Toko ATK Nusantara</t>
  </si>
  <si>
    <t>Invoice ATK</t>
  </si>
  <si>
    <t>CUS-I</t>
  </si>
  <si>
    <t>Pelanggan I</t>
  </si>
  <si>
    <t>AR practice</t>
  </si>
  <si>
    <t>SUP-I</t>
  </si>
  <si>
    <t>PT Gudang Sentosa</t>
  </si>
  <si>
    <t>Bulanan</t>
  </si>
  <si>
    <t>Sewa gedung</t>
  </si>
  <si>
    <t>PPh Final 4(2)</t>
  </si>
  <si>
    <t>SUP-J</t>
  </si>
  <si>
    <t>Kantor Konsultan Prima</t>
  </si>
  <si>
    <t>Jasa profesional</t>
  </si>
  <si>
    <t>PPh 23</t>
  </si>
  <si>
    <t>SUP-K</t>
  </si>
  <si>
    <t>PT Garda Aman</t>
  </si>
  <si>
    <t>Jasa keamanan</t>
  </si>
  <si>
    <t>SKU</t>
  </si>
  <si>
    <t>Nama Barang</t>
  </si>
  <si>
    <t>Unit</t>
  </si>
  <si>
    <t>Cost Awal</t>
  </si>
  <si>
    <t>Harga Jual</t>
  </si>
  <si>
    <t>Reorder Point</t>
  </si>
  <si>
    <t>Keterangan</t>
  </si>
  <si>
    <t>SKU-01</t>
  </si>
  <si>
    <t>Printer Ink</t>
  </si>
  <si>
    <t>unit</t>
  </si>
  <si>
    <t>Barang elektronik kantor</t>
  </si>
  <si>
    <t>SKU-02</t>
  </si>
  <si>
    <t>Laptop Bisnis</t>
  </si>
  <si>
    <t>Barang bernilai tinggi</t>
  </si>
  <si>
    <t>SKU-03</t>
  </si>
  <si>
    <t>Kertas A4</t>
  </si>
  <si>
    <t>rim</t>
  </si>
  <si>
    <t>Fast moving</t>
  </si>
  <si>
    <t>SKU-04</t>
  </si>
  <si>
    <t>Toner</t>
  </si>
  <si>
    <t>Office consumable</t>
  </si>
  <si>
    <t>SKU-05</t>
  </si>
  <si>
    <t>Monitor</t>
  </si>
  <si>
    <t>Barang elektronik</t>
  </si>
  <si>
    <t>SKU-06</t>
  </si>
  <si>
    <t>Keyboard</t>
  </si>
  <si>
    <t>Office accessory</t>
  </si>
  <si>
    <t>SKU-07</t>
  </si>
  <si>
    <t>Mouse</t>
  </si>
  <si>
    <t>SKU-08</t>
  </si>
  <si>
    <t>Router</t>
  </si>
  <si>
    <t>Networking</t>
  </si>
  <si>
    <t>LATIHAN 80 SOAL – JURNAL UMUM PERUSAHAAN DAGANG | BASIC → ADVANCED</t>
  </si>
  <si>
    <t>Isi kolom J:L untuk menjawab. H:I sudah disiapkan sebagai identitas baris. M:O memeriksa akun/debit/kredit terhadap Kunci_Jurnal_80. P menunjukkan status baris.</t>
  </si>
  <si>
    <t>No</t>
  </si>
  <si>
    <t>Tanggal</t>
  </si>
  <si>
    <t>Tingkat / Jenis</t>
  </si>
  <si>
    <t>Soal</t>
  </si>
  <si>
    <t>Tambahan / Fakta Penting</t>
  </si>
  <si>
    <t>Nominal (Rp)</t>
  </si>
  <si>
    <t>Petunjuk</t>
  </si>
  <si>
    <t>No2</t>
  </si>
  <si>
    <t>Tanggal2</t>
  </si>
  <si>
    <t>Akun Jawaban</t>
  </si>
  <si>
    <t>Debit Jawaban</t>
  </si>
  <si>
    <t>Kredit Jawaban</t>
  </si>
  <si>
    <t>Cek Akun</t>
  </si>
  <si>
    <t>Cek Debit</t>
  </si>
  <si>
    <t>Cek Kredit</t>
  </si>
  <si>
    <t>Mudah / Setoran modal</t>
  </si>
  <si>
    <t>Pemegang saham menyetor modal tunai Rp1.500.000.000 ke rekening bank perusahaan.</t>
  </si>
  <si>
    <t>Setoran penuh; tidak ada biaya penerbitan saham.</t>
  </si>
  <si>
    <t>Debit Bank; kredit Modal Saham.</t>
  </si>
  <si>
    <t>Mudah / Transfer kas kecil</t>
  </si>
  <si>
    <t>Perusahaan memindahkan Rp20.000.000 dari bank ke kas kecil.</t>
  </si>
  <si>
    <t>Hanya perpindahan antar akun kas.</t>
  </si>
  <si>
    <t>Debit Kas Kecil; kredit Bank.</t>
  </si>
  <si>
    <t>Mudah / Pembelian aset tunai</t>
  </si>
  <si>
    <t>Perusahaan membeli peralatan toko Rp60.000.000 sebelum PPN. PPN latihan efektif 11%.</t>
  </si>
  <si>
    <t>Dibayar melalui bank; peralatan siap digunakan.</t>
  </si>
  <si>
    <t>Debit Peralatan Toko, PPN Masukan; kredit Bank.</t>
  </si>
  <si>
    <t>Mudah / Pembelian aset kredit</t>
  </si>
  <si>
    <t>Perusahaan membeli peralatan kantor Rp40.000.000 sebelum PPN. PPN latihan efektif 11%.</t>
  </si>
  <si>
    <t>Satu invoice; belum dibayar.</t>
  </si>
  <si>
    <t>Debit Peralatan Kantor, PPN Masukan; kredit Utang Usaha.</t>
  </si>
  <si>
    <t>Mudah / Pembelian persediaan kredit</t>
  </si>
  <si>
    <t>Perusahaan membeli persediaan dari Supplier A secara kredit Rp250.000.000 sebelum PPN.</t>
  </si>
  <si>
    <t>PPN latihan efektif 11%; satu invoice; belum dibayar.</t>
  </si>
  <si>
    <t>Debit Persediaan, PPN Masukan; kredit Utang Usaha.</t>
  </si>
  <si>
    <t>Mudah / Pembelian persediaan tunai</t>
  </si>
  <si>
    <t>Perusahaan membeli persediaan Rp100.000.000 sebelum PPN dari Supplier B secara kredit.</t>
  </si>
  <si>
    <t>PPN latihan efektif 11%; termin 14 hari.</t>
  </si>
  <si>
    <t>Mudah / Freight-in</t>
  </si>
  <si>
    <t>Perusahaan membayar ongkos angkut pembelian Rp4.000.000 melalui bank. Ongkos angkut menambah biaya perolehan persediaan.</t>
  </si>
  <si>
    <t>Sistem perpetual; freight-in dikapitalisasi.</t>
  </si>
  <si>
    <t>Debit Persediaan; kredit Bank.</t>
  </si>
  <si>
    <t>Mudah / Penjualan tunai</t>
  </si>
  <si>
    <t>Perusahaan menjual barang secara tunai Rp120.000.000 sebelum PPN. HPP Rp70.000.000.</t>
  </si>
  <si>
    <t>PPN latihan efektif 11%; perpetual.</t>
  </si>
  <si>
    <t>Buat dua kelompok jurnal: penjualan + PPN dan HPP + persediaan.</t>
  </si>
  <si>
    <t>Mudah / Penjualan kredit</t>
  </si>
  <si>
    <t>Perusahaan menjual barang secara kredit kepada Pelanggan B Rp160.000.000 sebelum PPN. HPP Rp95.000.000.</t>
  </si>
  <si>
    <t>PPN latihan efektif 11%; termin 30 hari.</t>
  </si>
  <si>
    <t>Debit Piutang; kredit Penjualan dan PPN Keluaran; lalu HPP dan Persediaan.</t>
  </si>
  <si>
    <t>Mudah / Penerimaan piutang</t>
  </si>
  <si>
    <t>Pelanggan B membayar piutang Rp80.000.000 melalui bank.</t>
  </si>
  <si>
    <t>Tidak ada potongan.</t>
  </si>
  <si>
    <t>Debit Bank; kredit Piutang Usaha.</t>
  </si>
  <si>
    <t>Mudah / Pelunasan utang</t>
  </si>
  <si>
    <t>Perusahaan membayar Utang Usaha kepada Supplier A sebesar Rp100.000.000 melalui bank.</t>
  </si>
  <si>
    <t>Pelunasan sebagian.</t>
  </si>
  <si>
    <t>Debit Utang Usaha; kredit Bank.</t>
  </si>
  <si>
    <t>Mudah / Uang muka pelanggan</t>
  </si>
  <si>
    <t>Pelanggan C membayar uang muka Rp44.440.000 melalui bank untuk pesanan barang yang akan dikirim kemudian.</t>
  </si>
  <si>
    <t>Uang muka dicatat sebagai liabilitas sampai barang diserahkan.</t>
  </si>
  <si>
    <t>Debit Bank; kredit Uang Muka Pelanggan.</t>
  </si>
  <si>
    <t>Mudah / Retur pembelian</t>
  </si>
  <si>
    <t>Perusahaan mengembalikan barang kepada Supplier A senilai Rp15.000.000 sebelum PPN karena rusak.</t>
  </si>
  <si>
    <t>PPN 11% dibatalkan; retur mengurangi utang.</t>
  </si>
  <si>
    <t>Debit Utang Usaha; kredit Persediaan dan PPN Masukan.</t>
  </si>
  <si>
    <t>Mudah / Retur penjualan</t>
  </si>
  <si>
    <t>Pelanggan B mengembalikan barang yang sebelumnya dijual seharga Rp10.000.000 sebelum PPN; nilai HPP barang yang kembali Rp6.000.000.</t>
  </si>
  <si>
    <t>PPN 11%; kembalinya barang memulihkan persediaan.</t>
  </si>
  <si>
    <t>Catat retur + pembalikan PPN dan pemulihan persediaan/HPP.</t>
  </si>
  <si>
    <t>Mudah / Freight-out</t>
  </si>
  <si>
    <t>Perusahaan membayar ongkos pengiriman penjualan Rp2.500.000 melalui bank.</t>
  </si>
  <si>
    <t>Freight-out adalah beban penjualan.</t>
  </si>
  <si>
    <t>Debit Beban Pengiriman Penjualan; kredit Bank.</t>
  </si>
  <si>
    <t>Mudah / Iklan dibayar di muka</t>
  </si>
  <si>
    <t>Perusahaan membayar kontrak iklan 12 bulan sebesar Rp12.000.000 melalui bank.</t>
  </si>
  <si>
    <t>Manfaat mulai Februari; seluruhnya masih prepaid pada 31 Januari.</t>
  </si>
  <si>
    <t>Debit Iklan Dibayar di Muka; kredit Bank.</t>
  </si>
  <si>
    <t>Mudah / Sewa dibayar di muka</t>
  </si>
  <si>
    <t>Perusahaan membayar sewa toko Rp18.000.000 untuk tiga bulan melalui bank.</t>
  </si>
  <si>
    <t>Manfaat sewa dimulai Januari; penyesuaian akan menghitung bagian yang terpakai.</t>
  </si>
  <si>
    <t>Debit Sewa Dibayar di Muka; kredit Bank.</t>
  </si>
  <si>
    <t>Mudah / Asuransi dibayar di muka</t>
  </si>
  <si>
    <t>Perusahaan membayar premi asuransi enam bulan Rp6.000.000 melalui bank.</t>
  </si>
  <si>
    <t>Manfaat mulai Januari; penyesuaian satu bulan akan dibuat.</t>
  </si>
  <si>
    <t>Debit Asuransi Dibayar di Muka; kredit Bank.</t>
  </si>
  <si>
    <t>Mudah / Top-up kas kecil</t>
  </si>
  <si>
    <t>Kas kecil diisi kembali Rp10.000.000 dari bank.</t>
  </si>
  <si>
    <t>Sistem imprest; perpindahan kas.</t>
  </si>
  <si>
    <t>Mudah / Pembayaran utilitas</t>
  </si>
  <si>
    <t>Perusahaan membayar listrik dan air Rp3.200.000 melalui bank.</t>
  </si>
  <si>
    <t>Tidak ada PPN dalam soal.</t>
  </si>
  <si>
    <t>Debit Beban Utilitas; kredit Bank.</t>
  </si>
  <si>
    <t>Mudah / Pembelian perlengkapan tunai</t>
  </si>
  <si>
    <t>Perusahaan membeli perlengkapan/ATK Rp2.000.000 dan membayar melalui kas kecil.</t>
  </si>
  <si>
    <t>Dicatat sebagai aset perlengkapan terlebih dahulu.</t>
  </si>
  <si>
    <t>Debit Perlengkapan; kredit Kas Kecil.</t>
  </si>
  <si>
    <t>Menengah / Jasa profesional + PPh23</t>
  </si>
  <si>
    <t>Perusahaan menerima tagihan jasa profesional Rp8.000.000 + PPN latihan 11%. PPh 23 2% dipotong dari imbalan jasa.</t>
  </si>
  <si>
    <t>PPh 23 = 2% x Rp8.000.000 = Rp160.000. Sisa dibayar melalui bank.</t>
  </si>
  <si>
    <t>Debit Beban Jasa Profesional dan PPN; kredit Utang PPh23 dan Bank.</t>
  </si>
  <si>
    <t>Menengah / Sewa tanah/bangunan + PPh Final</t>
  </si>
  <si>
    <t>Perusahaan membayar sewa gudang Rp20.000.000. Atas sewa tanah/bangunan, PPh Final 4(2) 10% dipotong dari jumlah bruto.</t>
  </si>
  <si>
    <t>Dalam soal latihan, PPN efektif 11% juga dikenakan; PPh Final = Rp2.000.000.</t>
  </si>
  <si>
    <t>Debit Beban Sewa dan PPN; kredit Utang PPh Final dan Bank.</t>
  </si>
  <si>
    <t>Menengah / Payroll</t>
  </si>
  <si>
    <t>Payroll menetapkan gaji bruto Rp25.000.000. PPh 21 yang dipotong Rp1.000.000 dan BPJS karyawan Rp500.000. Gaji bersih dibayar melalui bank.</t>
  </si>
  <si>
    <t>Nominal pajak/iuran disederhanakan sebagai asumsi latihan.</t>
  </si>
  <si>
    <t>Debit Beban Gaji; kredit Utang PPh21, Utang BPJS, dan Bank.</t>
  </si>
  <si>
    <t>Menengah / BPJS pemberi kerja</t>
  </si>
  <si>
    <t>Perusahaan mengakui iuran BPJS bagian pemberi kerja Rp2.000.000 untuk payroll bulan berjalan.</t>
  </si>
  <si>
    <t>Akan dibayar bulan berikutnya.</t>
  </si>
  <si>
    <t>Debit Beban BPJS; kredit Utang BPJS.</t>
  </si>
  <si>
    <t>Menengah / Penerimaan bunga bank</t>
  </si>
  <si>
    <t>Perusahaan menerima bunga deposito Rp1.500.000 melalui bank.</t>
  </si>
  <si>
    <t>Tidak ada potongan pajak dalam soal latihan ini.</t>
  </si>
  <si>
    <t>Debit Bank; kredit Pendapatan Bunga.</t>
  </si>
  <si>
    <t>Menengah / Biaya administrasi bank</t>
  </si>
  <si>
    <t>Bank membebankan biaya administrasi Rp250.000 yang langsung mengurangi rekening bank.</t>
  </si>
  <si>
    <t>Belum ada jurnal sebelumnya.</t>
  </si>
  <si>
    <t>Debit Beban Administrasi Bank; kredit Bank.</t>
  </si>
  <si>
    <t>Menengah / Pinjaman bank</t>
  </si>
  <si>
    <t>Perusahaan menerima pinjaman bank Rp200.000.000 dengan jangka waktu 3 tahun. Dana masuk ke bank perusahaan.</t>
  </si>
  <si>
    <t>Anggap seluruhnya pinjaman jangka panjang.</t>
  </si>
  <si>
    <t>Debit Bank; kredit Utang Bank Jangka Panjang.</t>
  </si>
  <si>
    <t>Menengah / Pembelian kendaraan</t>
  </si>
  <si>
    <t>Perusahaan membeli kendaraan operasional Rp250.000.000 sebelum PPN; PPN latihan efektif 11%; dibayar melalui bank.</t>
  </si>
  <si>
    <t>Kendaraan siap digunakan.</t>
  </si>
  <si>
    <t>Debit Kendaraan dan PPN Masukan; kredit Bank.</t>
  </si>
  <si>
    <t>Menengah / Pelunasan utang dengan diskon pembelian</t>
  </si>
  <si>
    <t>Perusahaan melunasi invoice Supplier A sebesar Rp120.000.000 sebelum PPN. Diberikan diskon tunai 2% dari harga barang, dan PPN ikut disesuaikan.</t>
  </si>
  <si>
    <t>Diskon barang = Rp2.400.000; koreksi PPN = Rp264.000; kas dibayar Rp130.536.000.</t>
  </si>
  <si>
    <t>Debit Utang Usaha; kredit Bank, Persediaan, dan PPN Masukan.</t>
  </si>
  <si>
    <t>Menengah / Realisasi uang muka pelanggan</t>
  </si>
  <si>
    <t>Barang pesanan Pelanggan C dikirim dengan harga Rp30.000.000 sebelum PPN; PPN 11% dan HPP Rp16.000.000. Uang muka Rp33.300.000 digunakan sebagai pelunasan.</t>
  </si>
  <si>
    <t>Tidak ada kas baru.</t>
  </si>
  <si>
    <t>Debit Uang Muka Pelanggan; kredit Penjualan dan PPN Keluaran; lalu HPP dan Persediaan.</t>
  </si>
  <si>
    <t>Menengah / Penjualan tunai</t>
  </si>
  <si>
    <t>Penjualan tunai Rp85.000.000 sebelum PPN; PPN 11%; HPP Rp48.000.000.</t>
  </si>
  <si>
    <t>Pembayaran langsung melalui bank.</t>
  </si>
  <si>
    <t>Debit Bank; kredit Penjualan/PPN; lalu HPP/Persediaan.</t>
  </si>
  <si>
    <t>Menengah / Penjualan kredit besar</t>
  </si>
  <si>
    <t>Perusahaan menjual barang kepada Pelanggan D secara kredit Rp210.000.000 sebelum PPN; HPP Rp125.000.000.</t>
  </si>
  <si>
    <t>PPN latihan 11%; termin 45 hari.</t>
  </si>
  <si>
    <t>Debit Piutang; kredit Penjualan/PPN; lalu HPP/Persediaan.</t>
  </si>
  <si>
    <t>Menengah / Penerimaan piutang</t>
  </si>
  <si>
    <t>Pelanggan D membayar Rp100.000.000 dari saldo piutangnya melalui bank.</t>
  </si>
  <si>
    <t>Menengah / Pelunasan utang</t>
  </si>
  <si>
    <t>Perusahaan membayar Supplier B Rp90.000.000 melalui bank.</t>
  </si>
  <si>
    <t>Menengah / Retur penjualan</t>
  </si>
  <si>
    <t>Pelanggan D mengembalikan barang Rp15.000.000 sebelum PPN; HPP barang yang kembali Rp9.000.000.</t>
  </si>
  <si>
    <t>PPN 11%; kurangi piutang.</t>
  </si>
  <si>
    <t>Debit Retur Penjualan, PPN Keluaran, Persediaan; kredit Piutang dan HPP.</t>
  </si>
  <si>
    <t>Menengah / Pengembalian dana pelanggan</t>
  </si>
  <si>
    <t>Perusahaan mengembalikan uang Rp6.700.000 kepada pelanggan atas kelebihan pembayaran/keputusan kredit memo.</t>
  </si>
  <si>
    <t>Pengembalian dibebankan terhadap sisa Uang Muka Pelanggan yang masih menjadi kewajiban.</t>
  </si>
  <si>
    <t>Debit Uang Muka Pelanggan; kredit Bank.</t>
  </si>
  <si>
    <t>Menengah / Cek pelanggan ditolak</t>
  </si>
  <si>
    <t>Bank mengembalikan cek pelanggan sebesar Rp3.000.000 yang sebelumnya telah dianggap diterima.</t>
  </si>
  <si>
    <t>Piutang kembali muncul; bank berkurang.</t>
  </si>
  <si>
    <t>Debit Piutang Usaha; kredit Bank.</t>
  </si>
  <si>
    <t>Pelanggan B membayar Rp50.000.000 melalui bank setelah rekonsiliasi saldo.</t>
  </si>
  <si>
    <t>Tidak ada diskon.</t>
  </si>
  <si>
    <t>Sulit / Impor persediaan + bea + PPN + PPh22</t>
  </si>
  <si>
    <t>Perusahaan mengimpor persediaan dengan nilai impor Rp105.000.000 (CIF + bea masuk). PPN impor latihan 11% dan PPh 22 impor 2,5% dari nilai impor. Semua dibayar melalui bank.</t>
  </si>
  <si>
    <t>PPN = Rp11.550.000; PPh22 = Rp2.625.000; bea sudah termasuk dalam nilai impor.</t>
  </si>
  <si>
    <t>Debit Persediaan, PPN Masukan, PPh22 Dibayar di Muka; kredit Bank.</t>
  </si>
  <si>
    <t>Sulit / PPh22 pemungut</t>
  </si>
  <si>
    <t>Dalam skenario latihan, perusahaan bertindak sebagai pemungut PPh22 atas pembelian barang Rp50.000.000 sebelum PPN. PPN 11%; PPh22 1,5% dipungut dari pihak penjual.</t>
  </si>
  <si>
    <t>Pembelian secara kredit; PPh22 menjadi utang sampai disetor.</t>
  </si>
  <si>
    <t>Debit Persediaan dan PPN Masukan; kredit Utang PPh22 dan Utang Usaha.</t>
  </si>
  <si>
    <t>Sulit / Setor PPh22</t>
  </si>
  <si>
    <t>Perusahaan menyetor PPh22 sebesar Rp750.000 yang sebelumnya dipungut.</t>
  </si>
  <si>
    <t>Dibayar melalui bank.</t>
  </si>
  <si>
    <t>Debit Utang PPh22; kredit Bank.</t>
  </si>
  <si>
    <t>Sulit / Uang muka pembelian</t>
  </si>
  <si>
    <t>Perusahaan membayar uang muka kepada Supplier E Rp22.200.000 untuk pembelian persediaan.</t>
  </si>
  <si>
    <t>Belum menerima barang.</t>
  </si>
  <si>
    <t>Debit Uang Muka Pembelian; kredit Bank.</t>
  </si>
  <si>
    <t>Sulit / Realisasi uang muka pembelian</t>
  </si>
  <si>
    <t>Supplier E menyerahkan barang Rp20.000.000 + PPN 11%. Uang muka Rp22.200.000 dipakai penuh untuk melunasi invoice.</t>
  </si>
  <si>
    <t>Debit Persediaan dan PPN Masukan; kredit Uang Muka Pembelian.</t>
  </si>
  <si>
    <t>Sulit / Pelunasan utang kantor</t>
  </si>
  <si>
    <t>Perusahaan membayar Utang Usaha untuk pembelian peralatan kantor sebesar Rp44.400.000 melalui bank.</t>
  </si>
  <si>
    <t>Nilai utang berasal dari invoice aset nomor FA-002.</t>
  </si>
  <si>
    <t>Sulit / Perbaikan aset</t>
  </si>
  <si>
    <t>Perusahaan membayar biaya perbaikan rutin kendaraan Rp3.000.000 melalui bank. Perbaikan tidak menambah masa manfaat atau kapasitas aset.</t>
  </si>
  <si>
    <t>Biaya dibebankan.</t>
  </si>
  <si>
    <t>Debit Beban Pemeliharaan; kredit Bank.</t>
  </si>
  <si>
    <t>Sulit / Capital expenditure</t>
  </si>
  <si>
    <t>Perusahaan memasang rak permanen pada toko senilai Rp15.000.000 yang menambah kapasitas dan masa manfaat peralatan.</t>
  </si>
  <si>
    <t>Dibayar melalui bank; kapitalisasi.</t>
  </si>
  <si>
    <t>Debit Peralatan Toko; kredit Bank.</t>
  </si>
  <si>
    <t>Sulit / Pelepasan aset tetap</t>
  </si>
  <si>
    <t>Peralatan kantor dengan biaya perolehan Rp20.000.000 dan akumulasi penyusutan Rp12.000.000 dijual tunai Rp10.000.000 sebelum PPN; PPN 11%.</t>
  </si>
  <si>
    <t>Hasil penjualan menimbulkan keuntungan Rp2.000.000.</t>
  </si>
  <si>
    <t>Debit Bank dan Akumulasi Penyusutan; kredit aset, PPN Keluaran, dan Keuntungan Pelepasan Aset.</t>
  </si>
  <si>
    <t>Sulit / Angsuran pinjaman</t>
  </si>
  <si>
    <t>Perusahaan membayar angsuran pinjaman Rp20.000.000 dan bunga Rp2.000.000 melalui bank.</t>
  </si>
  <si>
    <t>Pisahkan pokok dan bunga.</t>
  </si>
  <si>
    <t>Debit Utang Bank dan Beban Bunga; kredit Bank.</t>
  </si>
  <si>
    <t>Sulit / Dividen diumumkan</t>
  </si>
  <si>
    <t>Direksi menetapkan dividen tunai Rp15.000.000 yang akan dibayarkan pada bulan berikutnya.</t>
  </si>
  <si>
    <t>Belum ada kas keluar.</t>
  </si>
  <si>
    <t>Debit Dividen; kredit Utang Dividen.</t>
  </si>
  <si>
    <t>Sulit / Pembayaran dividen</t>
  </si>
  <si>
    <t>Perusahaan membayar dividen yang telah diumumkan sebesar Rp15.000.000 melalui bank.</t>
  </si>
  <si>
    <t>Lunasi utang dividen.</t>
  </si>
  <si>
    <t>Debit Utang Dividen; kredit Bank.</t>
  </si>
  <si>
    <t>Sulit / Pinjaman kepada karyawan</t>
  </si>
  <si>
    <t>Perusahaan memberikan pinjaman karyawan Rp5.000.000 melalui bank.</t>
  </si>
  <si>
    <t>Bukan beban; dicatat sebagai piutang karyawan.</t>
  </si>
  <si>
    <t>Debit Piutang Karyawan; kredit Bank.</t>
  </si>
  <si>
    <t>Sulit / Pelunasan pinjaman karyawan</t>
  </si>
  <si>
    <t>Karyawan membayar kembali Rp2.000.000 dari pinjamannya ke rekening bank perusahaan.</t>
  </si>
  <si>
    <t>Tidak ada pendapatan bunga.</t>
  </si>
  <si>
    <t>Debit Bank; kredit Piutang Karyawan.</t>
  </si>
  <si>
    <t>Sulit / Beban komisi</t>
  </si>
  <si>
    <t>Perusahaan membayar komisi penjualan Rp1.800.000 melalui bank.</t>
  </si>
  <si>
    <t>Komisi terkait penjualan bulan berjalan.</t>
  </si>
  <si>
    <t>Debit Beban Komisi; kredit Bank.</t>
  </si>
  <si>
    <t>Sulit / Beban kurir</t>
  </si>
  <si>
    <t>Perusahaan membayar layanan kurir Rp800.000 melalui bank.</t>
  </si>
  <si>
    <t>Untuk pengiriman dokumen dan sampel.</t>
  </si>
  <si>
    <t>Debit Beban Kurir; kredit Bank.</t>
  </si>
  <si>
    <t>Sulit / Software dibayar di muka</t>
  </si>
  <si>
    <t>Perusahaan membayar lisensi software 12 bulan sebesar Rp4.800.000 melalui bank.</t>
  </si>
  <si>
    <t>Manfaat satu tahun; penyesuaian akan mengakui bagian terpakai.</t>
  </si>
  <si>
    <t>Debit Software Dibayar di Muka; kredit Bank.</t>
  </si>
  <si>
    <t>Sulit / Training karyawan</t>
  </si>
  <si>
    <t>Perusahaan membayar pelatihan karyawan Rp2.000.000 melalui bank.</t>
  </si>
  <si>
    <t>Manfaat jasa diterima bulan berjalan.</t>
  </si>
  <si>
    <t>Debit Beban Training; kredit Bank.</t>
  </si>
  <si>
    <t>Sulit / Jasa keamanan + PPh23</t>
  </si>
  <si>
    <t>Perusahaan membayar jasa keamanan Rp1.500.000 + PPN latihan 11%; PPh23 2% dipotong dari jasa.</t>
  </si>
  <si>
    <t>PPh23 = Rp30.000; kas dibayar Rp1.635.000.</t>
  </si>
  <si>
    <t>Debit Beban Keamanan dan PPN; kredit Utang PPh23 dan Bank.</t>
  </si>
  <si>
    <t>Sulit / Beban telekomunikasi</t>
  </si>
  <si>
    <t>Perusahaan membayar biaya telekomunikasi Rp2.400.000 melalui bank.</t>
  </si>
  <si>
    <t>Dicatat sebagai beban periode berjalan.</t>
  </si>
  <si>
    <t>Sulit / Selisih kas lebih</t>
  </si>
  <si>
    <t>Hasil pemeriksaan kas kecil menunjukkan kas aktual lebih tinggi Rp150.000 dari saldo buku.</t>
  </si>
  <si>
    <t>Belum diketahui sebabnya; akui pendapatan lain-lain sementara.</t>
  </si>
  <si>
    <t>Debit Kas Kecil; kredit Pendapatan Lain-lain.</t>
  </si>
  <si>
    <t>Sulit / Selisih kas kurang</t>
  </si>
  <si>
    <t>Hasil pemeriksaan kas kecil menunjukkan kas aktual lebih rendah Rp300.000 dari saldo buku dan selisih belum dapat ditagihkan.</t>
  </si>
  <si>
    <t>Akui sebagai beban selisih kas.</t>
  </si>
  <si>
    <t>Debit Beban Selisih Kas; kredit Kas Kecil.</t>
  </si>
  <si>
    <t>Sulit / Selisih persediaan</t>
  </si>
  <si>
    <t>Stock opname menemukan kekurangan barang Rp4.000.000 dari catatan perpetual.</t>
  </si>
  <si>
    <t>Belum diketahui siapa yang bertanggung jawab.</t>
  </si>
  <si>
    <t>Debit Beban Kerugian Persediaan; kredit Persediaan.</t>
  </si>
  <si>
    <t>Sulit / Persediaan usang</t>
  </si>
  <si>
    <t>Barang tertentu ditetapkan usang dan harus diturunkan nilainya Rp3.000.000.</t>
  </si>
  <si>
    <t>Dalam latihan, penurunan langsung mengurangi persediaan.</t>
  </si>
  <si>
    <t>Sulit / Rebate pemasok</t>
  </si>
  <si>
    <t>Supplier B memberikan rebate volume Rp6.000.000 dan mentransfer dana ke bank perusahaan.</t>
  </si>
  <si>
    <t>Untuk latihan, rebate mengurangi biaya perolehan persediaan.</t>
  </si>
  <si>
    <t>Debit Bank; kredit Persediaan Barang Dagang.</t>
  </si>
  <si>
    <t>Sulit / Potongan penjualan volume</t>
  </si>
  <si>
    <t>Perusahaan memberikan rebate volume kepada pelanggan Rp4.000.000 sebelum PPN. PPN 11% dikurangi dari kewajiban pelanggan.</t>
  </si>
  <si>
    <t>Kredit memo mengurangi piutang Rp4.440.000.</t>
  </si>
  <si>
    <t>Debit Potongan Penjualan dan PPN Keluaran; kredit Piutang.</t>
  </si>
  <si>
    <t>Sulit / Penerimaan piutang</t>
  </si>
  <si>
    <t>Pelanggan D membayar Rp90.000.000 melalui bank setelah memperhitungkan kredit memo.</t>
  </si>
  <si>
    <t>Tidak ada diskon tambahan.</t>
  </si>
  <si>
    <t>Sulit / Pembelian tunai dengan diskon</t>
  </si>
  <si>
    <t>Perusahaan membeli persediaan Rp30.000.000 sebelum PPN. Diskon tunai 3% diberikan saat pembayaran; PPN ikut disesuaikan.</t>
  </si>
  <si>
    <t>Diskon Rp900.000; koreksi PPN Rp99.000; kas dibayar Rp32.301.000.</t>
  </si>
  <si>
    <t>Debit Persediaan dan PPN Masukan; kredit Bank, Persediaan, dan PPN Masukan untuk diskon.</t>
  </si>
  <si>
    <t>Sulit / Penerimaan piutang dengan diskon</t>
  </si>
  <si>
    <t>Pelanggan B melunasi invoice Rp30.000.000 sebelum PPN lebih awal dan mendapat diskon 2%; PPN dikurangi sesuai diskon.</t>
  </si>
  <si>
    <t>Diskon Rp600.000; PPN berkurang Rp66.000; total invoice Rp33.300.000; kas diterima Rp32.634.000.</t>
  </si>
  <si>
    <t>Debit Bank, Potongan Penjualan, PPN Keluaran; kredit Piutang.</t>
  </si>
  <si>
    <t>Sulit / Reimburse freight supplier</t>
  </si>
  <si>
    <t>Supplier B mengganti ongkos angkut pembelian Rp1.000.000 karena kesalahan pengiriman dan mentransfernya ke bank.</t>
  </si>
  <si>
    <t>Penggantian menurunkan biaya perolehan persediaan dalam latihan.</t>
  </si>
  <si>
    <t>Debit Bank; kredit Persediaan.</t>
  </si>
  <si>
    <t>Sulit / Pembelian perlengkapan kredit</t>
  </si>
  <si>
    <t>Perusahaan membeli perlengkapan kantor Rp3.000.000 + PPN 11% secara kredit.</t>
  </si>
  <si>
    <t>Dicatat sebagai aset perlengkapan.</t>
  </si>
  <si>
    <t>Debit Perlengkapan dan PPN Masukan; kredit Utang Usaha.</t>
  </si>
  <si>
    <t>Sulit / Pelunasan utang perlengkapan</t>
  </si>
  <si>
    <t>Perusahaan membayar utang kepada Toko ATK Nusantara Rp3.330.000 melalui bank.</t>
  </si>
  <si>
    <t>Sulit / Pinjaman jangka pendek</t>
  </si>
  <si>
    <t>Perusahaan menerima fasilitas overdraft/short-term loan Rp50.000.000 yang masuk ke bank.</t>
  </si>
  <si>
    <t>Diklasifikasikan utang bank jangka pendek.</t>
  </si>
  <si>
    <t>Debit Bank; kredit Utang Bank Jangka Pendek.</t>
  </si>
  <si>
    <t>Sulit / Pembayaran pinjaman jangka pendek</t>
  </si>
  <si>
    <t>Perusahaan membayar pokok pinjaman jangka pendek Rp10.000.000 dan bunga Rp1.000.000 melalui bank.</t>
  </si>
  <si>
    <t>Debit Utang Bank Jangka Pendek, Beban Bunga; kredit Bank.</t>
  </si>
  <si>
    <t>Sulit / Pembayaran PPh21/PPh23/PPhFinal</t>
  </si>
  <si>
    <t>Perusahaan menyetor PPh21 Rp1.000.000, PPh23 Rp190.000, dan PPh Final 4(2) Rp2.000.000 melalui bank.</t>
  </si>
  <si>
    <t>Tiga jenis utang pajak dilunasi sekaligus.</t>
  </si>
  <si>
    <t>Debit masing-masing utang pajak; kredit Bank.</t>
  </si>
  <si>
    <t>Sulit / Pembayaran BPJS</t>
  </si>
  <si>
    <t>Perusahaan menyetor BPJS karyawan Rp500.000 dan bagian perusahaan Rp2.000.000 melalui bank.</t>
  </si>
  <si>
    <t>Seluruh utang BPJS yang tersedia dibayar.</t>
  </si>
  <si>
    <t>Debit Utang BPJS; kredit Bank.</t>
  </si>
  <si>
    <t>Sulit / Renewal asuransi</t>
  </si>
  <si>
    <t>Perusahaan membayar premi asuransi baru 12 bulan Rp12.000.000 melalui bank.</t>
  </si>
  <si>
    <t>Belum ada manfaat yang diakui untuk periode berikutnya.</t>
  </si>
  <si>
    <t>Sulit / Lisensi tahunan</t>
  </si>
  <si>
    <t>Perusahaan membayar lisensi usaha 12 bulan Rp12.000.000 melalui bank.</t>
  </si>
  <si>
    <t>Dicatat sebagai aset dibayar di muka untuk kemudian diamortisasi.</t>
  </si>
  <si>
    <t>Debit Lisensi Dibayar di Muka; kredit Bank.</t>
  </si>
  <si>
    <t>Sulit / Penjualan aset rugi</t>
  </si>
  <si>
    <t>Rak toko dengan biaya Rp10.000.000 dan akumulasi penyusutan Rp7.000.000 dijual Rp2.000.000 sebelum PPN; PPN 11%.</t>
  </si>
  <si>
    <t>Nilai buku Rp3.000.000; rugi penjualan aset Rp1.000.000.</t>
  </si>
  <si>
    <t>Debit Bank dan Akumulasi Penyusutan; debit Kerugian Penjualan Aset; kredit aset dan PPN.</t>
  </si>
  <si>
    <t>Sulit / Penjualan kredit + kas sebagian</t>
  </si>
  <si>
    <t>Perusahaan menjual barang kepada Pelanggan F Rp90.000.000 sebelum PPN; PPN 11%; HPP Rp50.000.000. Pelanggan membayar 30% dari total tagihan langsung melalui bank, sisanya menjadi piutang.</t>
  </si>
  <si>
    <t>Pisahkan Bank dan Piutang pada sisi debit; kemudian penjualan/PPN dan HPP/persediaan.</t>
  </si>
  <si>
    <t>Paling Sulit / Transaksi gabungan</t>
  </si>
  <si>
    <t>Perusahaan melunasi utang Supplier A Rp25.000.000 melalui bank. Pada hari yang sama Pelanggan F membayar piutang Rp40.000.000 dan perusahaan membayar biaya pengiriman penjualan Rp1.000.000.</t>
  </si>
  <si>
    <t>Tiga kejadian berbeda yang harus dicatat sebagai tiga kelompok jurnal.</t>
  </si>
  <si>
    <t>Pisahkan jurnal pelunasan AP, penerimaan AR, dan beban pengiriman.</t>
  </si>
  <si>
    <t>KUNCI JURNAL UMUM – 80 SOAL | SUMBER UNTUK BUKU BESAR &amp; REKAP</t>
  </si>
  <si>
    <t>Kunci ini adalah answer key pembanding. Kolom F:G adalah nominal jurnal; H = arus kas; I = tingkat; J = dokumen; K = catatan.</t>
  </si>
  <si>
    <t>Counterparty</t>
  </si>
  <si>
    <t>Akun</t>
  </si>
  <si>
    <t>Debit (Rp)</t>
  </si>
  <si>
    <t>Kredit (Rp)</t>
  </si>
  <si>
    <t>Arus Kas</t>
  </si>
  <si>
    <t>Tingkat</t>
  </si>
  <si>
    <t>Dokumen</t>
  </si>
  <si>
    <t>Pemegang Saham</t>
  </si>
  <si>
    <t>Pendanaan</t>
  </si>
  <si>
    <t>Mudah</t>
  </si>
  <si>
    <t>Bukti Setoran Saham</t>
  </si>
  <si>
    <t>Internal</t>
  </si>
  <si>
    <t>Investasi</t>
  </si>
  <si>
    <t>Bukti Transfer</t>
  </si>
  <si>
    <t>Invoice FA-001</t>
  </si>
  <si>
    <t>Operasi</t>
  </si>
  <si>
    <t>Faktur Pajak</t>
  </si>
  <si>
    <t>Bukti Bayar</t>
  </si>
  <si>
    <t>Invoice FA-002</t>
  </si>
  <si>
    <t>INV-A-001</t>
  </si>
  <si>
    <t>INV-B-001</t>
  </si>
  <si>
    <t>Ekspedisi Logistik</t>
  </si>
  <si>
    <t>BL-001</t>
  </si>
  <si>
    <t>SO-001</t>
  </si>
  <si>
    <t>Faktur Penjualan</t>
  </si>
  <si>
    <t>Perhitungan HPP</t>
  </si>
  <si>
    <t>Kartu Persediaan</t>
  </si>
  <si>
    <t>INV-C-001</t>
  </si>
  <si>
    <t>AR-DP-001</t>
  </si>
  <si>
    <t>RT-AP-001</t>
  </si>
  <si>
    <t>Nota Retur</t>
  </si>
  <si>
    <t>RT-AR-001</t>
  </si>
  <si>
    <t>Ekspedisi</t>
  </si>
  <si>
    <t>FO-001</t>
  </si>
  <si>
    <t>Media Nusantara</t>
  </si>
  <si>
    <t>ADV-001</t>
  </si>
  <si>
    <t>PT Properti Sentosa</t>
  </si>
  <si>
    <t>RENT-001</t>
  </si>
  <si>
    <t>PT Asuransi Aman</t>
  </si>
  <si>
    <t>INS-001</t>
  </si>
  <si>
    <t>PDAM/Listrik</t>
  </si>
  <si>
    <t>UTIL-001</t>
  </si>
  <si>
    <t>Toko ATK</t>
  </si>
  <si>
    <t>ATK-001</t>
  </si>
  <si>
    <t>Bukti Kas</t>
  </si>
  <si>
    <t>Menengah</t>
  </si>
  <si>
    <t>SP-001</t>
  </si>
  <si>
    <t>Bukti Potong</t>
  </si>
  <si>
    <t>RENT-002</t>
  </si>
  <si>
    <t>Karyawan</t>
  </si>
  <si>
    <t>PAY-001</t>
  </si>
  <si>
    <t>Payroll</t>
  </si>
  <si>
    <t>BPJS</t>
  </si>
  <si>
    <t>Bukti Payroll</t>
  </si>
  <si>
    <t>PAY-002</t>
  </si>
  <si>
    <t>STAT-INT-001</t>
  </si>
  <si>
    <t>Bank Statement</t>
  </si>
  <si>
    <t>LOAN-001</t>
  </si>
  <si>
    <t>PT Mobil Niaga</t>
  </si>
  <si>
    <t>VEH-001</t>
  </si>
  <si>
    <t>PAY-A-002</t>
  </si>
  <si>
    <t>Nota Diskon</t>
  </si>
  <si>
    <t>INV-C-002</t>
  </si>
  <si>
    <t>SO-002</t>
  </si>
  <si>
    <t>INV-D-001</t>
  </si>
  <si>
    <t>BT-AR-002</t>
  </si>
  <si>
    <t>PAY-B-001</t>
  </si>
  <si>
    <t>RT-AR-002</t>
  </si>
  <si>
    <t>CM-REF-001</t>
  </si>
  <si>
    <t>NSF-001</t>
  </si>
  <si>
    <t>Bank Advice</t>
  </si>
  <si>
    <t>BT-AR-003</t>
  </si>
  <si>
    <t>Direktorat Bea Cukai</t>
  </si>
  <si>
    <t>Sulit</t>
  </si>
  <si>
    <t>IMP-001</t>
  </si>
  <si>
    <t>Supplier Pemerintah</t>
  </si>
  <si>
    <t>PPH22-001</t>
  </si>
  <si>
    <t>Bukti Pungut</t>
  </si>
  <si>
    <t>Invoice</t>
  </si>
  <si>
    <t>SET-P22-001</t>
  </si>
  <si>
    <t>DP-AP-001</t>
  </si>
  <si>
    <t>INV-E-001</t>
  </si>
  <si>
    <t>AP-ADV-001</t>
  </si>
  <si>
    <t>PAY-FA-001</t>
  </si>
  <si>
    <t>Bengkel Maju</t>
  </si>
  <si>
    <t>REP-001</t>
  </si>
  <si>
    <t>PT Rak Jaya</t>
  </si>
  <si>
    <t>CAPEX-001</t>
  </si>
  <si>
    <t>Pembeli Aset</t>
  </si>
  <si>
    <t>DISP-001</t>
  </si>
  <si>
    <t>LOAN-PMT-001</t>
  </si>
  <si>
    <t>DIV-001</t>
  </si>
  <si>
    <t>DIV-002</t>
  </si>
  <si>
    <t>EMP-LOAN-001</t>
  </si>
  <si>
    <t>EMP-LOAN-002</t>
  </si>
  <si>
    <t>Sales Partner</t>
  </si>
  <si>
    <t>COMM-001</t>
  </si>
  <si>
    <t>Kurir Cepat</t>
  </si>
  <si>
    <t>COURIER-001</t>
  </si>
  <si>
    <t>PT Software Nusantara</t>
  </si>
  <si>
    <t>SW-001</t>
  </si>
  <si>
    <t>Lembaga Training</t>
  </si>
  <si>
    <t>TR-001</t>
  </si>
  <si>
    <t>SEC-001</t>
  </si>
  <si>
    <t>Telco Indonesia</t>
  </si>
  <si>
    <t>TEL-001</t>
  </si>
  <si>
    <t>CASH-OVER-001</t>
  </si>
  <si>
    <t>CASH-SHORT-001</t>
  </si>
  <si>
    <t>Gudang</t>
  </si>
  <si>
    <t>STO-001</t>
  </si>
  <si>
    <t>NRV-001</t>
  </si>
  <si>
    <t>REB-001</t>
  </si>
  <si>
    <t>REB-AR-001</t>
  </si>
  <si>
    <t>Kredit Memo</t>
  </si>
  <si>
    <t>BT-AR-004</t>
  </si>
  <si>
    <t>PUR-DSC-001</t>
  </si>
  <si>
    <t>AR-DSC-001</t>
  </si>
  <si>
    <t>FR-REB-001</t>
  </si>
  <si>
    <t>ATK-002</t>
  </si>
  <si>
    <t>PAY-ATK-001</t>
  </si>
  <si>
    <t>ST-LOAN-001</t>
  </si>
  <si>
    <t>ST-LOAN-PMT-001</t>
  </si>
  <si>
    <t>SET-TAX-001</t>
  </si>
  <si>
    <t>SET-BPJS-001</t>
  </si>
  <si>
    <t>INS-002</t>
  </si>
  <si>
    <t>PT Perizinan Digital</t>
  </si>
  <si>
    <t>LIC-001</t>
  </si>
  <si>
    <t>DISP-002</t>
  </si>
  <si>
    <t>INV-F-001</t>
  </si>
  <si>
    <t>Paling Sulit</t>
  </si>
  <si>
    <t>AP-PAY-003</t>
  </si>
  <si>
    <t>AR-REC-003</t>
  </si>
  <si>
    <t>EXP-DEL-002</t>
  </si>
  <si>
    <t>BUKU BESAR RINGKAS – SALDO AWAL + JURNAL UMUM + PENYESUAIAN + PENUTUP</t>
  </si>
  <si>
    <t>Identitas</t>
  </si>
  <si>
    <t>Penyesuaian</t>
  </si>
  <si>
    <t>Saldo Sebelum Penutup</t>
  </si>
  <si>
    <t>Saldo Akhir</t>
  </si>
  <si>
    <t>Debit Awal</t>
  </si>
  <si>
    <t>Kredit Awal</t>
  </si>
  <si>
    <t>Debit JU</t>
  </si>
  <si>
    <t>Kredit JU</t>
  </si>
  <si>
    <t>Debit Penyesuaian</t>
  </si>
  <si>
    <t>Kredit Penyesuaian</t>
  </si>
  <si>
    <t>Saldo Debit</t>
  </si>
  <si>
    <t>Saldo Kredit</t>
  </si>
  <si>
    <t>Debit Penutup</t>
  </si>
  <si>
    <t>Kredit Penutup</t>
  </si>
  <si>
    <t>Saldo Debit Akhir</t>
  </si>
  <si>
    <t>Saldo Kredit Akhir</t>
  </si>
  <si>
    <t>TOTAL</t>
  </si>
  <si>
    <t>REKAP ACCOUNTS PAYABLE (AP) – SUBLEDGER &amp; AGING</t>
  </si>
  <si>
    <t>Opening</t>
  </si>
  <si>
    <t>Invoice / Pembelian Kredit</t>
  </si>
  <si>
    <t>Retur</t>
  </si>
  <si>
    <t>Pembayaran</t>
  </si>
  <si>
    <t>Diskon</t>
  </si>
  <si>
    <t>Current 0-30</t>
  </si>
  <si>
    <t>31-60</t>
  </si>
  <si>
    <t>Dokumen Utama</t>
  </si>
  <si>
    <t>INV-A-001 / RT-AP-001 / PAY-A-001/003</t>
  </si>
  <si>
    <t>INV-B-001 / PAY-B-001 / REB-001</t>
  </si>
  <si>
    <t>Opening AP 31-Dec-2026</t>
  </si>
  <si>
    <t>FA-002 / PAY-FA-001</t>
  </si>
  <si>
    <t>ATK-002 / PAY-ATK-001</t>
  </si>
  <si>
    <t>TOTAL SUBLEDGER</t>
  </si>
  <si>
    <t>REKAP ACCOUNTS RECEIVABLE (AR) – SUBLEDGER &amp; AGING</t>
  </si>
  <si>
    <t>Invoice Penjualan Kredit</t>
  </si>
  <si>
    <t>Retur / Rebate</t>
  </si>
  <si>
    <t>NSF / Pembalikan</t>
  </si>
  <si>
    <t>Penerimaan</t>
  </si>
  <si>
    <t>Penghapusan</t>
  </si>
  <si>
    <t>INV-C-001 / RT-AR-001 / NSF-001 / AR-DSC-001</t>
  </si>
  <si>
    <t>INV-D-001 / RT-AR-002 / REB-AR-001</t>
  </si>
  <si>
    <t>INV-F-001 / AR-REC-003</t>
  </si>
  <si>
    <t>Opening AR / Write-off adjustment</t>
  </si>
  <si>
    <t>KARTU PERSEDIAAN – PERPETUAL FIFO (MODUL LATIHAN)</t>
  </si>
  <si>
    <t>Gunakan master SKU pada Data_Master. Contoh di bawah memakai unit &amp; harga pokok yang eksplisit agar FIFO dapat dipelajari langkah demi langkah.</t>
  </si>
  <si>
    <t>Masuk Qty</t>
  </si>
  <si>
    <t>Harga Satuan</t>
  </si>
  <si>
    <t>Masuk Nilai</t>
  </si>
  <si>
    <t>Keluar Qty</t>
  </si>
  <si>
    <t>HPP Keluar</t>
  </si>
  <si>
    <t>Saldo Qty</t>
  </si>
  <si>
    <t>Saldo Nilai</t>
  </si>
  <si>
    <t>PUR-001</t>
  </si>
  <si>
    <t>SAL-001</t>
  </si>
  <si>
    <t>PUR-002</t>
  </si>
  <si>
    <t>SAL-002</t>
  </si>
  <si>
    <t>SAL-003</t>
  </si>
  <si>
    <t>PUR-003</t>
  </si>
  <si>
    <t>PUR-004</t>
  </si>
  <si>
    <t>SAL-004</t>
  </si>
  <si>
    <t>PUR-005</t>
  </si>
  <si>
    <t>SAL-005</t>
  </si>
  <si>
    <t>PAYROLL JANUARI 2027 – SIMULASI GAJI, PPh 21, BPJS &amp; JURNAL</t>
  </si>
  <si>
    <t>NIK</t>
  </si>
  <si>
    <t>Nama</t>
  </si>
  <si>
    <t>Gaji Pokok</t>
  </si>
  <si>
    <t>Tunjangan/OT</t>
  </si>
  <si>
    <t>Bruto</t>
  </si>
  <si>
    <t>PPh21 (Latihan)</t>
  </si>
  <si>
    <t>BPJS Pegawai</t>
  </si>
  <si>
    <t>Take Home Pay</t>
  </si>
  <si>
    <t>BPJS Pemberi Kerja</t>
  </si>
  <si>
    <t>Beban Perusahaan</t>
  </si>
  <si>
    <t>Jurnal Ringkas</t>
  </si>
  <si>
    <t>E001</t>
  </si>
  <si>
    <t>Andi</t>
  </si>
  <si>
    <t>E002</t>
  </si>
  <si>
    <t>Budi</t>
  </si>
  <si>
    <t>E003</t>
  </si>
  <si>
    <t>Citra</t>
  </si>
  <si>
    <t>E004</t>
  </si>
  <si>
    <t>Deni</t>
  </si>
  <si>
    <t>E005</t>
  </si>
  <si>
    <t>Eka</t>
  </si>
  <si>
    <t>E006</t>
  </si>
  <si>
    <t>Fina</t>
  </si>
  <si>
    <t>Jurnal payroll</t>
  </si>
  <si>
    <t>Debit Beban Gaji = Bruto</t>
  </si>
  <si>
    <t>Kredit Utang PPh21 = PPh21</t>
  </si>
  <si>
    <t>Kredit Utang BPJS = BPJS pegawai</t>
  </si>
  <si>
    <t>Kredit Bank = Take Home Pay</t>
  </si>
  <si>
    <t>Jurnal pemberi kerja</t>
  </si>
  <si>
    <t>Debit Beban BPJS = BPJS employer</t>
  </si>
  <si>
    <t>Kredit Utang BPJS = BPJS employer</t>
  </si>
  <si>
    <t>REKONSILIASI BANK – LATIHAN &amp; KUNCI</t>
  </si>
  <si>
    <t>Item Rekonsiliasi</t>
  </si>
  <si>
    <t>Nilai (Rp)</t>
  </si>
  <si>
    <t>Tanda</t>
  </si>
  <si>
    <t>Penyesuaian ke saldo</t>
  </si>
  <si>
    <t>Sisi</t>
  </si>
  <si>
    <t>Saldo menurut buku</t>
  </si>
  <si>
    <t>Buku</t>
  </si>
  <si>
    <t>Saldo GL Bank sebelum item bank-only</t>
  </si>
  <si>
    <t>Saldo menurut rekening koran</t>
  </si>
  <si>
    <t>Saldo akhir rekening koran sebelum rekonsiliasi</t>
  </si>
  <si>
    <t>Setoran dalam perjalanan</t>
  </si>
  <si>
    <t>+</t>
  </si>
  <si>
    <t>Belum masuk mutasi bank</t>
  </si>
  <si>
    <t>Cek/giro beredar</t>
  </si>
  <si>
    <t>-</t>
  </si>
  <si>
    <t>Belum dicairkan bank</t>
  </si>
  <si>
    <t>Transfer pelanggan langsung ke bank</t>
  </si>
  <si>
    <t>Harus ditambahkan ke buku</t>
  </si>
  <si>
    <t>Bunga bank belum dibukukan</t>
  </si>
  <si>
    <t>Biaya administrasi bank belum dibukukan</t>
  </si>
  <si>
    <t>Harus mengurangi saldo buku</t>
  </si>
  <si>
    <t>Saldo bank disesuaikan</t>
  </si>
  <si>
    <t>CHECK</t>
  </si>
  <si>
    <t>Versi siswa</t>
  </si>
  <si>
    <t>Isi kolom nilai item berikut dari dokumen bank yang diberikan mentor, lalu hitung saldo disesuaikan.</t>
  </si>
  <si>
    <t>REKONSILIASI AKUN – AP, AR, INVENTORY, TAX, PAYROLL</t>
  </si>
  <si>
    <t>Saldo Subledger</t>
  </si>
  <si>
    <t>Saldo GL</t>
  </si>
  <si>
    <t>Selisih</t>
  </si>
  <si>
    <t>Reconciling Item</t>
  </si>
  <si>
    <t>Action</t>
  </si>
  <si>
    <t>PIC</t>
  </si>
  <si>
    <t>AP invoice subledger excludes accrued liabilities</t>
  </si>
  <si>
    <t>Map only vendor invoices here; accruals go to Utang Beban / Akrual</t>
  </si>
  <si>
    <t>AP Accountant</t>
  </si>
  <si>
    <t>AR subledger includes NSF and write-off controls</t>
  </si>
  <si>
    <t>Tie customer-by-customer balances to GL</t>
  </si>
  <si>
    <t>AR Accountant</t>
  </si>
  <si>
    <t>Persediaan</t>
  </si>
  <si>
    <t>Illustrative FIFO card is only for selected SKUs</t>
  </si>
  <si>
    <t>Use full warehouse listing for GL tie-out</t>
  </si>
  <si>
    <t>Inventory Accountant</t>
  </si>
  <si>
    <t>PPN</t>
  </si>
  <si>
    <t>PPN control: PPN Keluaran diklarifikasi terhadap PPN Masukan; sisa PPN Masukan menjadi posisi kredit pajak/lebih bayar latihan</t>
  </si>
  <si>
    <t>Tie VAT return to GL before filing</t>
  </si>
  <si>
    <t>Tax Accountant</t>
  </si>
  <si>
    <t>Register payroll adalah contoh proses; perbedaan dengan GL berasal dari accrual/bonus/beban pemberi kerja di modul lain.</t>
  </si>
  <si>
    <t>Tie register, bank payment and payroll liabilities</t>
  </si>
  <si>
    <t>Payroll Accountant</t>
  </si>
  <si>
    <t>NERACA SALDO – SEBELUM PENYESUAIAN</t>
  </si>
  <si>
    <t>Sumber: Saldo awal + 80 Jurnal Umum.</t>
  </si>
  <si>
    <t>LATIHAN 30 SOAL – JURNAL PENYESUAIAN | BASIC → PALING SULIT</t>
  </si>
  <si>
    <t>Isi kolom J:L. H:I adalah identitas baris. M:O memeriksa terhadap Kunci_Penyesuaian. Kasus 26 sengaja menguji apakah penyesuaian memang diperlukan.</t>
  </si>
  <si>
    <t>Basic – Perlengkapan terpakai</t>
  </si>
  <si>
    <t>Saldo Perlengkapan sebelum penyesuaian Rp5.000.000. Hasil pemeriksaan fisik menunjukkan sisa Rp3.800.000.</t>
  </si>
  <si>
    <t>Debit Beban Perlengkapan; kredit Perlengkapan.</t>
  </si>
  <si>
    <t>Basic – Sewa terpakai</t>
  </si>
  <si>
    <t>Sewa dibayar di muka yang manfaatnya sudah terpakai selama Januari sebesar Rp6.000.000.</t>
  </si>
  <si>
    <t>Debit Beban Sewa; kredit Sewa Dibayar di Muka.</t>
  </si>
  <si>
    <t>Basic – Asuransi terpakai</t>
  </si>
  <si>
    <t>Premi asuransi Rp18.000.000 untuk 12 bulan. Satu bulan telah terpakai.</t>
  </si>
  <si>
    <t>Rp18.000.000 ÷ 12 = Rp1.500.000</t>
  </si>
  <si>
    <t>Debit Beban Asuransi; kredit Asuransi Dibayar di Muka.</t>
  </si>
  <si>
    <t>Basic – Iklan terpakai</t>
  </si>
  <si>
    <t>Dari iklan dibayar di muka, manfaat bulan Januari yang telah diterima adalah Rp1.000.000.</t>
  </si>
  <si>
    <t>Debit Beban Iklan; kredit Iklan Dibayar di Muka.</t>
  </si>
  <si>
    <t>Basic – Software terpakai</t>
  </si>
  <si>
    <t>Lisensi software Rp4.800.000 digunakan untuk 12 bulan. Akui satu bulan.</t>
  </si>
  <si>
    <t>4.800.000 ÷ 12 = 400.000</t>
  </si>
  <si>
    <t>Debit Beban Lisensi/Software; kredit Software Dibayar di Muka.</t>
  </si>
  <si>
    <t>Basic – Penyusutan peralatan toko</t>
  </si>
  <si>
    <t>Saldo peralatan toko yang disusutkan Rp75.000.000. Umur manfaat 5 tahun, residu nol, garis lurus.</t>
  </si>
  <si>
    <t>75.000.000 ÷ 5 ÷ 12</t>
  </si>
  <si>
    <t>Debit Beban Penyusutan Peralatan Toko; kredit Akumulasi Penyusutan Peralatan Toko.</t>
  </si>
  <si>
    <t>Basic – Penyusutan peralatan kantor</t>
  </si>
  <si>
    <t>Peralatan kantor tersisa yang disusutkan Rp20.000.000. Umur manfaat 5 tahun, residu nol, garis lurus.</t>
  </si>
  <si>
    <t>20.000.000 ÷ 5 ÷ 12</t>
  </si>
  <si>
    <t>Debit Beban Penyusutan Peralatan Kantor; kredit Akumulasi Penyusutan Peralatan Kantor.</t>
  </si>
  <si>
    <t>Basic – Penyusutan kendaraan</t>
  </si>
  <si>
    <t>Kendaraan operasional Rp250.000.000. Umur manfaat 5 tahun, residu nol, garis lurus.</t>
  </si>
  <si>
    <t>250.000.000 ÷ 5 ÷ 12</t>
  </si>
  <si>
    <t>Debit Beban Penyusutan Kendaraan; kredit Akumulasi Penyusutan Kendaraan.</t>
  </si>
  <si>
    <t>Basic – Gaji masih harus dibayar</t>
  </si>
  <si>
    <t>Gaji karyawan yang telah menjadi beban tetapi belum dibayar sebesar Rp5.000.000.</t>
  </si>
  <si>
    <t>Debit Beban Gaji; kredit Utang Gaji.</t>
  </si>
  <si>
    <t>Basic – Bonus masih harus dibayar</t>
  </si>
  <si>
    <t>Bonus karyawan yang telah diperoleh untuk Januari tetapi baru dibayar Februari sebesar Rp3.000.000.</t>
  </si>
  <si>
    <t>Debit Beban Bonus; kredit Utang Bonus.</t>
  </si>
  <si>
    <t>Basic – Bunga terutang</t>
  </si>
  <si>
    <t>Bunga pinjaman Januari yang belum dibayar sebesar Rp1.200.000.</t>
  </si>
  <si>
    <t>Debit Beban Bunga; kredit Utang Bunga.</t>
  </si>
  <si>
    <t>Basic – Utilitas terutang</t>
  </si>
  <si>
    <t>Listrik, air, dan telekomunikasi yang telah digunakan tetapi tagihan belum dibayar sebesar Rp1.800.000.</t>
  </si>
  <si>
    <t>Debit Beban Utilitas; kredit Utang Utilitas.</t>
  </si>
  <si>
    <t>Intermediate – Jasa profesional terutang + PPh23</t>
  </si>
  <si>
    <t>Jasa profesional Januari Rp2.500.000 sudah diterima tetapi invoice belum dibayar. PPh23 latihan 2% dipotong saat pengakuan kewajiban.</t>
  </si>
  <si>
    <t>PPh23 = 2% × 2.500.000 = 50.000</t>
  </si>
  <si>
    <t>Debit Beban Jasa Profesional; kredit Utang PPh23 dan Utang Usaha.</t>
  </si>
  <si>
    <t>Intermediate – BPJS pemberi kerja terutang</t>
  </si>
  <si>
    <t>Bagian BPJS pemberi kerja yang menjadi beban Januari tetapi belum dibayar sebesar Rp1.500.000.</t>
  </si>
  <si>
    <t>Intermediate – Cadangan piutang tak tertagih</t>
  </si>
  <si>
    <t>Berdasarkan aging schedule, penyisihan piutang yang seharusnya tersedia pada 31 Januari adalah Rp6.000.000. Saldo penyisihan sebelum penyesuaian Rp1.500.000.</t>
  </si>
  <si>
    <t>6.000.000 - 1.500.000</t>
  </si>
  <si>
    <t>Tambahkan penyisihan sebesar selisih target dan saldo yang ada.</t>
  </si>
  <si>
    <t>Intermediate – Penghapusan piutang yang disisihkan</t>
  </si>
  <si>
    <t>Piutang pelanggan tertentu Rp2.000.000 diputuskan tidak tertagih dan telah termasuk dalam saldo yang disisihkan.</t>
  </si>
  <si>
    <t>Debit Penyisihan Piutang Tak Tertagih; kredit Piutang Usaha.</t>
  </si>
  <si>
    <t>Intermediate – Selisih persediaan</t>
  </si>
  <si>
    <t>Stock opname menghasilkan kekurangan persediaan sebesar Rp2.000.000 yang belum dicatat.</t>
  </si>
  <si>
    <t>Intermediate – Penurunan nilai persediaan</t>
  </si>
  <si>
    <t>Nilai realisasi bersih beberapa barang lebih rendah dari nilai tercatat sebesar Rp1.500.000.</t>
  </si>
  <si>
    <t>Intermediate – Uang muka pelanggan menjadi pendapatan</t>
  </si>
  <si>
    <t>Dari uang muka pelanggan, barang senilai Rp4.000.000 sebelum PPN telah diserahkan dan PPN terkait Rp440.000 menjadi terutang.</t>
  </si>
  <si>
    <t>4.000.000 + 440.000</t>
  </si>
  <si>
    <t>Debit Uang Muka Pelanggan; kredit Penjualan dan PPN Keluaran.</t>
  </si>
  <si>
    <t>Intermediate – HPP atas penyerahan dari uang muka</t>
  </si>
  <si>
    <t>HPP barang yang telah diserahkan pada kasus penyesuaian sebelumnya adalah Rp2.400.000.</t>
  </si>
  <si>
    <t>Debit HPP; kredit Persediaan.</t>
  </si>
  <si>
    <t>Intermediate – Komisi masih harus dibayar</t>
  </si>
  <si>
    <t>Komisi penjualan yang menjadi beban Januari tetapi belum dibayar sebesar Rp2.000.000.</t>
  </si>
  <si>
    <t>Debit Beban Komisi; kredit Utang Usaha.</t>
  </si>
  <si>
    <t>Intermediate – Pajak daerah terutang</t>
  </si>
  <si>
    <t>Pajak daerah terkait kegiatan toko untuk Januari sebesar Rp800.000 belum dibayar.</t>
  </si>
  <si>
    <t>Debit Beban Pajak Daerah; kredit Utang Pajak Daerah.</t>
  </si>
  <si>
    <t>Advanced – Bunga bank masih harus diterima</t>
  </si>
  <si>
    <t>Bunga deposito yang telah menjadi hak perusahaan tetapi baru akan diterima Februari sebesar Rp700.000.</t>
  </si>
  <si>
    <t>Debit Piutang Bunga; kredit Pendapatan Bunga.</t>
  </si>
  <si>
    <t>Advanced – Beban administrasi bank terutang</t>
  </si>
  <si>
    <t>Biaya administrasi bank Rp150.000 telah dibebankan bank tetapi belum masuk rekening koran/buku perusahaan.</t>
  </si>
  <si>
    <t>Debit Beban Administrasi Bank; kredit Utang/akun bank. Dalam latihan, anggap menjadi kewajiban sementara.</t>
  </si>
  <si>
    <t>Advanced – Perlengkapan dengan pemeriksaan ulang</t>
  </si>
  <si>
    <t>Saldo perlengkapan setelah penyesuaian sementara masih menyisakan Rp1.000.000 yang ternyata terpakai saat stock opname.</t>
  </si>
  <si>
    <t>Advanced – Lisensi tahunan terpakai</t>
  </si>
  <si>
    <t>Lisensi usaha Rp12.000.000 dibayar 31 Januari. Untuk keperluan latihan, manfaat hari pertama tidak diamortisasi; bagian yang terpakai belum ada.</t>
  </si>
  <si>
    <t>0</t>
  </si>
  <si>
    <t>Tidak ada jurnal penyesuaian; siswa harus memahami kapan aset mulai diamortisasi.</t>
  </si>
  <si>
    <t>Advanced – Akru bonus manajemen</t>
  </si>
  <si>
    <t>Bonus manajemen Rp4.500.000 telah menjadi beban Januari dan dibayar setelah laporan diterbitkan.</t>
  </si>
  <si>
    <t>Advanced – Estimasi biaya audit</t>
  </si>
  <si>
    <t>Jasa audit Rp7.500.000 telah diterima sampai 31 Januari tetapi belum ditagih.</t>
  </si>
  <si>
    <t>Debit Beban Jasa Profesional; kredit Utang Usaha.</t>
  </si>
  <si>
    <t>Advanced – PPN keluaran dan masukan ditentukan untuk rekonsiliasi</t>
  </si>
  <si>
    <t>Hasil rekonsiliasi PPN menunjukkan PPN Keluaran yang masih harus dilaporkan Rp12.000.000 dan PPN Masukan yang dapat dikreditkan Rp8.500.000. Reklasifikasi neto untuk latihan diminta.</t>
  </si>
  <si>
    <t>Keluaran 12.000.000 - Masukan 8.500.000 = utang 3.500.000</t>
  </si>
  <si>
    <t>Debit PPN Keluaran; kredit PPN Masukan dan Utang PPN.</t>
  </si>
  <si>
    <t>Paling Sulit – Provision pajak penghasilan</t>
  </si>
  <si>
    <t>Berdasarkan rekonsiliasi fiskal internal, beban pajak penghasilan periode Januari ditetapkan Rp8.000.000 untuk latihan.</t>
  </si>
  <si>
    <t>Nominal ditetapkan untuk latihan.</t>
  </si>
  <si>
    <t>Debit Beban Pajak Penghasilan; kredit Utang Pajak Penghasilan.</t>
  </si>
  <si>
    <t>KUNCI JURNAL PENYESUAIAN – 30 SOAL</t>
  </si>
  <si>
    <t>Kunci pembanding. Kasus tanpa jurnal dicatat sebagai TIDAK ADA JURNAL dengan nilai 0/0.</t>
  </si>
  <si>
    <t>Dasar / Formula</t>
  </si>
  <si>
    <t>Basic / Perlengkapan terpakai</t>
  </si>
  <si>
    <t>Basic</t>
  </si>
  <si>
    <t>Saldo terpakai = 5.000.000 - 3.800.000</t>
  </si>
  <si>
    <t>Basic / Sewa terpakai</t>
  </si>
  <si>
    <t>Diberikan langsung</t>
  </si>
  <si>
    <t>Basic / Asuransi terpakai</t>
  </si>
  <si>
    <t>Basic / Iklan terpakai</t>
  </si>
  <si>
    <t>Basic / Software terpakai</t>
  </si>
  <si>
    <t>Basic / Penyusutan peralatan toko</t>
  </si>
  <si>
    <t>Basic / Penyusutan peralatan kantor</t>
  </si>
  <si>
    <t>Basic / Penyusutan kendaraan</t>
  </si>
  <si>
    <t>Basic / Gaji masih harus dibayar</t>
  </si>
  <si>
    <t>Basic / Bonus masih harus dibayar</t>
  </si>
  <si>
    <t>Basic / Bunga terutang</t>
  </si>
  <si>
    <t>Basic / Utilitas terutang</t>
  </si>
  <si>
    <t>Intermediate / Jasa profesional terutang + PPh23</t>
  </si>
  <si>
    <t>Intermediate</t>
  </si>
  <si>
    <t>Intermediate / BPJS pemberi kerja terutang</t>
  </si>
  <si>
    <t>Intermediate / Cadangan piutang tak tertagih</t>
  </si>
  <si>
    <t>Intermediate / Penghapusan piutang yang disisihkan</t>
  </si>
  <si>
    <t>Intermediate / Selisih persediaan</t>
  </si>
  <si>
    <t>Intermediate / Penurunan nilai persediaan</t>
  </si>
  <si>
    <t>Intermediate / Uang muka pelanggan menjadi pendapatan</t>
  </si>
  <si>
    <t>Intermediate / HPP atas penyerahan dari uang muka</t>
  </si>
  <si>
    <t>Intermediate / Komisi masih harus dibayar</t>
  </si>
  <si>
    <t>Intermediate / Pajak daerah terutang</t>
  </si>
  <si>
    <t>Advanced / Bunga bank masih harus diterima</t>
  </si>
  <si>
    <t>Advanced</t>
  </si>
  <si>
    <t>Advanced / Beban administrasi bank terutang</t>
  </si>
  <si>
    <t>Kasus edukatif untuk membedakan bank reconciliation vs accrual.</t>
  </si>
  <si>
    <t>Advanced / Perlengkapan dengan pemeriksaan ulang</t>
  </si>
  <si>
    <t>Advanced / Lisensi tahunan terpakai</t>
  </si>
  <si>
    <t>(Tidak ada jurnal)</t>
  </si>
  <si>
    <t>Advanced / Akru bonus manajemen</t>
  </si>
  <si>
    <t>Advanced / Estimasi biaya audit</t>
  </si>
  <si>
    <t>Advanced / PPN keluaran dan masukan ditentukan untuk rekonsiliasi</t>
  </si>
  <si>
    <t>PPN Keluaran sebelum clearing Rp74.954.000; PPN Masukan Rp101.112.000 → clear output against input; remaining PPN Masukan Rp26.158.000.</t>
  </si>
  <si>
    <t>Setelah clearing, PPN Keluaran nol dan PPN Masukan bersih Rp26.158.000.</t>
  </si>
  <si>
    <t>Paling Sulit / Provision pajak penghasilan</t>
  </si>
  <si>
    <t>NERACA SALDO – SETELAH PENYESUAIAN</t>
  </si>
  <si>
    <t>Sumber: Saldo awal + 80 Jurnal Umum + 30 Penyesuaian.</t>
  </si>
  <si>
    <t>JURNAL PENUTUP – PT SINAR NIAGA INDONESIA</t>
  </si>
  <si>
    <t>Jenis</t>
  </si>
  <si>
    <t>Penutup</t>
  </si>
  <si>
    <t>Menutup pendapatan Penjualan</t>
  </si>
  <si>
    <t>Mengkredit Ikhtisar – Penjualan</t>
  </si>
  <si>
    <t>Menutup Retur Penjualan</t>
  </si>
  <si>
    <t>Menutup Potongan Penjualan</t>
  </si>
  <si>
    <t>Menutup pendapatan Pendapatan Jasa</t>
  </si>
  <si>
    <t>Mengkredit Ikhtisar – Pendapatan Jasa</t>
  </si>
  <si>
    <t>Menutup pendapatan Pendapatan Bunga</t>
  </si>
  <si>
    <t>Mengkredit Ikhtisar – Pendapatan Bunga</t>
  </si>
  <si>
    <t>Menutup pendapatan Keuntungan Penjualan Aset</t>
  </si>
  <si>
    <t>Mengkredit Ikhtisar – Keuntungan Penjualan Aset</t>
  </si>
  <si>
    <t>Menutup pendapatan Pendapatan Lain-lain</t>
  </si>
  <si>
    <t>Mengkredit Ikhtisar – Pendapatan Lain-lain</t>
  </si>
  <si>
    <t>Menutup beban HPP</t>
  </si>
  <si>
    <t>Menutup HPP</t>
  </si>
  <si>
    <t>Menutup beban Beban Gaji</t>
  </si>
  <si>
    <t>Menutup Beban Gaji</t>
  </si>
  <si>
    <t>Menutup beban Beban BPJS</t>
  </si>
  <si>
    <t>Menutup Beban BPJS</t>
  </si>
  <si>
    <t>Menutup beban Beban Sewa</t>
  </si>
  <si>
    <t>Menutup Beban Sewa</t>
  </si>
  <si>
    <t>Menutup beban Beban Asuransi</t>
  </si>
  <si>
    <t>Menutup Beban Asuransi</t>
  </si>
  <si>
    <t>Menutup beban Beban Perlengkapan</t>
  </si>
  <si>
    <t>Menutup Beban Perlengkapan</t>
  </si>
  <si>
    <t>Menutup beban Beban Iklan</t>
  </si>
  <si>
    <t>Menutup Beban Iklan</t>
  </si>
  <si>
    <t>Menutup beban Beban Lisensi/Software</t>
  </si>
  <si>
    <t>Menutup Beban Lisensi/Software</t>
  </si>
  <si>
    <t>Menutup beban Beban Penyusutan Peralatan Toko</t>
  </si>
  <si>
    <t>Menutup Beban Penyusutan Peralatan Toko</t>
  </si>
  <si>
    <t>Menutup beban Beban Penyusutan Peralatan Kantor</t>
  </si>
  <si>
    <t>Menutup Beban Penyusutan Peralatan Kantor</t>
  </si>
  <si>
    <t>Menutup beban Beban Penyusutan Kendaraan</t>
  </si>
  <si>
    <t>Menutup Beban Penyusutan Kendaraan</t>
  </si>
  <si>
    <t>Menutup beban Beban Utilitas</t>
  </si>
  <si>
    <t>Menutup Beban Utilitas</t>
  </si>
  <si>
    <t>Menutup beban Beban Pengiriman Penjualan</t>
  </si>
  <si>
    <t>Menutup Beban Pengiriman Penjualan</t>
  </si>
  <si>
    <t>Menutup beban Beban Jasa Profesional</t>
  </si>
  <si>
    <t>Menutup Beban Jasa Profesional</t>
  </si>
  <si>
    <t>Menutup beban Beban Pemeliharaan</t>
  </si>
  <si>
    <t>Menutup Beban Pemeliharaan</t>
  </si>
  <si>
    <t>Menutup beban Beban ATK</t>
  </si>
  <si>
    <t>Menutup Beban ATK</t>
  </si>
  <si>
    <t>Menutup beban Beban Bunga</t>
  </si>
  <si>
    <t>Menutup Beban Bunga</t>
  </si>
  <si>
    <t>Menutup beban Beban Komisi</t>
  </si>
  <si>
    <t>Menutup Beban Komisi</t>
  </si>
  <si>
    <t>Menutup beban Beban Bonus</t>
  </si>
  <si>
    <t>Menutup Beban Bonus</t>
  </si>
  <si>
    <t>Menutup beban Beban Kerugian Piutang</t>
  </si>
  <si>
    <t>Menutup Beban Kerugian Piutang</t>
  </si>
  <si>
    <t>Menutup beban Beban Kerugian Persediaan</t>
  </si>
  <si>
    <t>Menutup Beban Kerugian Persediaan</t>
  </si>
  <si>
    <t>Menutup beban Beban Pajak Daerah</t>
  </si>
  <si>
    <t>Menutup Beban Pajak Daerah</t>
  </si>
  <si>
    <t>Menutup beban Beban Administrasi Bank</t>
  </si>
  <si>
    <t>Menutup Beban Administrasi Bank</t>
  </si>
  <si>
    <t>Menutup beban Beban Pajak Penghasilan</t>
  </si>
  <si>
    <t>Menutup Beban Pajak Penghasilan</t>
  </si>
  <si>
    <t>Menutup beban Beban Training</t>
  </si>
  <si>
    <t>Menutup Beban Training</t>
  </si>
  <si>
    <t>Menutup beban Beban Keamanan</t>
  </si>
  <si>
    <t>Menutup Beban Keamanan</t>
  </si>
  <si>
    <t>Menutup beban Beban Kurir</t>
  </si>
  <si>
    <t>Menutup Beban Kurir</t>
  </si>
  <si>
    <t>Menutup beban Beban Selisih Kas</t>
  </si>
  <si>
    <t>Menutup Beban Selisih Kas</t>
  </si>
  <si>
    <t>Menutup beban Kerugian Penjualan Aset</t>
  </si>
  <si>
    <t>Menutup Kerugian Penjualan Aset</t>
  </si>
  <si>
    <t>Menutup beban Beban Denda Pajak</t>
  </si>
  <si>
    <t>Menutup Beban Denda Pajak</t>
  </si>
  <si>
    <t>Menutup Ikhtisar Laba Rugi</t>
  </si>
  <si>
    <t>Mentransfer laba/rugi ke Saldo Laba</t>
  </si>
  <si>
    <t>Menutup Dividen</t>
  </si>
  <si>
    <t>Menutup Dividen ke Saldo Laba</t>
  </si>
  <si>
    <t>NERACA SALDO – SETELAH PENUTUPAN</t>
  </si>
  <si>
    <t>Sumber: Saldo akhir Buku Besar setelah Jurnal Penutup. Akun nominal harus nol.</t>
  </si>
  <si>
    <t>LAPORAN LABA RUGI – PT SINAR NIAGA INDONESIA</t>
  </si>
  <si>
    <t>Untuk periode yang berakhir 31 Januari 2027 | Perpetual | Accrual basis</t>
  </si>
  <si>
    <t>Jumlah (Rp)</t>
  </si>
  <si>
    <t>(-) Retur Penjualan</t>
  </si>
  <si>
    <t>(-) Potongan Penjualan</t>
  </si>
  <si>
    <t>(-) HPP</t>
  </si>
  <si>
    <t>Total Beban Operasi</t>
  </si>
  <si>
    <t>Laba Sebelum Pajak</t>
  </si>
  <si>
    <t>LAPORAN PERUBAHAN EKUITAS – PT SINAR NIAGA INDONESIA</t>
  </si>
  <si>
    <t>Untuk periode yang berakhir 31 Januari 2027</t>
  </si>
  <si>
    <t>Saldo laba awal</t>
  </si>
  <si>
    <t>Setoran modal</t>
  </si>
  <si>
    <t>Laba bersih</t>
  </si>
  <si>
    <t>(-) Dividen</t>
  </si>
  <si>
    <t>Saldo laba akhir</t>
  </si>
  <si>
    <t>LAPORAN POSISI KEUANGAN – PT SINAR NIAGA INDONESIA</t>
  </si>
  <si>
    <t>Per 31 Januari 2027 | Saldo setelah penutupan</t>
  </si>
  <si>
    <t>ASET</t>
  </si>
  <si>
    <t>LIABILITAS &amp; EKUITAS</t>
  </si>
  <si>
    <t>Total Liabilitas</t>
  </si>
  <si>
    <t>EKUITAS</t>
  </si>
  <si>
    <t>Total Ekuitas</t>
  </si>
  <si>
    <t>Total Liabilitas + Ekuitas</t>
  </si>
  <si>
    <t>CHECK NERACA</t>
  </si>
  <si>
    <t>LAPORAN ARUS KAS – METODE LANGSUNG BERBASIS TAG TRANSAKSI</t>
  </si>
  <si>
    <t>Untuk periode yang berakhir 31 Januari 2027 | Sumber: Arus_Kas_Data</t>
  </si>
  <si>
    <t>ARUS KAS DARI AKTIVITAS OPERASI</t>
  </si>
  <si>
    <t>Kas operasi masuk</t>
  </si>
  <si>
    <t>Debit kas tagged Operasi</t>
  </si>
  <si>
    <t>Kas operasi keluar</t>
  </si>
  <si>
    <t>Kredit kas tagged Operasi</t>
  </si>
  <si>
    <t>Kas Bersih Operasi</t>
  </si>
  <si>
    <t>ARUS KAS DARI AKTIVITAS INVESTASI</t>
  </si>
  <si>
    <t>Kas investasi masuk</t>
  </si>
  <si>
    <t>Debit kas tagged Investasi</t>
  </si>
  <si>
    <t>Kas investasi keluar</t>
  </si>
  <si>
    <t>Kredit kas tagged Investasi</t>
  </si>
  <si>
    <t>Kas Bersih Investasi</t>
  </si>
  <si>
    <t>ARUS KAS DARI AKTIVITAS PENDANAAN</t>
  </si>
  <si>
    <t>Kas pendanaan masuk</t>
  </si>
  <si>
    <t>Debit kas tagged Pendanaan</t>
  </si>
  <si>
    <t>Kas pendanaan keluar</t>
  </si>
  <si>
    <t>Kredit kas tagged Pendanaan</t>
  </si>
  <si>
    <t>Kas Bersih Pendanaan</t>
  </si>
  <si>
    <t>Kenaikan/(Penurunan) Bersih Kas</t>
  </si>
  <si>
    <t>Kas dan Kas Kecil Awal</t>
  </si>
  <si>
    <t>Saldo awal dari Saldo_Awal: Bank Rp100 juta + Kas Kecil Rp10 juta</t>
  </si>
  <si>
    <t>Kas dan Kas Kecil Akhir</t>
  </si>
  <si>
    <t>Harus sama dengan saldo kas &amp; bank setelah penutupan</t>
  </si>
  <si>
    <t>CHECK CASH</t>
  </si>
  <si>
    <t>CATATAN ATAS LAPORAN KEUANGAN (CALK) – WORKBOOK LATIHAN</t>
  </si>
  <si>
    <t>Catatan kebijakan, saldo utama, rekonsiliasi, dan sumber resmi yang digunakan untuk parameter latihan.</t>
  </si>
  <si>
    <t>Uraian</t>
  </si>
  <si>
    <t>Nilai / Formula</t>
  </si>
  <si>
    <t>Entitas</t>
  </si>
  <si>
    <t>PT Sinar Niaga Indonesia – perusahaan dagang.</t>
  </si>
  <si>
    <t>Perpetual inventory; accrual basis.</t>
  </si>
  <si>
    <t>Periode</t>
  </si>
  <si>
    <t>1–31 Januari 2027.</t>
  </si>
  <si>
    <t>Saldo awal berasal dari 31 Desember 2026.</t>
  </si>
  <si>
    <t>Chart of Accounts diperluas menjadi 88 akun.</t>
  </si>
  <si>
    <t>Mencakup AP, AR, payroll, tax, inventory, fixed assets, financing, dan expenses.</t>
  </si>
  <si>
    <t>PPN latihan</t>
  </si>
  <si>
    <t>PPN efektif 11% hanya untuk soal yang eksplisit menyatakan demikian.</t>
  </si>
  <si>
    <t>Parameter_Latihan</t>
  </si>
  <si>
    <t>Tarif umum tidak boleh diasumsikan sama untuk semua objek/DPP.</t>
  </si>
  <si>
    <t>Kasus tertentu memakai 2% dari jumlah bruto jasa tertentu.</t>
  </si>
  <si>
    <t>Rujukan DJP.</t>
  </si>
  <si>
    <t>Sewa tanah/bangunan memakai 10% dari jumlah bruto dalam latihan.</t>
  </si>
  <si>
    <t>PPh 22</t>
  </si>
  <si>
    <t>Kasus pemungut tertentu 1,5%; impor API 2,5%.</t>
  </si>
  <si>
    <t>Perpetual; HPP dicatat saat penjualan.</t>
  </si>
  <si>
    <t>Kartu persediaan terpilih menggunakan FIFO.</t>
  </si>
  <si>
    <t>Laba bersih periode.</t>
  </si>
  <si>
    <t>Formula-linked.</t>
  </si>
  <si>
    <t>Total aset setelah penutupan.</t>
  </si>
  <si>
    <t>Harus sama dengan liabilitas + ekuitas.</t>
  </si>
  <si>
    <t>Kas Akhir</t>
  </si>
  <si>
    <t>Bank + Kas Kecil setelah penutupan.</t>
  </si>
  <si>
    <t>Arus_Kas</t>
  </si>
  <si>
    <t>Harus sama dengan arus kas akhir.</t>
  </si>
  <si>
    <t>Saldo AP vendor invoice-level.</t>
  </si>
  <si>
    <t>Harus tie dengan Utang Usaha; accruals dipisah.</t>
  </si>
  <si>
    <t>Saldo AR customer-level.</t>
  </si>
  <si>
    <t>Harus tie dengan Piutang Usaha.</t>
  </si>
  <si>
    <t>PPN Net</t>
  </si>
  <si>
    <t>Posisi PPN Masukan bersih setelah clearing PPN Keluaran.</t>
  </si>
  <si>
    <t>Rekonsiliasi_Akun</t>
  </si>
  <si>
    <t>Dalam latihan tersisa PPN Masukan Rp26.158.000 setelah clearing output.</t>
  </si>
  <si>
    <t>Bank Recon</t>
  </si>
  <si>
    <t>Saldo buku dan bank setelah recon items.</t>
  </si>
  <si>
    <t>Harus BALANCE.</t>
  </si>
  <si>
    <t>Closing</t>
  </si>
  <si>
    <t>Saldo revenue/expense/dividend ditutup ke equity.</t>
  </si>
  <si>
    <t>Jurnal_Penutup</t>
  </si>
  <si>
    <t>Neraca saldo setelah penutupan hanya memuat akun permanen.</t>
  </si>
  <si>
    <t>Sumber resmi pajak</t>
  </si>
  <si>
    <t>PPN / Harmonisasi</t>
  </si>
  <si>
    <t>https://pajak.go.id/id/pajak-pertambahan-nilai</t>
  </si>
  <si>
    <t>DJP</t>
  </si>
  <si>
    <t>Gunakan untuk verifikasi tarif dan ketentuan terbaru.</t>
  </si>
  <si>
    <t>PPN DPP Nilai Lain</t>
  </si>
  <si>
    <t>Rujukan formula 12% × 11/12 untuk objek tertentu.</t>
  </si>
  <si>
    <t>Rujukan objek/tarif PPh23.</t>
  </si>
  <si>
    <t>Rujukan sewa tanah/bangunan.</t>
  </si>
  <si>
    <t>Rujukan pemungutan pembelian/impor.</t>
  </si>
  <si>
    <t>KAMUS RUMUS &amp; LOGIKA ACCOUNTING WORKBOOK</t>
  </si>
  <si>
    <t>Konsep</t>
  </si>
  <si>
    <t>Rumus / Logika</t>
  </si>
  <si>
    <t>Contoh Penggunaan</t>
  </si>
  <si>
    <t>Saldo akun</t>
  </si>
  <si>
    <t>Debit total – Kredit total</t>
  </si>
  <si>
    <t>Buku_Besar</t>
  </si>
  <si>
    <t>Aset/beban normal debit; liabilitas/ekuitas/pendapatan normal kredit.</t>
  </si>
  <si>
    <t>Saldo debit</t>
  </si>
  <si>
    <t>MAX(saldo,0)</t>
  </si>
  <si>
    <t>Dipakai saat saldo akun positif.</t>
  </si>
  <si>
    <t>Saldo kredit</t>
  </si>
  <si>
    <t>MAX(-saldo,0)</t>
  </si>
  <si>
    <t>Dipakai saat saldo akun negatif.</t>
  </si>
  <si>
    <t>Penjualan bersih</t>
  </si>
  <si>
    <t>Penjualan – Retur – Potongan</t>
  </si>
  <si>
    <t>Contra revenue mengurangi penjualan.</t>
  </si>
  <si>
    <t>Laba kotor</t>
  </si>
  <si>
    <t>Penjualan bersih – HPP</t>
  </si>
  <si>
    <t>Perusahaan dagang.</t>
  </si>
  <si>
    <t>Laba operasi</t>
  </si>
  <si>
    <t>Laba kotor – beban operasi</t>
  </si>
  <si>
    <t>Pendapatan/beban non-operasi dipisahkan.</t>
  </si>
  <si>
    <t>Piutang bersih</t>
  </si>
  <si>
    <t>Piutang – Penyisihan</t>
  </si>
  <si>
    <t>Write-off mengurangi piutang &amp; allowance.</t>
  </si>
  <si>
    <t>AP ending</t>
  </si>
  <si>
    <t>Opening + invoice – return – payment – discount</t>
  </si>
  <si>
    <t>Subledger supplier-level.</t>
  </si>
  <si>
    <t>AR ending</t>
  </si>
  <si>
    <t>Opening + invoice – return/rebate – receipt – discount – write-off</t>
  </si>
  <si>
    <t>Subledger customer-level.</t>
  </si>
  <si>
    <t>Bank reconciliation</t>
  </si>
  <si>
    <t>Saldo bank + DIT – checks = saldo buku ± bank-only items</t>
  </si>
  <si>
    <t>Kedua sisi harus sama.</t>
  </si>
  <si>
    <t>HPP perpetual</t>
  </si>
  <si>
    <t>Diakui ketika barang terjual</t>
  </si>
  <si>
    <t>Kunci_Jurnal_80 / Inventory_Kartu</t>
  </si>
  <si>
    <t>Tidak menunggu akhir periode untuk penjualan normal.</t>
  </si>
  <si>
    <t>Penyusutan garis lurus</t>
  </si>
  <si>
    <t>(Cost – Residual) / umur manfaat / 12</t>
  </si>
  <si>
    <t>Untuk latihan bulanan.</t>
  </si>
  <si>
    <t>PPh23 latihan</t>
  </si>
  <si>
    <t>2% × jumlah bruto jasa tertentu</t>
  </si>
  <si>
    <t>Jurnal_Penyesuaian / Jurnal Umum</t>
  </si>
  <si>
    <t>Objek pajak harus diverifikasi.</t>
  </si>
  <si>
    <t>PPh Final sewa</t>
  </si>
  <si>
    <t>10% × bruto sewa tanah/bangunan</t>
  </si>
  <si>
    <t>Kasus sewa tanah/bangunan.</t>
  </si>
  <si>
    <t>PPh22 pemungut</t>
  </si>
  <si>
    <t>1,5% × harga pembelian excl. PPN</t>
  </si>
  <si>
    <t>Hanya jika skenario menyatakan pemungut.</t>
  </si>
  <si>
    <t>11% × DPP untuk soal yang eksplisit</t>
  </si>
  <si>
    <t>Parameter latihan, bukan tarif umum.</t>
  </si>
  <si>
    <t>ARUS KAS DATA – CASH MOVEMENTS DARI 80 JURNAL</t>
  </si>
  <si>
    <t>Cash Account</t>
  </si>
  <si>
    <t>Kas Masuk</t>
  </si>
  <si>
    <t>Kas Keluar</t>
  </si>
  <si>
    <t>Aktivitas</t>
  </si>
  <si>
    <t>SALDO AWAL – NERACA PER 31 DESEMBER 2026</t>
  </si>
  <si>
    <t>Saldo awal dipakai untuk membuat siklus Januari 2027 realistis, termasuk akumulasi penyusutan, AR, AP, dan pinjaman yang sudah ada.</t>
  </si>
  <si>
    <t>Debit Awal (Rp)</t>
  </si>
  <si>
    <t>Kredit Awal (Rp)</t>
  </si>
  <si>
    <t>Rincian</t>
  </si>
  <si>
    <t>Check</t>
  </si>
  <si>
    <t>Opening balance</t>
  </si>
  <si>
    <t>Per 31 Desember 2026</t>
  </si>
  <si>
    <t>bank</t>
  </si>
  <si>
    <t>modal saham</t>
  </si>
  <si>
    <t>kas kecil</t>
  </si>
  <si>
    <t>peralatan toko</t>
  </si>
  <si>
    <t>ppn masukan</t>
  </si>
  <si>
    <t>peralatan kantor</t>
  </si>
  <si>
    <t>utang usaha</t>
  </si>
  <si>
    <t>persediaan barang dagang</t>
  </si>
  <si>
    <t>ppn keluaran</t>
  </si>
  <si>
    <t>hpp</t>
  </si>
  <si>
    <t>penjualan</t>
  </si>
  <si>
    <t>piutang usaha</t>
  </si>
  <si>
    <t>beban pengiriman penjualan</t>
  </si>
  <si>
    <t>iklan dibayar di muka</t>
  </si>
  <si>
    <t>sewa dibayar di muka</t>
  </si>
  <si>
    <t>asuransi dibayar di muka</t>
  </si>
  <si>
    <t>beban utilitas</t>
  </si>
  <si>
    <t>perlengkapan</t>
  </si>
  <si>
    <t>beban jasa profesional</t>
  </si>
  <si>
    <t>utang pph 23</t>
  </si>
  <si>
    <t>beban sewa</t>
  </si>
  <si>
    <t>beban gaji</t>
  </si>
  <si>
    <t>utang pph 21</t>
  </si>
  <si>
    <t>utang bpjs</t>
  </si>
  <si>
    <t>beban bpjs</t>
  </si>
  <si>
    <t>beban bunga</t>
  </si>
  <si>
    <t>pendapatan bunga</t>
  </si>
  <si>
    <t>beban administrasi bank</t>
  </si>
  <si>
    <t>utang bank jangka panjang</t>
  </si>
  <si>
    <t>kendaraan</t>
  </si>
  <si>
    <t>pph 22 dibayar di muka</t>
  </si>
  <si>
    <t>akumulasi penyusutan peralatan kantor</t>
  </si>
  <si>
    <t>keuntungan penjualan aset</t>
  </si>
  <si>
    <t>dividen</t>
  </si>
  <si>
    <t>utang dividen</t>
  </si>
  <si>
    <t>piutang karyawan</t>
  </si>
  <si>
    <t>beban komisi</t>
  </si>
  <si>
    <t>beban kurir</t>
  </si>
  <si>
    <t>lisensi dibayar di muka</t>
  </si>
  <si>
    <t>beban training</t>
  </si>
  <si>
    <t>beban keamanan</t>
  </si>
  <si>
    <t>pendapatan lain-lain</t>
  </si>
  <si>
    <t>beban selisih kas</t>
  </si>
  <si>
    <t>beban kerugian persediaan</t>
  </si>
  <si>
    <t>potongan penjualan</t>
  </si>
  <si>
    <t>utang bank jangka pendek</t>
  </si>
  <si>
    <t>akun bank: Rp90.000.000 × 11% = Rp9.900.000, Rp90.000.000 + Rp9.900.000 = Rp99.900.000</t>
  </si>
  <si>
    <t>akun piutang usaha : Rp99.900.000 − Rp29.970.000 = Rp69.930.000</t>
  </si>
  <si>
    <t>Kas diterima = Rp29.970.000; piutang = Rp69.930.000.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</si>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</sst>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name val="Carlito"/>
    </font>
    <font>
      <sz val="11"/>
      <name val="Carlito"/>
      <family val="2"/>
    </font>
    <font>
      <sz val="11"/>
      <color theme="1"/>
      <name val="Carlito"/>
      <family val="2"/>
    </font>
    <font>
      <sz val="11"/>
      <color theme="0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0" fontId="0" fillId="0" borderId="0" xfId="0" applyAlignment="1"/>
    <xf numFmtId="1" fontId="0" fillId="0" borderId="0" xfId="1" applyNumberFormat="1" applyFont="1"/>
    <xf numFmtId="164" fontId="1" fillId="0" borderId="0" xfId="1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0" fillId="2" borderId="1" xfId="0" applyFill="1" applyBorder="1"/>
    <xf numFmtId="0" fontId="0" fillId="3" borderId="0" xfId="0" applyFill="1"/>
    <xf numFmtId="0" fontId="3" fillId="0" borderId="2" xfId="0" applyFont="1" applyFill="1" applyBorder="1"/>
    <xf numFmtId="0" fontId="3" fillId="0" borderId="3" xfId="0" applyFont="1" applyFill="1" applyBorder="1"/>
    <xf numFmtId="0" fontId="3" fillId="0" borderId="4" xfId="0" applyFont="1" applyFill="1" applyBorder="1"/>
    <xf numFmtId="0" fontId="2" fillId="0" borderId="3" xfId="0" applyFont="1" applyFill="1" applyBorder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2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family val="2"/>
        <scheme val="none"/>
      </font>
      <numFmt numFmtId="164" formatCode="_-* #,##0_-;\-* #,##0_-;_-* &quot;-&quot;??_-;_-@_-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family val="2"/>
        <scheme val="none"/>
      </font>
      <numFmt numFmtId="164" formatCode="_-* #,##0_-;\-* #,##0_-;_-* &quot;-&quot;??_-;_-@_-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_-* #,##0_-;\-* #,##0_-;_-* &quot;-&quot;??_-;_-@_-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665D95D-04D2-4EF3-9303-5C9BD861EB78}" name="Table26" displayName="Table26" ref="A4:D15" totalsRowShown="0" headerRowDxfId="36" dataDxfId="35" headerRowCellStyle="Comma" dataCellStyle="Comma">
  <autoFilter ref="A4:D15" xr:uid="{5665D95D-04D2-4EF3-9303-5C9BD861EB78}"/>
  <tableColumns count="4">
    <tableColumn id="1" xr3:uid="{C5E2DF13-ABA0-4352-BB51-55A3BC682EAA}" name="KPI" dataDxfId="40" dataCellStyle="Comma"/>
    <tableColumn id="2" xr3:uid="{2F9987C7-1EA0-43BD-9355-D7511222A548}" name="Nilai" dataDxfId="39" dataCellStyle="Comma"/>
    <tableColumn id="3" xr3:uid="{18FDE16C-D620-4A5E-9923-12AF4BFF302F}" name="Status" dataDxfId="38" dataCellStyle="Comma"/>
    <tableColumn id="4" xr3:uid="{E637A1FD-0672-4834-860E-B1CA9F9CDDE8}" name="Sumber" dataDxfId="37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70382A0-96D9-4E03-95C8-FB40EC900A9F}" name="Table27" displayName="Table27" ref="A3:F16" totalsRowShown="0">
  <autoFilter ref="A3:F16" xr:uid="{370382A0-96D9-4E03-95C8-FB40EC900A9F}"/>
  <tableColumns count="6">
    <tableColumn id="1" xr3:uid="{7E3A9AF9-2473-4ACA-B4D6-6966C4E5E5BE}" name="Parameter"/>
    <tableColumn id="2" xr3:uid="{B85E0186-6C73-4BBC-897F-8D3A0496147D}" name="Nilai"/>
    <tableColumn id="3" xr3:uid="{06AEA8D3-4B0D-4293-B33D-A23F2629E4D4}" name="Satuan"/>
    <tableColumn id="4" xr3:uid="{8AFA2BDA-D414-45C1-8FDB-46894F064BCF}" name="Status"/>
    <tableColumn id="5" xr3:uid="{21EF96C6-2385-4E6E-8321-52E6467C8937}" name="Catatan"/>
    <tableColumn id="6" xr3:uid="{7C257389-03D5-4711-9D06-D9A4B3E40F3D}" name="Sumb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1765F03-BF55-4018-A819-0082A51C5CBE}" name="Table29" displayName="Table29" ref="A4:E92" totalsRowShown="0">
  <autoFilter ref="A4:E92" xr:uid="{01765F03-BF55-4018-A819-0082A51C5CBE}"/>
  <tableColumns count="5">
    <tableColumn id="1" xr3:uid="{AAA1388A-0063-4E53-B38A-7617A2256110}" name="Kode Akun"/>
    <tableColumn id="2" xr3:uid="{7EA62F92-1EC8-4E3E-9A75-7DA2A76E43C0}" name="Nama Akun"/>
    <tableColumn id="3" xr3:uid="{8C4CFE10-ECCD-4BCE-86F4-3211357DF492}" name="Kategori"/>
    <tableColumn id="4" xr3:uid="{5DDFDDA6-A23A-44C0-9277-7FDA969DAE1F}" name="Saldo Normal"/>
    <tableColumn id="5" xr3:uid="{10D95370-4A2C-4685-8912-693D606CBEFE}" name="Kelompok Lapor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28088AD-C6E6-42E2-B02F-1111F1F16A9B}" name="Table31" displayName="Table31" ref="A17:G25" totalsRowShown="0" dataDxfId="27" dataCellStyle="Comma">
  <autoFilter ref="A17:G25" xr:uid="{D28088AD-C6E6-42E2-B02F-1111F1F16A9B}"/>
  <tableColumns count="7">
    <tableColumn id="1" xr3:uid="{9CA0EACC-BDA9-448D-819B-DFBA3518E467}" name="SKU" dataDxfId="34" dataCellStyle="Comma"/>
    <tableColumn id="2" xr3:uid="{AA781A86-6C9D-46E2-ADBA-7B32F46AC471}" name="Nama Barang" dataDxfId="33" dataCellStyle="Comma"/>
    <tableColumn id="3" xr3:uid="{2E1F8A34-F412-4D89-94D7-9441191946BB}" name="Unit" dataDxfId="32" dataCellStyle="Comma"/>
    <tableColumn id="4" xr3:uid="{37BD0A14-20CD-4713-B3D3-74E3D314C87D}" name="Cost Awal" dataDxfId="31" dataCellStyle="Comma"/>
    <tableColumn id="5" xr3:uid="{265D910C-1B09-469C-A873-EBA4C1659AF4}" name="Harga Jual" dataDxfId="30" dataCellStyle="Comma"/>
    <tableColumn id="6" xr3:uid="{F14C14B1-13C6-4595-AA1C-00EE795799F3}" name="Reorder Point" dataDxfId="29" dataCellStyle="Comma"/>
    <tableColumn id="7" xr3:uid="{28134B6B-6D15-4249-ABBA-15DBC36B7D46}" name="Keterangan" dataDxfId="28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7DC1F0F-24F9-47D9-9D84-DE14D851D92D}" name="Table32" displayName="Table32" ref="A4:K15" totalsRowShown="0" headerRowDxfId="14" dataDxfId="13" tableBorderDxfId="26">
  <autoFilter ref="A4:K15" xr:uid="{C7DC1F0F-24F9-47D9-9D84-DE14D851D92D}"/>
  <tableColumns count="11">
    <tableColumn id="1" xr3:uid="{F6B369C3-3658-4410-8D60-35A214C6AC6D}" name="Supplier Code" dataDxfId="25"/>
    <tableColumn id="2" xr3:uid="{6E812537-83D1-4D29-A0AF-DDB2E42CC613}" name="Supplier" dataDxfId="24"/>
    <tableColumn id="3" xr3:uid="{90C82C0A-D18F-4B6E-9505-E602A6B98E8E}" name="Payment Terms" dataDxfId="23"/>
    <tableColumn id="4" xr3:uid="{EE10B985-C4E6-4B24-B3AC-27A12EA652E0}" name="PPh/Pajak Case" dataDxfId="22"/>
    <tableColumn id="5" xr3:uid="{1A801862-15EF-476E-BCAD-B776FD087361}" name="Contact / Note" dataDxfId="21"/>
    <tableColumn id="6" xr3:uid="{3C5D2AF7-E054-4784-84DA-7E1AABE14CF4}" name="Column1" dataDxfId="20"/>
    <tableColumn id="7" xr3:uid="{5902BD45-1BF9-4BFF-B6A4-FA291C38420C}" name="Customer Code" dataDxfId="19"/>
    <tableColumn id="8" xr3:uid="{463F90DB-25D6-44BD-A803-75104A069772}" name="Customer" dataDxfId="18"/>
    <tableColumn id="9" xr3:uid="{502D8912-5179-49D9-9879-228AC15B7C06}" name="Credit Limit" dataDxfId="17"/>
    <tableColumn id="10" xr3:uid="{C9CAB74F-FB87-4383-9FC8-7B14001DBC7C}" name="Terms" dataDxfId="16"/>
    <tableColumn id="11" xr3:uid="{F9602F03-6A8F-42DC-9097-5AFF455D3033}" name="Note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4E82AA-7FCA-4CFB-974A-970B0E178D5F}" name="Table3" displayName="Table3" ref="A3:O232" totalsRowCount="1">
  <autoFilter ref="A3:O231" xr:uid="{C84E82AA-7FCA-4CFB-974A-970B0E178D5F}"/>
  <tableColumns count="15">
    <tableColumn id="1" xr3:uid="{DF5623B3-CD5C-4556-944C-5C170ED1A023}" name="No"/>
    <tableColumn id="2" xr3:uid="{2487835E-66DB-47BA-AFB2-B0F63D9197FF}" name="Tanggal"/>
    <tableColumn id="3" xr3:uid="{C5CC8842-7D7B-479B-8612-2E0878CEF8EC}" name="Tingkat / Jenis" dataDxfId="224" totalsRowDxfId="12"/>
    <tableColumn id="4" xr3:uid="{41E65893-2B43-4374-B814-FF13B4EC909B}" name="Soal" dataDxfId="223" totalsRowDxfId="11"/>
    <tableColumn id="5" xr3:uid="{498320CC-688A-45C9-B4E3-E24C030DADB1}" name="Tambahan / Fakta Penting" dataDxfId="222" totalsRowDxfId="10"/>
    <tableColumn id="6" xr3:uid="{123D5C9F-6E2A-4556-81E7-3CBEE6802BC5}" name="Nominal (Rp)" dataDxfId="221" totalsRowDxfId="9" dataCellStyle="Comma"/>
    <tableColumn id="7" xr3:uid="{E39E3C8D-2ABA-434D-A88D-76970AA09FF2}" name="Petunjuk" dataDxfId="220" totalsRowDxfId="8"/>
    <tableColumn id="8" xr3:uid="{E0F98E04-29FB-4071-8CCB-AC3CF66FED16}" name="No2" dataDxfId="219" totalsRowDxfId="7"/>
    <tableColumn id="9" xr3:uid="{32688935-5891-47BE-ABFA-7FD77D0915DD}" name="Tanggal2" dataDxfId="218" totalsRowDxfId="6"/>
    <tableColumn id="10" xr3:uid="{F143F70E-5E64-4698-9F51-FE68DC4E65CB}" name="Akun Jawaban" dataDxfId="217" totalsRowDxfId="5"/>
    <tableColumn id="11" xr3:uid="{91C20C5B-1900-43F0-A23E-079F3D096C4F}" name="Debit Jawaban" totalsRowFunction="custom" dataDxfId="216" totalsRowDxfId="4" dataCellStyle="Comma">
      <totalsRowFormula>SUM(Table3[Debit Jawaban])</totalsRowFormula>
    </tableColumn>
    <tableColumn id="12" xr3:uid="{D08FD337-C0D5-4E34-A7B2-5D403DDDCE52}" name="Kredit Jawaban" totalsRowFunction="custom" dataDxfId="215" totalsRowDxfId="3" dataCellStyle="Comma">
      <totalsRowFormula>SUM(Table3[Kredit Jawaban])</totalsRowFormula>
    </tableColumn>
    <tableColumn id="13" xr3:uid="{65427DCD-FF49-46ED-A224-625B73F7F2C7}" name="Cek Akun">
      <calculatedColumnFormula>IF(Table3[[#This Row],[Akun Jawaban]]="","",IF(Table3[[#This Row],[Akun Jawaban]]=Table4[[#This Row],[Akun]],"Benar","salah"))</calculatedColumnFormula>
    </tableColumn>
    <tableColumn id="14" xr3:uid="{46C23855-A402-4ECA-A812-35F93FB76CF1}" name="Cek Debit">
      <calculatedColumnFormula>IF(Table3[[#This Row],[Debit Jawaban]]="","",IF(Table3[[#This Row],[Debit Jawaban]]=Table4[[#This Row],[Debit (Rp)]],"Benar","salah"))</calculatedColumnFormula>
    </tableColumn>
    <tableColumn id="15" xr3:uid="{DAF8BB0F-8113-432A-994B-15AEB51307A0}" name="Cek Kredit">
      <calculatedColumnFormula>IF(Table3[[#This Row],[Kredit Jawaban]]="","",IF(Table3[[#This Row],[Kredit Jawaban]]=Table4[[#This Row],[Kredit (Rp)]],"Benar","salah"))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DB2363-AD8A-4CD6-A4F4-6BDFE2C3E4BA}" name="Table4" displayName="Table4" ref="A3:K230" totalsRowShown="0">
  <autoFilter ref="A3:K230" xr:uid="{2DDB2363-AD8A-4CD6-A4F4-6BDFE2C3E4BA}"/>
  <tableColumns count="11">
    <tableColumn id="1" xr3:uid="{0D503C37-D7F8-40B2-B66F-C4ADE74E76C8}" name="No"/>
    <tableColumn id="2" xr3:uid="{C9257D76-13FD-4557-8E46-9CE5EC5E17D8}" name="Tanggal"/>
    <tableColumn id="3" xr3:uid="{E5734852-7F07-48EE-BFBD-7B5C23976B8A}" name="Tingkat / Jenis"/>
    <tableColumn id="4" xr3:uid="{B5115E19-44AC-4E8B-9333-7A1150072D72}" name="Counterparty"/>
    <tableColumn id="5" xr3:uid="{1A981A32-D3F5-49E1-869F-5C8F2D0FD24A}" name="Akun"/>
    <tableColumn id="6" xr3:uid="{2A83F044-C208-4FA9-B540-57390873CFA5}" name="Debit (Rp)" dataDxfId="214" dataCellStyle="Comma"/>
    <tableColumn id="7" xr3:uid="{8C8B7B99-7893-4B3A-B440-7141A531AE78}" name="Kredit (Rp)" dataDxfId="213" dataCellStyle="Comma"/>
    <tableColumn id="8" xr3:uid="{678C3A91-D22B-4815-A2E4-EB7E59F86AFA}" name="Arus Kas"/>
    <tableColumn id="9" xr3:uid="{19DE54DF-0D7D-4DC2-A314-67605054DD60}" name="Tingkat"/>
    <tableColumn id="10" xr3:uid="{4402BA07-419D-4F11-B712-7AAD8BE952F1}" name="Dokumen"/>
    <tableColumn id="11" xr3:uid="{9A15276C-7150-4D41-8524-81460E877DE1}" name="Catata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1B7B48-068A-4829-830B-D2F09294C2F4}" name="Table1" displayName="Table1" ref="A3:P92" totalsRowShown="0">
  <autoFilter ref="A3:P92" xr:uid="{BE1B7B48-068A-4829-830B-D2F09294C2F4}"/>
  <tableColumns count="16">
    <tableColumn id="1" xr3:uid="{5EC32A01-0779-4882-AB93-1B59F411EC3C}" name="Kode Akun"/>
    <tableColumn id="2" xr3:uid="{612CFBBF-14B8-4753-A6DB-7096DB56BB63}" name="Nama Akun"/>
    <tableColumn id="3" xr3:uid="{A7551A09-52B3-44AC-8FD6-89FC20F91D04}" name="Kategori"/>
    <tableColumn id="4" xr3:uid="{D52E8BBB-1B26-4469-9FBE-741D8236500E}" name="Saldo Normal"/>
    <tableColumn id="5" xr3:uid="{D0861A96-2F4A-4450-9C8A-0CE3E92EC82E}" name="Debit Awal" dataDxfId="212" dataCellStyle="Comma"/>
    <tableColumn id="6" xr3:uid="{E294C948-EE10-47A5-BEF6-AC0C968B983F}" name="Kredit Awal" dataDxfId="211" dataCellStyle="Comma"/>
    <tableColumn id="7" xr3:uid="{809FB80A-DE21-4CEA-9001-98315F7AD95B}" name="Debit JU" dataDxfId="210" dataCellStyle="Comma"/>
    <tableColumn id="8" xr3:uid="{FE1EE779-E583-4104-B228-B3F2B40E64F6}" name="Kredit JU" dataDxfId="209" dataCellStyle="Comma"/>
    <tableColumn id="9" xr3:uid="{02C0148A-B783-4364-97DA-8B630B81749E}" name="Debit Penyesuaian" dataDxfId="208" dataCellStyle="Comma"/>
    <tableColumn id="10" xr3:uid="{090238BC-80BE-4284-A96A-157019082B31}" name="Kredit Penyesuaian" dataDxfId="207" dataCellStyle="Comma"/>
    <tableColumn id="11" xr3:uid="{8A20803C-36CE-4FB0-8852-C57B794B438B}" name="Saldo Debit" dataDxfId="206" dataCellStyle="Comma"/>
    <tableColumn id="12" xr3:uid="{CA6A7A37-2C7A-4030-94F7-1695275F7F63}" name="Saldo Kredit" dataDxfId="205" dataCellStyle="Comma"/>
    <tableColumn id="13" xr3:uid="{19CCB535-670E-4DA2-B974-940D5CD4B581}" name="Debit Penutup" dataDxfId="204" dataCellStyle="Comma"/>
    <tableColumn id="14" xr3:uid="{F46E36B2-A0C2-4045-8894-8037789E8E66}" name="Kredit Penutup" dataDxfId="203" dataCellStyle="Comma"/>
    <tableColumn id="15" xr3:uid="{3FDB611D-0045-41A8-A663-90741CE62BF7}" name="Saldo Debit Akhir" dataDxfId="202" dataCellStyle="Comma"/>
    <tableColumn id="16" xr3:uid="{53D03F61-60BC-49A6-A95C-96C152386681}" name="Saldo Kredit Akhir" dataDxfId="201" dataCellStyle="Comm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670BA4-F001-4A99-9EF6-42F83C9775E6}" name="Table2" displayName="Table2" ref="A3:J9" totalsRowShown="0">
  <autoFilter ref="A3:J9" xr:uid="{F2670BA4-F001-4A99-9EF6-42F83C9775E6}"/>
  <tableColumns count="10">
    <tableColumn id="1" xr3:uid="{A45A449A-CF6E-42DA-9560-EBA1F3370F60}" name="Supplier"/>
    <tableColumn id="2" xr3:uid="{B9F3D43E-5064-4485-AB2E-0FD878653675}" name="Opening" dataDxfId="200" dataCellStyle="Comma"/>
    <tableColumn id="3" xr3:uid="{63C12C69-6C75-4D16-9F11-E107E6D0A579}" name="Invoice / Pembelian Kredit" dataDxfId="199" dataCellStyle="Comma"/>
    <tableColumn id="4" xr3:uid="{9C1B7D2E-8D46-405C-AB30-BFB3A3638B88}" name="Retur" dataDxfId="198" dataCellStyle="Comma"/>
    <tableColumn id="5" xr3:uid="{C8E7D2F2-48F8-419D-BF73-DD4BA70D76C2}" name="Pembayaran" dataDxfId="197" dataCellStyle="Comma"/>
    <tableColumn id="6" xr3:uid="{2CA52CB1-0F3A-468F-8740-9307848CE1AB}" name="Diskon" dataDxfId="196" dataCellStyle="Comma"/>
    <tableColumn id="7" xr3:uid="{7BA10874-E7A3-4B52-8055-FD833DEB9685}" name="Saldo Akhir" dataDxfId="195" dataCellStyle="Comma">
      <calculatedColumnFormula>B4+C4-D4-E4-F4</calculatedColumnFormula>
    </tableColumn>
    <tableColumn id="8" xr3:uid="{196C2E59-FDEA-4788-BC65-01C549C836FD}" name="Current 0-30" dataDxfId="194" dataCellStyle="Comma"/>
    <tableColumn id="9" xr3:uid="{3DCB1731-01D3-48B9-8ACD-3C0398A31669}" name="31-60" dataDxfId="193" dataCellStyle="Comma"/>
    <tableColumn id="10" xr3:uid="{CA8C61AE-3C28-435A-97AA-34BE121F6BE9}" name="Dokumen Utam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CD03BE-D860-4570-A970-C7D62111B7F4}" name="Table5" displayName="Table5" ref="A3:L8" totalsRowShown="0" headerRowDxfId="180" dataDxfId="179" headerRowCellStyle="Comma" dataCellStyle="Comma">
  <autoFilter ref="A3:L8" xr:uid="{BFCD03BE-D860-4570-A970-C7D62111B7F4}"/>
  <tableColumns count="12">
    <tableColumn id="1" xr3:uid="{FA42E240-2310-4E72-B93B-395DBFF7EA67}" name="Customer" dataDxfId="192" dataCellStyle="Comma"/>
    <tableColumn id="2" xr3:uid="{7A4A80DB-5831-41DF-A101-8EC075A8264E}" name="Opening" dataDxfId="191" dataCellStyle="Comma"/>
    <tableColumn id="3" xr3:uid="{9C7EF2BF-4A20-4E4B-92C4-4E8DF98B4D42}" name="Invoice Penjualan Kredit" dataDxfId="190" dataCellStyle="Comma"/>
    <tableColumn id="4" xr3:uid="{571AD090-BB2A-4191-BFCB-E30E4ECF21BC}" name="Retur / Rebate" dataDxfId="189" dataCellStyle="Comma"/>
    <tableColumn id="5" xr3:uid="{31EE2816-9C0D-4298-AEDF-20F231B9CDBB}" name="NSF / Pembalikan" dataDxfId="188" dataCellStyle="Comma"/>
    <tableColumn id="6" xr3:uid="{751FA5C7-1BD1-44DB-A818-37150A3C9C0B}" name="Penerimaan" dataDxfId="187" dataCellStyle="Comma"/>
    <tableColumn id="7" xr3:uid="{5E80900E-5DC5-40C0-88EC-9747DBEFE2DE}" name="Diskon" dataDxfId="186" dataCellStyle="Comma"/>
    <tableColumn id="8" xr3:uid="{0B687C79-D232-46A1-B050-15E77C2B5A95}" name="Penghapusan" dataDxfId="185" dataCellStyle="Comma"/>
    <tableColumn id="9" xr3:uid="{69B3F139-7EB7-414F-87BA-7D8B2C715277}" name="Saldo Akhir" dataDxfId="184" dataCellStyle="Comma"/>
    <tableColumn id="10" xr3:uid="{16BF343A-40CA-4ABC-BB58-632CD2DF580B}" name="Current 0-30" dataDxfId="183" dataCellStyle="Comma"/>
    <tableColumn id="11" xr3:uid="{628DFB11-BBCA-4451-9910-E881291FEBF2}" name="31-60" dataDxfId="182" dataCellStyle="Comma"/>
    <tableColumn id="12" xr3:uid="{21FAAE65-82E8-4303-B8E9-31BCD6327994}" name="Dokumen Utama" dataDxfId="181" dataCellStyle="Comm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2E51AE-16D8-4C2E-B213-116A5877F491}" name="Table6" displayName="Table6" ref="A3:J13" totalsRowShown="0" headerRowDxfId="167" dataDxfId="168" headerRowCellStyle="Comma" dataCellStyle="Comma">
  <autoFilter ref="A3:J13" xr:uid="{902E51AE-16D8-4C2E-B213-116A5877F491}"/>
  <tableColumns count="10">
    <tableColumn id="1" xr3:uid="{F1737F59-476D-45B1-BE25-08ECE9D864AA}" name="Tanggal" dataDxfId="178" dataCellStyle="Comma"/>
    <tableColumn id="2" xr3:uid="{445D5ECC-48A8-49E5-9919-FE0E5817F323}" name="SKU" dataDxfId="177" dataCellStyle="Comma"/>
    <tableColumn id="3" xr3:uid="{D893E4E7-9792-40F7-89FC-558775F786CF}" name="Dokumen" dataDxfId="176" dataCellStyle="Comma"/>
    <tableColumn id="4" xr3:uid="{448FF649-E30D-4F92-869E-FFDA610CF74F}" name="Masuk Qty" dataDxfId="175" dataCellStyle="Comma"/>
    <tableColumn id="5" xr3:uid="{643B0B57-1E42-41C6-9761-5864EE6F71F8}" name="Harga Satuan" dataDxfId="174" dataCellStyle="Comma"/>
    <tableColumn id="6" xr3:uid="{0466273E-7F25-480E-935D-10B3122404FA}" name="Masuk Nilai" dataDxfId="173" dataCellStyle="Comma">
      <calculatedColumnFormula>IF(D4="","",D4*E4)</calculatedColumnFormula>
    </tableColumn>
    <tableColumn id="7" xr3:uid="{6D0303F1-5EEF-4F5C-BE02-71A16A45EBD7}" name="Keluar Qty" dataDxfId="172" dataCellStyle="Comma"/>
    <tableColumn id="8" xr3:uid="{BE5B897D-A718-466F-B645-F34B4EACD972}" name="HPP Keluar" dataDxfId="171" dataCellStyle="Comma"/>
    <tableColumn id="9" xr3:uid="{6BED94AA-A00B-4FD3-958F-4D059C3F46F5}" name="Saldo Qty" dataDxfId="170" dataCellStyle="Comma">
      <calculatedColumnFormula>I3+IF(D4="",0,D4)-IF(G4="",0,G4)</calculatedColumnFormula>
    </tableColumn>
    <tableColumn id="10" xr3:uid="{89734CDA-9293-413D-8C6A-9406116AB69F}" name="Saldo Nilai" dataDxfId="169" dataCellStyle="Comma">
      <calculatedColumnFormula>J3+IF(F4="",0,F4)-IF(H4="",0,H4)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15BA50-D7A7-4AF1-BEB9-28189784BAF9}" name="Table7" displayName="Table7" ref="A3:K9" totalsRowShown="0" headerRowDxfId="154" dataDxfId="155" headerRowCellStyle="Comma" dataCellStyle="Comma">
  <autoFilter ref="A3:K9" xr:uid="{0815BA50-D7A7-4AF1-BEB9-28189784BAF9}"/>
  <tableColumns count="11">
    <tableColumn id="1" xr3:uid="{ED26C647-188D-4791-A154-FB2E15D61607}" name="NIK" dataDxfId="166" dataCellStyle="Comma"/>
    <tableColumn id="2" xr3:uid="{60287F9B-48B3-4A7F-A23D-5C43C6BF7906}" name="Nama" dataDxfId="165" dataCellStyle="Comma"/>
    <tableColumn id="3" xr3:uid="{4DA92081-03F4-45FE-862A-599A4E565048}" name="Gaji Pokok" dataDxfId="164" dataCellStyle="Comma"/>
    <tableColumn id="4" xr3:uid="{88CF4441-EDF9-4586-BE9E-EAF3683A2967}" name="Tunjangan/OT" dataDxfId="163" dataCellStyle="Comma"/>
    <tableColumn id="5" xr3:uid="{52B1501C-B54E-4A04-BE7C-7347AEEA2897}" name="Bruto" dataDxfId="162" dataCellStyle="Comma">
      <calculatedColumnFormula>C4+D4</calculatedColumnFormula>
    </tableColumn>
    <tableColumn id="6" xr3:uid="{EB9A202E-A5DB-4239-9404-C6F1C012D79E}" name="PPh21 (Latihan)" dataDxfId="161" dataCellStyle="Comma">
      <calculatedColumnFormula>F4</calculatedColumnFormula>
    </tableColumn>
    <tableColumn id="7" xr3:uid="{AF954225-26C5-47AD-ADF8-6CAF842EACB1}" name="BPJS Pegawai" dataDxfId="160" dataCellStyle="Comma">
      <calculatedColumnFormula>G4</calculatedColumnFormula>
    </tableColumn>
    <tableColumn id="8" xr3:uid="{EA5A7655-336F-4F50-8E96-F6ABA5468603}" name="Take Home Pay" dataDxfId="159" dataCellStyle="Comma">
      <calculatedColumnFormula>E4-F4-G4</calculatedColumnFormula>
    </tableColumn>
    <tableColumn id="9" xr3:uid="{E830CBD2-88DB-4561-B1F8-904243582B52}" name="BPJS Pemberi Kerja" dataDxfId="158" dataCellStyle="Comma">
      <calculatedColumnFormula>E4*8%</calculatedColumnFormula>
    </tableColumn>
    <tableColumn id="10" xr3:uid="{5225288B-F9D9-4204-90CA-2A58E247D9DB}" name="Beban Perusahaan" dataDxfId="157" dataCellStyle="Comma">
      <calculatedColumnFormula>E4+I4</calculatedColumnFormula>
    </tableColumn>
    <tableColumn id="11" xr3:uid="{DF6951B8-7450-4ACA-8D51-433AF6CB39E1}" name="Jurnal Ringkas" dataDxfId="156" dataCellStyle="Comma">
      <calculatedColumnFormula>IF(ROW()=4,"Dr Beban Gaji / Cr PPh21, BPJS, Bank","")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FB130F-8073-4A92-9F22-F1B9941BC9DC}" name="Table8" displayName="Table8" ref="A3:F11" totalsRowShown="0" headerRowDxfId="146" dataDxfId="147" headerRowCellStyle="Comma" dataCellStyle="Comma">
  <autoFilter ref="A3:F11" xr:uid="{F6FB130F-8073-4A92-9F22-F1B9941BC9DC}"/>
  <tableColumns count="6">
    <tableColumn id="1" xr3:uid="{679E68F5-B78F-440C-B4E5-4B231EA18298}" name="Item Rekonsiliasi" dataDxfId="153" dataCellStyle="Comma"/>
    <tableColumn id="2" xr3:uid="{A2FF7C99-C826-4DC0-BF8F-FFA4C48A7DD4}" name="Nilai (Rp)" dataDxfId="152" dataCellStyle="Comma"/>
    <tableColumn id="3" xr3:uid="{0B076FFB-C199-4659-AAF5-50773408BEC0}" name="Tanda" dataDxfId="151" dataCellStyle="Comma"/>
    <tableColumn id="4" xr3:uid="{1D5BEA21-8682-434E-A5C6-5F35EF626B77}" name="Penyesuaian ke saldo" dataDxfId="150" dataCellStyle="Comma"/>
    <tableColumn id="5" xr3:uid="{470C6A0F-8A23-46DD-881B-7D7FA2BA6E84}" name="Sisi" dataDxfId="149" dataCellStyle="Comma"/>
    <tableColumn id="6" xr3:uid="{D1FEC118-345B-49EA-8BAF-7E0316DF3AFF}" name="Keterangan" dataDxfId="148" dataCellStyle="Comm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346ED0-35E6-4424-A873-E70B0ADE9C29}" name="Table9" displayName="Table9" ref="A3:H8" totalsRowShown="0" headerRowDxfId="137" dataDxfId="136" headerRowCellStyle="Comma" dataCellStyle="Comma">
  <autoFilter ref="A3:H8" xr:uid="{79346ED0-35E6-4424-A873-E70B0ADE9C29}"/>
  <tableColumns count="8">
    <tableColumn id="1" xr3:uid="{80DB688F-0FE3-46B4-A580-8C6392E6DBA1}" name="Akun" dataDxfId="145" dataCellStyle="Comma"/>
    <tableColumn id="2" xr3:uid="{E204E84B-590F-4924-B49A-2A6452D489B1}" name="Saldo Subledger" dataDxfId="144" dataCellStyle="Comma"/>
    <tableColumn id="3" xr3:uid="{00A2A334-D528-4B7B-BD9A-209A2C75648D}" name="Saldo GL" dataDxfId="143" dataCellStyle="Comma"/>
    <tableColumn id="4" xr3:uid="{2D80660D-D842-478C-8EB9-A82F2D0EF37D}" name="Selisih" dataDxfId="142" dataCellStyle="Comma">
      <calculatedColumnFormula>C4-B4</calculatedColumnFormula>
    </tableColumn>
    <tableColumn id="5" xr3:uid="{F1911958-109E-45BA-9CB2-FD5EE707E654}" name="Status" dataDxfId="141" dataCellStyle="Comma"/>
    <tableColumn id="6" xr3:uid="{BB791710-3D0D-4A6A-8D12-B67466FC8591}" name="Reconciling Item" dataDxfId="140" dataCellStyle="Comma"/>
    <tableColumn id="7" xr3:uid="{4CE0200B-4FD5-484C-B2EE-8D7DAAA06DA7}" name="Action" dataDxfId="139" dataCellStyle="Comma"/>
    <tableColumn id="8" xr3:uid="{727C3AEB-B281-4102-8AEB-96E3EC024CB9}" name="PIC" dataDxfId="138" dataCellStyle="Comm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177B01C-378A-45E2-B97A-F7A0BA94A507}" name="Table10" displayName="Table10" ref="A3:F92" totalsRowShown="0" headerRowDxfId="129" dataDxfId="128" headerRowCellStyle="Comma" dataCellStyle="Comma">
  <autoFilter ref="A3:F92" xr:uid="{A177B01C-378A-45E2-B97A-F7A0BA94A507}"/>
  <tableColumns count="6">
    <tableColumn id="1" xr3:uid="{B79668BE-810F-495A-821E-C254D646B6E1}" name="Kode Akun" dataDxfId="135" dataCellStyle="Comma"/>
    <tableColumn id="2" xr3:uid="{934FDF80-91C6-469A-A8B4-07E5C16E0B49}" name="Nama Akun" dataDxfId="134" dataCellStyle="Comma"/>
    <tableColumn id="3" xr3:uid="{5729B218-5E04-4EB7-886B-2DDEA0135A6A}" name="Kategori" dataDxfId="133" dataCellStyle="Comma"/>
    <tableColumn id="4" xr3:uid="{4D3662F5-63BE-431A-99D3-AB74D0FD0462}" name="Saldo Normal" dataDxfId="132" dataCellStyle="Comma"/>
    <tableColumn id="5" xr3:uid="{D02CD5C2-026B-4F77-B77C-7A167A0E6665}" name="Debit (Rp)" dataDxfId="131" dataCellStyle="Comma"/>
    <tableColumn id="6" xr3:uid="{FA2E8249-2D1E-4464-A5DB-BA39D817329D}" name="Kredit (Rp)" dataDxfId="130" dataCellStyle="Comm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835BF8-DE63-4C79-A83E-7F9993B474C9}" name="Table11" displayName="Table11" ref="A3:P94" totalsRowShown="0">
  <autoFilter ref="A3:P94" xr:uid="{58835BF8-DE63-4C79-A83E-7F9993B474C9}"/>
  <tableColumns count="16">
    <tableColumn id="1" xr3:uid="{F7165CCF-E62C-47AE-B123-BA0FF66A6C2C}" name="No"/>
    <tableColumn id="2" xr3:uid="{DFDEEDB8-0EAA-4468-B224-7D35351096DA}" name="Tanggal"/>
    <tableColumn id="3" xr3:uid="{64E95103-207C-448C-85C5-31E7AB787774}" name="Tingkat / Jenis"/>
    <tableColumn id="4" xr3:uid="{A21DC0FD-BA76-4853-9EEB-413AB1E8431D}" name="Soal" dataDxfId="127"/>
    <tableColumn id="5" xr3:uid="{D7478DCA-4295-4A80-860B-753C35116A23}" name="Tambahan / Fakta Penting" dataDxfId="126"/>
    <tableColumn id="6" xr3:uid="{0E1960E6-244C-40A3-9B2A-51611180BF3D}" name="Nominal (Rp)"/>
    <tableColumn id="7" xr3:uid="{0DDFF67C-C715-4B08-8129-FE4A1695B9F3}" name="Petunjuk"/>
    <tableColumn id="8" xr3:uid="{F5BF153C-30FD-4F57-B4CB-B9661B1FE8EA}" name="No2"/>
    <tableColumn id="9" xr3:uid="{097F8D81-D7B3-43D8-8AB0-A8BF4CCCA98E}" name="Tanggal2"/>
    <tableColumn id="10" xr3:uid="{78957FD1-E92B-4CB9-9BD0-51843402403A}" name="Akun Jawaban"/>
    <tableColumn id="11" xr3:uid="{743BA9F4-7B00-473F-A00E-87E94AEED90E}" name="Debit Jawaban"/>
    <tableColumn id="12" xr3:uid="{FF867C4A-6FE1-41F8-8B4E-8B00C0F22831}" name="Kredit Jawaban"/>
    <tableColumn id="13" xr3:uid="{DDC50CC5-F0DB-41F1-8530-D6D66E691C68}" name="Cek Akun"/>
    <tableColumn id="14" xr3:uid="{5BA67473-DE2E-43B5-8330-F1D44D6CD8AD}" name="Cek Debit"/>
    <tableColumn id="15" xr3:uid="{C90A74E6-E158-4C4E-A974-354F65136E51}" name="Cek Kredit"/>
    <tableColumn id="16" xr3:uid="{1EF27F4C-0E90-4B56-8803-AEF2C2D2ECC0}" name="Status">
      <calculatedColumnFormula>IF(COUNTA(J4:L4)=0,"Belum diisi",IF(COUNTIF(M4:O4,"OK")=3,"BENAR","PERIKSA"))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345E1FB-7068-4334-A898-232203DB85F5}" name="Table12" displayName="Table12" ref="A3:I64" totalsRowShown="0" headerRowDxfId="116" dataDxfId="115" headerRowCellStyle="Comma" dataCellStyle="Comma">
  <autoFilter ref="A3:I64" xr:uid="{5345E1FB-7068-4334-A898-232203DB85F5}"/>
  <tableColumns count="9">
    <tableColumn id="1" xr3:uid="{08F9AFAF-C436-48B8-A359-BBB64858AA21}" name="No" dataDxfId="125" dataCellStyle="Comma"/>
    <tableColumn id="2" xr3:uid="{BD0AB806-8AE6-4201-9D93-6F923B8A4F74}" name="Tanggal" dataDxfId="124" dataCellStyle="Comma"/>
    <tableColumn id="3" xr3:uid="{8DBB7B1B-BFC4-4142-B0A3-9F3570575037}" name="Tingkat / Jenis" dataDxfId="123" dataCellStyle="Comma"/>
    <tableColumn id="4" xr3:uid="{E3FA00BC-49EC-4F3C-BF49-77411136CCCD}" name="Akun" dataDxfId="122" dataCellStyle="Comma"/>
    <tableColumn id="5" xr3:uid="{EE9C0251-C946-46EA-B2DA-B5278CFDDC7E}" name="Debit (Rp)" dataDxfId="121" dataCellStyle="Comma"/>
    <tableColumn id="6" xr3:uid="{467CCBF1-C7DD-456E-8678-2C2A51CA6E93}" name="Kredit (Rp)" dataDxfId="120" dataCellStyle="Comma"/>
    <tableColumn id="7" xr3:uid="{2E93D600-B5E7-4BBE-801E-5D0976D606F3}" name="Dasar / Formula" dataDxfId="119" dataCellStyle="Comma"/>
    <tableColumn id="8" xr3:uid="{4B8ABA96-B98F-4E01-A6AD-CA06448E9B5C}" name="Tingkat" dataDxfId="118" dataCellStyle="Comma"/>
    <tableColumn id="9" xr3:uid="{7568B85A-84F5-4104-815C-9744F67B2D16}" name="Catatan" dataDxfId="117" dataCellStyle="Comm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DAB16CE-84CD-4D9C-BB9F-304FB2761266}" name="Table13" displayName="Table13" ref="A3:F92" totalsRowShown="0" headerRowDxfId="108" dataDxfId="107" headerRowCellStyle="Comma" dataCellStyle="Comma">
  <autoFilter ref="A3:F92" xr:uid="{1DAB16CE-84CD-4D9C-BB9F-304FB2761266}"/>
  <tableColumns count="6">
    <tableColumn id="1" xr3:uid="{53D0CAD5-BDB6-433D-825D-BEA304E3E7E6}" name="Kode Akun" dataDxfId="114" dataCellStyle="Comma"/>
    <tableColumn id="2" xr3:uid="{0B8CF90E-40C5-4078-9617-321B8E0984C0}" name="Nama Akun" dataDxfId="113" dataCellStyle="Comma"/>
    <tableColumn id="3" xr3:uid="{D195FFEE-91C5-4BB3-BE92-9FD9D6CD87AC}" name="Kategori" dataDxfId="112" dataCellStyle="Comma"/>
    <tableColumn id="4" xr3:uid="{31C15310-2AC9-4505-8E2A-92CA18DF68FA}" name="Saldo Normal" dataDxfId="111" dataCellStyle="Comma"/>
    <tableColumn id="5" xr3:uid="{4D8B363A-DA91-40EC-A055-3991A043E32A}" name="Debit (Rp)" dataDxfId="110" dataCellStyle="Comma"/>
    <tableColumn id="6" xr3:uid="{A94DD960-A6D2-4A65-BA13-B91916810CE3}" name="Kredit (Rp)" dataDxfId="109" dataCellStyle="Comm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EEE324-3A49-4AD5-9CCD-D7866DAEC29A}" name="Table14" displayName="Table14" ref="A2:G82" totalsRowShown="0" headerRowDxfId="99" dataDxfId="98" headerRowCellStyle="Comma" dataCellStyle="Comma">
  <autoFilter ref="A2:G82" xr:uid="{B5EEE324-3A49-4AD5-9CCD-D7866DAEC29A}"/>
  <tableColumns count="7">
    <tableColumn id="1" xr3:uid="{24692411-25F9-4C52-9B80-C21D4B512F16}" name="Column1" dataDxfId="106" dataCellStyle="Comma"/>
    <tableColumn id="2" xr3:uid="{8D2EEE88-1685-4FE7-A95F-6E9C5F37E6BC}" name="Column2" dataDxfId="105" dataCellStyle="Comma"/>
    <tableColumn id="3" xr3:uid="{6EC8480B-968B-4E96-9C5E-7E473E335A76}" name="Column3" dataDxfId="104" dataCellStyle="Comma"/>
    <tableColumn id="4" xr3:uid="{C663E8E4-7615-4422-937A-CFED8AECBCF8}" name="Column4" dataDxfId="103" dataCellStyle="Comma"/>
    <tableColumn id="5" xr3:uid="{3C9A3EE3-0D5E-4270-ABFB-8F664E719FA4}" name="Column5" dataDxfId="102" dataCellStyle="Comma"/>
    <tableColumn id="6" xr3:uid="{BFEFA25A-0212-4CDB-88AB-67F9FE76AFA6}" name="Column6" dataDxfId="101" dataCellStyle="Comma"/>
    <tableColumn id="7" xr3:uid="{39B6E652-B2B0-4E8E-9888-AA529592F0CB}" name="Column7" dataDxfId="100" dataCellStyle="Comm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CD6EB12-1E9C-43AD-B282-48148A3B30C4}" name="Table15" displayName="Table15" ref="A3:F92" totalsRowShown="0" headerRowDxfId="91" dataDxfId="90" headerRowCellStyle="Comma" dataCellStyle="Comma">
  <autoFilter ref="A3:F92" xr:uid="{7CD6EB12-1E9C-43AD-B282-48148A3B30C4}"/>
  <tableColumns count="6">
    <tableColumn id="1" xr3:uid="{4F0B524D-9111-4F01-B353-AB1407449C4E}" name="Kode Akun" dataDxfId="97" dataCellStyle="Comma"/>
    <tableColumn id="2" xr3:uid="{BEE353B9-63BC-4A11-90B3-4B8B5361A1B1}" name="Nama Akun" dataDxfId="96" dataCellStyle="Comma"/>
    <tableColumn id="3" xr3:uid="{58A83052-6E85-4E47-AF8C-1F1D5F4B1806}" name="Kategori" dataDxfId="95" dataCellStyle="Comma"/>
    <tableColumn id="4" xr3:uid="{12218917-EADD-426E-ADEB-A3233980248C}" name="Saldo Normal" dataDxfId="94" dataCellStyle="Comma"/>
    <tableColumn id="5" xr3:uid="{2AD923B6-F9FD-4B67-A463-99305E401FBF}" name="Debit (Rp)" dataDxfId="93" dataCellStyle="Comma"/>
    <tableColumn id="6" xr3:uid="{E46372D4-203A-428B-8FD9-EAF6E1050482}" name="Kredit (Rp)" dataDxfId="92" dataCellStyle="Comm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D95741E-CB33-47FF-BDDD-28D4D6157C20}" name="Table16" displayName="Table16" ref="A4:B45" totalsRowShown="0" headerRowDxfId="87" dataDxfId="86" headerRowCellStyle="Comma" dataCellStyle="Comma">
  <autoFilter ref="A4:B45" xr:uid="{FD95741E-CB33-47FF-BDDD-28D4D6157C20}"/>
  <tableColumns count="2">
    <tableColumn id="1" xr3:uid="{725F0ADE-A041-4660-8551-7F0F3FCB90D4}" name="Keterangan" dataDxfId="89" dataCellStyle="Comma"/>
    <tableColumn id="2" xr3:uid="{608D661C-574F-48A2-97B7-F5A8A380C60B}" name="Jumlah (Rp)" dataDxfId="88" dataCellStyle="Comma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33DD280-4105-46FC-89A5-254C04B5E58F}" name="Table17" displayName="Table17" ref="A4:B9" totalsRowShown="0" headerRowDxfId="83" dataDxfId="82" headerRowCellStyle="Comma" dataCellStyle="Comma">
  <autoFilter ref="A4:B9" xr:uid="{A33DD280-4105-46FC-89A5-254C04B5E58F}"/>
  <tableColumns count="2">
    <tableColumn id="1" xr3:uid="{5D418930-BFE4-4B1C-884D-7E2E1059EF1A}" name="Keterangan" dataDxfId="85" dataCellStyle="Comma"/>
    <tableColumn id="2" xr3:uid="{4B7FDE49-5C3B-45A7-A4AC-1CE03D413F94}" name="Jumlah (Rp)" dataDxfId="84" dataCellStyle="Comma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C5FC84E-76FB-4C00-ABEA-F9CCA03AAABA}" name="Table18" displayName="Table18" ref="A4:E28" totalsRowShown="0" headerRowDxfId="76" dataDxfId="75" headerRowCellStyle="Comma" dataCellStyle="Comma">
  <autoFilter ref="A4:E28" xr:uid="{5C5FC84E-76FB-4C00-ABEA-F9CCA03AAABA}"/>
  <tableColumns count="5">
    <tableColumn id="1" xr3:uid="{83E28878-317C-42FD-A38F-686335F207AD}" name="Column1" dataDxfId="81" dataCellStyle="Comma"/>
    <tableColumn id="2" xr3:uid="{79E294DB-68FF-45DA-97DE-C5D076BF794D}" name="Column2" dataDxfId="80" dataCellStyle="Comma"/>
    <tableColumn id="3" xr3:uid="{112D8342-C2B9-4156-929D-A967AC861B5E}" name="Column3" dataDxfId="79" dataCellStyle="Comma"/>
    <tableColumn id="4" xr3:uid="{20CC6115-687E-4362-B994-F79A89D8F15A}" name="Column4" dataDxfId="78" dataCellStyle="Comma"/>
    <tableColumn id="5" xr3:uid="{3293EBBA-ECE9-413D-8F14-62197E9F64B0}" name="Column5" dataDxfId="77" dataCellStyle="Comma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D4355CC-8E4A-46DD-8CA6-926531B8E3BF}" name="Table19" displayName="Table19" ref="A4:C21" totalsRowShown="0" headerRowDxfId="71" dataDxfId="70" headerRowCellStyle="Comma" dataCellStyle="Comma">
  <autoFilter ref="A4:C21" xr:uid="{4D4355CC-8E4A-46DD-8CA6-926531B8E3BF}"/>
  <tableColumns count="3">
    <tableColumn id="1" xr3:uid="{B64542BF-1622-46E1-903B-6740C617AF0F}" name="Column1" dataDxfId="74" dataCellStyle="Comma"/>
    <tableColumn id="2" xr3:uid="{F95FC822-BE08-4DE6-984F-8F1998004620}" name="Column2" dataDxfId="73" dataCellStyle="Comma"/>
    <tableColumn id="3" xr3:uid="{3B8F4A34-5C7A-4439-A467-3DAF50244409}" name="Column3" dataDxfId="72" dataCellStyle="Comma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BFAC405-F8D2-46FD-857A-4E355A2BD47D}" name="Table20" displayName="Table20" ref="A4:F26" totalsRowShown="0" headerRowDxfId="63" dataDxfId="62" headerRowCellStyle="Comma" dataCellStyle="Comma">
  <autoFilter ref="A4:F26" xr:uid="{9BFAC405-F8D2-46FD-857A-4E355A2BD47D}"/>
  <tableColumns count="6">
    <tableColumn id="1" xr3:uid="{93C26F3A-1E35-41ED-9DD9-724196739657}" name="No" dataDxfId="69" dataCellStyle="Comma"/>
    <tableColumn id="2" xr3:uid="{EA0398A1-FD14-462D-ADDD-702B46C1CEBB}" name="Catatan" dataDxfId="68" dataCellStyle="Comma"/>
    <tableColumn id="3" xr3:uid="{0B7315DD-AAD1-4BDA-89FB-EA63D4C1A37D}" name="Uraian" dataDxfId="67" dataCellStyle="Comma"/>
    <tableColumn id="4" xr3:uid="{94380D41-4661-458C-97A3-5DE4AF26A54A}" name="Nilai / Formula" dataDxfId="66" dataCellStyle="Comma"/>
    <tableColumn id="5" xr3:uid="{B76FE380-3CA3-428B-AB1B-D956A2439C88}" name="Sumber" dataDxfId="65" dataCellStyle="Comma"/>
    <tableColumn id="6" xr3:uid="{4A3304A6-1A3A-4A6D-8F24-0EA94C799D3C}" name="Keterangan" dataDxfId="64" dataCellStyle="Comm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1C1EFE6-96D3-4FF5-8844-E94A97C52C4D}" name="Table23" displayName="Table23" ref="A4:D20" totalsRowShown="0">
  <autoFilter ref="A4:D20" xr:uid="{91C1EFE6-96D3-4FF5-8844-E94A97C52C4D}"/>
  <tableColumns count="4">
    <tableColumn id="1" xr3:uid="{9AFAB13E-86E5-4155-B434-801E595EB3A5}" name="Konsep"/>
    <tableColumn id="2" xr3:uid="{E5BE9A96-CD89-4C6E-A22C-907511B1B037}" name="Rumus / Logika"/>
    <tableColumn id="3" xr3:uid="{9777C0FA-C876-4E66-A86E-94F9F7BF33C5}" name="Contoh Penggunaan"/>
    <tableColumn id="4" xr3:uid="{2FF96F22-9984-4ABE-A491-954433168E01}" name="Catatan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FB93CD2-543F-4401-A800-26C8F454DF0A}" name="Table24" displayName="Table24" ref="A3:J70" totalsRowShown="0" headerRowDxfId="51" dataDxfId="50" headerRowCellStyle="Comma" dataCellStyle="Comma">
  <autoFilter ref="A3:J70" xr:uid="{9FB93CD2-543F-4401-A800-26C8F454DF0A}"/>
  <tableColumns count="10">
    <tableColumn id="1" xr3:uid="{3872665C-2239-4D9E-82D0-63B8C7D3411A}" name="Tanggal" dataDxfId="61" dataCellStyle="Comma"/>
    <tableColumn id="2" xr3:uid="{EFF1A579-C118-4DF1-8071-023966E3AF73}" name="No" dataDxfId="60" dataCellStyle="Comma"/>
    <tableColumn id="3" xr3:uid="{DCDE4444-6B5B-4AA9-8D47-E586CDD14E88}" name="Counterparty" dataDxfId="59" dataCellStyle="Comma"/>
    <tableColumn id="4" xr3:uid="{02E7677A-19B7-4A10-9CD6-70F996552D27}" name="Cash Account" dataDxfId="58" dataCellStyle="Comma"/>
    <tableColumn id="5" xr3:uid="{B9EF6788-4768-413C-A22C-7900ED233826}" name="Kas Masuk" dataDxfId="57" dataCellStyle="Comma"/>
    <tableColumn id="6" xr3:uid="{959106D8-2E5F-48C8-87FD-A197957917F1}" name="Kas Keluar" dataDxfId="56" dataCellStyle="Comma"/>
    <tableColumn id="7" xr3:uid="{0C08481F-431F-467E-871E-84CDC54AE12E}" name="Aktivitas" dataDxfId="55" dataCellStyle="Comma"/>
    <tableColumn id="8" xr3:uid="{EFE443E9-1108-4E8C-9620-2BC22465D0C1}" name="Dokumen" dataDxfId="54" dataCellStyle="Comma"/>
    <tableColumn id="9" xr3:uid="{8572F64F-83C2-44C8-8D75-465876A85D0C}" name="Keterangan" dataDxfId="53" dataCellStyle="Comma"/>
    <tableColumn id="10" xr3:uid="{D6D23033-2B18-4E9C-8B8C-B2C96C4928B6}" name="Catatan" dataDxfId="52" dataCellStyle="Comma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2D9372D-BDB3-4E16-8F22-9078713BB3DC}" name="Table25" displayName="Table25" ref="A3:G92" totalsRowShown="0" headerRowDxfId="41" dataDxfId="42" headerRowCellStyle="Comma" dataCellStyle="Comma">
  <autoFilter ref="A3:G92" xr:uid="{42D9372D-BDB3-4E16-8F22-9078713BB3DC}"/>
  <tableColumns count="7">
    <tableColumn id="1" xr3:uid="{C343E297-5ED5-47F4-A968-84B31FB230ED}" name="Kode Akun" dataDxfId="49" dataCellStyle="Comma"/>
    <tableColumn id="2" xr3:uid="{C20E49AE-4E3C-471F-95D7-71D218196FD1}" name="Nama Akun" dataDxfId="48" dataCellStyle="Comma"/>
    <tableColumn id="3" xr3:uid="{1EB969AB-3F60-4919-A4DF-23FCA416BBB8}" name="Debit Awal (Rp)" dataDxfId="47" dataCellStyle="Comma"/>
    <tableColumn id="4" xr3:uid="{73F7BAD6-F60C-427A-8611-32E2275D0897}" name="Kredit Awal (Rp)" dataDxfId="46" dataCellStyle="Comma"/>
    <tableColumn id="5" xr3:uid="{CC354841-EBDB-46A5-8EB4-8C0B990D2D9F}" name="Sumber" dataDxfId="45" dataCellStyle="Comma"/>
    <tableColumn id="6" xr3:uid="{6CD22682-03E2-4950-A24D-317E30E1B705}" name="Rincian" dataDxfId="44" dataCellStyle="Comma"/>
    <tableColumn id="7" xr3:uid="{94F4610E-3CD3-4745-913C-CE1D0595A098}" name="Check" dataDxfId="43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19" sqref="A19"/>
    </sheetView>
  </sheetViews>
  <sheetFormatPr defaultRowHeight="14.4" x14ac:dyDescent="0.3"/>
  <cols>
    <col min="1" max="1" width="20.44140625" bestFit="1" customWidth="1"/>
    <col min="2" max="2" width="16.5546875" bestFit="1" customWidth="1"/>
    <col min="3" max="3" width="21.21875" customWidth="1"/>
    <col min="4" max="4" width="21.6640625" bestFit="1" customWidth="1"/>
    <col min="6" max="6" width="15.77734375" bestFit="1" customWidth="1"/>
    <col min="7" max="7" width="12.44140625" bestFit="1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4" spans="1:7" x14ac:dyDescent="0.3">
      <c r="A4" s="2" t="s">
        <v>2</v>
      </c>
      <c r="B4" s="2" t="s">
        <v>3</v>
      </c>
      <c r="C4" s="2" t="s">
        <v>4</v>
      </c>
      <c r="D4" s="2" t="s">
        <v>5</v>
      </c>
      <c r="F4" s="2" t="s">
        <v>6</v>
      </c>
      <c r="G4" s="2" t="s">
        <v>7</v>
      </c>
    </row>
    <row r="5" spans="1:7" x14ac:dyDescent="0.3">
      <c r="A5" s="2" t="s">
        <v>8</v>
      </c>
      <c r="B5" s="2" t="s">
        <v>9</v>
      </c>
      <c r="C5" s="2" t="s">
        <v>10</v>
      </c>
      <c r="D5" s="2" t="s">
        <v>11</v>
      </c>
      <c r="F5" s="2" t="s">
        <v>12</v>
      </c>
      <c r="G5" s="2">
        <f>Laba_Rugi!$B$8</f>
        <v>669400000</v>
      </c>
    </row>
    <row r="6" spans="1:7" x14ac:dyDescent="0.3">
      <c r="A6" s="2" t="s">
        <v>13</v>
      </c>
      <c r="B6" s="2" t="s">
        <v>14</v>
      </c>
      <c r="C6" s="2" t="s">
        <v>10</v>
      </c>
      <c r="D6" s="2" t="s">
        <v>15</v>
      </c>
      <c r="F6" s="2" t="s">
        <v>16</v>
      </c>
      <c r="G6" s="2">
        <f>Laba_Rugi!$B$9</f>
        <v>391400000</v>
      </c>
    </row>
    <row r="7" spans="1:7" x14ac:dyDescent="0.3">
      <c r="A7" s="2" t="s">
        <v>17</v>
      </c>
      <c r="B7" s="2" t="s">
        <v>18</v>
      </c>
      <c r="C7" s="2" t="s">
        <v>10</v>
      </c>
      <c r="D7" s="2" t="s">
        <v>17</v>
      </c>
      <c r="F7" s="2" t="s">
        <v>19</v>
      </c>
      <c r="G7" s="2">
        <f>Laba_Rugi!$B$10</f>
        <v>278000000</v>
      </c>
    </row>
    <row r="8" spans="1:7" x14ac:dyDescent="0.3">
      <c r="A8" s="2" t="s">
        <v>20</v>
      </c>
      <c r="B8" s="2" t="s">
        <v>21</v>
      </c>
      <c r="C8" s="2" t="s">
        <v>22</v>
      </c>
      <c r="D8" s="2" t="s">
        <v>23</v>
      </c>
      <c r="F8" s="2" t="s">
        <v>24</v>
      </c>
      <c r="G8" s="2">
        <f>Laba_Rugi!$B$37</f>
        <v>138550000</v>
      </c>
    </row>
    <row r="9" spans="1:7" x14ac:dyDescent="0.3">
      <c r="A9" s="2" t="s">
        <v>25</v>
      </c>
      <c r="B9" s="2">
        <f>Neraca_Saldo!E92</f>
        <v>5752570000</v>
      </c>
      <c r="C9" s="2" t="str">
        <f>IF(ABS(Neraca_Saldo!E92-Neraca_Saldo!F92)&lt;0.01,"BALANCE","PERIKSA")</f>
        <v>BALANCE</v>
      </c>
      <c r="D9" s="2" t="s">
        <v>26</v>
      </c>
      <c r="F9" s="2" t="s">
        <v>27</v>
      </c>
      <c r="G9" s="2">
        <f>Laba_Rugi!$B$38</f>
        <v>139450000</v>
      </c>
    </row>
    <row r="10" spans="1:7" x14ac:dyDescent="0.3">
      <c r="A10" s="2" t="s">
        <v>28</v>
      </c>
      <c r="B10" s="2">
        <f>NS_Setelah_Penyesuaian!E92</f>
        <v>5899864000</v>
      </c>
      <c r="C10" s="2" t="str">
        <f>IF(ABS(NS_Setelah_Penyesuaian!E92-NS_Setelah_Penyesuaian!F92)&lt;0.01,"BALANCE","PERIKSA")</f>
        <v>BALANCE</v>
      </c>
      <c r="D10" s="2" t="s">
        <v>29</v>
      </c>
      <c r="F10" s="2" t="s">
        <v>30</v>
      </c>
      <c r="G10" s="2">
        <f>Laba_Rugi!$B$45</f>
        <v>134800000</v>
      </c>
    </row>
    <row r="11" spans="1:7" x14ac:dyDescent="0.3">
      <c r="A11" s="2" t="s">
        <v>31</v>
      </c>
      <c r="B11" s="2">
        <f>NS_Setelah_Penutupan!E92</f>
        <v>2514400000</v>
      </c>
      <c r="C11" s="2" t="str">
        <f>IF(ABS(NS_Setelah_Penutupan!E92-NS_Setelah_Penutupan!F92)&lt;0.01,"BALANCE","PERIKSA")</f>
        <v>BALANCE</v>
      </c>
      <c r="D11" s="2" t="s">
        <v>32</v>
      </c>
    </row>
    <row r="12" spans="1:7" x14ac:dyDescent="0.3">
      <c r="A12" s="2" t="s">
        <v>33</v>
      </c>
      <c r="B12" s="2" t="str">
        <f>Rekonsiliasi_Bank!B13</f>
        <v>BALANCE</v>
      </c>
      <c r="C12" s="2" t="str">
        <f>B12</f>
        <v>BALANCE</v>
      </c>
      <c r="D12" s="2" t="s">
        <v>34</v>
      </c>
    </row>
    <row r="13" spans="1:7" x14ac:dyDescent="0.3">
      <c r="A13" s="2" t="s">
        <v>35</v>
      </c>
      <c r="B13" s="2">
        <f>Rekap_AP!G11</f>
        <v>148400000</v>
      </c>
      <c r="C13" s="2" t="str">
        <f>Rekonsiliasi_Akun!E4</f>
        <v>TIED</v>
      </c>
      <c r="D13" s="2" t="s">
        <v>36</v>
      </c>
    </row>
    <row r="14" spans="1:7" x14ac:dyDescent="0.3">
      <c r="A14" s="2" t="s">
        <v>37</v>
      </c>
      <c r="B14" s="2">
        <f>Rekap_AR!I8</f>
        <v>116140000</v>
      </c>
      <c r="C14" s="2" t="str">
        <f>Rekonsiliasi_Akun!E5</f>
        <v>TIED</v>
      </c>
      <c r="D14" s="2" t="s">
        <v>38</v>
      </c>
    </row>
    <row r="15" spans="1:7" x14ac:dyDescent="0.3">
      <c r="A15" s="2" t="s">
        <v>30</v>
      </c>
      <c r="B15" s="2">
        <f>Laba_Rugi!$B$45</f>
        <v>134800000</v>
      </c>
      <c r="C15" s="2" t="str">
        <f>IF(B15&gt;=0,"PROFIT","LOSS")</f>
        <v>PROFIT</v>
      </c>
      <c r="D15" s="2" t="s">
        <v>39</v>
      </c>
    </row>
    <row r="16" spans="1:7" x14ac:dyDescent="0.3">
      <c r="A16" t="s">
        <v>40</v>
      </c>
      <c r="B16" s="2">
        <f>Posisi_Keuangan!B28</f>
        <v>2456150000</v>
      </c>
      <c r="C16" s="9" t="str">
        <f>Posisi_Keuangan!E33</f>
        <v>BALANCE</v>
      </c>
      <c r="D16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4" x14ac:dyDescent="0.3"/>
  <sheetData>
    <row r="1" spans="1:2" x14ac:dyDescent="0.3">
      <c r="A1" t="s">
        <v>42</v>
      </c>
    </row>
    <row r="3" spans="1:2" x14ac:dyDescent="0.3">
      <c r="A3" t="s">
        <v>43</v>
      </c>
      <c r="B3" t="s">
        <v>44</v>
      </c>
    </row>
    <row r="4" spans="1:2" x14ac:dyDescent="0.3">
      <c r="A4" t="s">
        <v>45</v>
      </c>
      <c r="B4" t="s">
        <v>46</v>
      </c>
    </row>
    <row r="5" spans="1:2" x14ac:dyDescent="0.3">
      <c r="A5" t="s">
        <v>47</v>
      </c>
      <c r="B5" t="s">
        <v>48</v>
      </c>
    </row>
    <row r="6" spans="1:2" x14ac:dyDescent="0.3">
      <c r="A6" t="s">
        <v>49</v>
      </c>
      <c r="B6" t="s">
        <v>50</v>
      </c>
    </row>
    <row r="7" spans="1:2" x14ac:dyDescent="0.3">
      <c r="A7" t="s">
        <v>51</v>
      </c>
      <c r="B7" t="s">
        <v>52</v>
      </c>
    </row>
    <row r="8" spans="1:2" x14ac:dyDescent="0.3">
      <c r="A8" t="s">
        <v>53</v>
      </c>
      <c r="B8" t="s">
        <v>54</v>
      </c>
    </row>
    <row r="9" spans="1:2" x14ac:dyDescent="0.3">
      <c r="A9" t="s">
        <v>55</v>
      </c>
      <c r="B9" t="s">
        <v>56</v>
      </c>
    </row>
    <row r="10" spans="1:2" x14ac:dyDescent="0.3">
      <c r="A10" t="s">
        <v>57</v>
      </c>
      <c r="B10" t="s">
        <v>58</v>
      </c>
    </row>
    <row r="11" spans="1:2" x14ac:dyDescent="0.3">
      <c r="A11" t="s">
        <v>59</v>
      </c>
      <c r="B11" t="s">
        <v>60</v>
      </c>
    </row>
    <row r="12" spans="1:2" x14ac:dyDescent="0.3">
      <c r="A12" t="s">
        <v>61</v>
      </c>
      <c r="B12" t="s">
        <v>62</v>
      </c>
    </row>
    <row r="13" spans="1:2" x14ac:dyDescent="0.3">
      <c r="A13" t="s">
        <v>63</v>
      </c>
      <c r="B13" t="s">
        <v>64</v>
      </c>
    </row>
    <row r="14" spans="1:2" x14ac:dyDescent="0.3">
      <c r="A14" t="s">
        <v>65</v>
      </c>
      <c r="B14" t="s">
        <v>66</v>
      </c>
    </row>
    <row r="15" spans="1:2" x14ac:dyDescent="0.3">
      <c r="A15" t="s">
        <v>67</v>
      </c>
      <c r="B15" t="s">
        <v>68</v>
      </c>
    </row>
    <row r="16" spans="1:2" x14ac:dyDescent="0.3">
      <c r="A16" t="s">
        <v>69</v>
      </c>
      <c r="B16" t="s">
        <v>70</v>
      </c>
    </row>
    <row r="17" spans="1:2" x14ac:dyDescent="0.3">
      <c r="A17" t="s">
        <v>71</v>
      </c>
      <c r="B17" t="s">
        <v>72</v>
      </c>
    </row>
    <row r="18" spans="1:2" x14ac:dyDescent="0.3">
      <c r="A18" t="s">
        <v>73</v>
      </c>
      <c r="B18" t="s">
        <v>74</v>
      </c>
    </row>
    <row r="19" spans="1:2" x14ac:dyDescent="0.3">
      <c r="A19" t="s">
        <v>75</v>
      </c>
      <c r="B19" t="s">
        <v>76</v>
      </c>
    </row>
    <row r="20" spans="1:2" x14ac:dyDescent="0.3">
      <c r="A20" t="s">
        <v>77</v>
      </c>
      <c r="B20" t="s">
        <v>78</v>
      </c>
    </row>
    <row r="21" spans="1:2" x14ac:dyDescent="0.3">
      <c r="A21" t="s">
        <v>79</v>
      </c>
      <c r="B2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F22" sqref="F22"/>
    </sheetView>
  </sheetViews>
  <sheetFormatPr defaultRowHeight="14.4" x14ac:dyDescent="0.3"/>
  <cols>
    <col min="1" max="1" width="35.6640625" bestFit="1" customWidth="1"/>
    <col min="2" max="2" width="11.44140625" bestFit="1" customWidth="1"/>
    <col min="3" max="3" width="9.109375" bestFit="1" customWidth="1"/>
    <col min="4" max="4" width="15.109375" bestFit="1" customWidth="1"/>
    <col min="5" max="5" width="76.77734375" bestFit="1" customWidth="1"/>
    <col min="6" max="6" width="109.21875" bestFit="1" customWidth="1"/>
  </cols>
  <sheetData>
    <row r="1" spans="1:6" x14ac:dyDescent="0.3">
      <c r="A1" t="s">
        <v>81</v>
      </c>
    </row>
    <row r="3" spans="1:6" x14ac:dyDescent="0.3">
      <c r="A3" t="s">
        <v>82</v>
      </c>
      <c r="B3" t="s">
        <v>3</v>
      </c>
      <c r="C3" t="s">
        <v>83</v>
      </c>
      <c r="D3" t="s">
        <v>4</v>
      </c>
      <c r="E3" t="s">
        <v>84</v>
      </c>
      <c r="F3" t="s">
        <v>5</v>
      </c>
    </row>
    <row r="4" spans="1:6" x14ac:dyDescent="0.3">
      <c r="A4" t="s">
        <v>85</v>
      </c>
      <c r="B4">
        <v>46388</v>
      </c>
      <c r="C4" t="s">
        <v>86</v>
      </c>
      <c r="D4" t="s">
        <v>87</v>
      </c>
      <c r="E4" t="s">
        <v>88</v>
      </c>
      <c r="F4" t="s">
        <v>89</v>
      </c>
    </row>
    <row r="5" spans="1:6" x14ac:dyDescent="0.3">
      <c r="A5" t="s">
        <v>90</v>
      </c>
      <c r="B5">
        <v>46418</v>
      </c>
      <c r="C5" t="s">
        <v>86</v>
      </c>
      <c r="D5" t="s">
        <v>87</v>
      </c>
      <c r="E5" t="s">
        <v>91</v>
      </c>
      <c r="F5" t="s">
        <v>89</v>
      </c>
    </row>
    <row r="6" spans="1:6" x14ac:dyDescent="0.3">
      <c r="A6" t="s">
        <v>92</v>
      </c>
      <c r="B6">
        <v>0.12</v>
      </c>
      <c r="C6" t="s">
        <v>93</v>
      </c>
      <c r="D6" t="s">
        <v>94</v>
      </c>
      <c r="E6" t="s">
        <v>95</v>
      </c>
      <c r="F6" t="s">
        <v>96</v>
      </c>
    </row>
    <row r="7" spans="1:6" x14ac:dyDescent="0.3">
      <c r="A7" t="s">
        <v>97</v>
      </c>
      <c r="B7">
        <v>0.11</v>
      </c>
      <c r="C7" t="s">
        <v>93</v>
      </c>
      <c r="D7" t="s">
        <v>98</v>
      </c>
      <c r="E7" t="s">
        <v>99</v>
      </c>
      <c r="F7" t="s">
        <v>100</v>
      </c>
    </row>
    <row r="8" spans="1:6" x14ac:dyDescent="0.3">
      <c r="A8" t="s">
        <v>101</v>
      </c>
      <c r="B8">
        <v>0.02</v>
      </c>
      <c r="C8" t="s">
        <v>93</v>
      </c>
      <c r="D8" t="s">
        <v>102</v>
      </c>
      <c r="E8" t="s">
        <v>103</v>
      </c>
      <c r="F8" t="s">
        <v>104</v>
      </c>
    </row>
    <row r="9" spans="1:6" x14ac:dyDescent="0.3">
      <c r="A9" t="s">
        <v>105</v>
      </c>
      <c r="B9">
        <v>0.1</v>
      </c>
      <c r="C9" t="s">
        <v>93</v>
      </c>
      <c r="D9" t="s">
        <v>94</v>
      </c>
      <c r="E9" t="s">
        <v>106</v>
      </c>
      <c r="F9" t="s">
        <v>107</v>
      </c>
    </row>
    <row r="10" spans="1:6" x14ac:dyDescent="0.3">
      <c r="A10" t="s">
        <v>108</v>
      </c>
      <c r="B10">
        <v>1.4999999999999999E-2</v>
      </c>
      <c r="C10" t="s">
        <v>93</v>
      </c>
      <c r="D10" t="s">
        <v>102</v>
      </c>
      <c r="E10" t="s">
        <v>109</v>
      </c>
      <c r="F10" t="s">
        <v>110</v>
      </c>
    </row>
    <row r="11" spans="1:6" x14ac:dyDescent="0.3">
      <c r="A11" t="s">
        <v>111</v>
      </c>
      <c r="B11">
        <v>2.5000000000000001E-2</v>
      </c>
      <c r="C11" t="s">
        <v>93</v>
      </c>
      <c r="D11" t="s">
        <v>102</v>
      </c>
      <c r="E11" t="s">
        <v>112</v>
      </c>
      <c r="F11" t="s">
        <v>110</v>
      </c>
    </row>
    <row r="12" spans="1:6" x14ac:dyDescent="0.3">
      <c r="A12" t="s">
        <v>113</v>
      </c>
      <c r="C12" t="s">
        <v>7</v>
      </c>
      <c r="D12" t="s">
        <v>98</v>
      </c>
      <c r="E12" t="s">
        <v>114</v>
      </c>
      <c r="F12" t="s">
        <v>115</v>
      </c>
    </row>
    <row r="13" spans="1:6" x14ac:dyDescent="0.3">
      <c r="A13" t="s">
        <v>116</v>
      </c>
      <c r="B13" t="s">
        <v>117</v>
      </c>
      <c r="C13" t="s">
        <v>118</v>
      </c>
      <c r="D13" t="s">
        <v>87</v>
      </c>
      <c r="E13" t="s">
        <v>119</v>
      </c>
      <c r="F13" t="s">
        <v>89</v>
      </c>
    </row>
    <row r="14" spans="1:6" x14ac:dyDescent="0.3">
      <c r="A14" t="s">
        <v>120</v>
      </c>
      <c r="B14" t="s">
        <v>121</v>
      </c>
      <c r="C14" t="s">
        <v>118</v>
      </c>
      <c r="D14" t="s">
        <v>98</v>
      </c>
      <c r="E14" t="s">
        <v>122</v>
      </c>
      <c r="F14" t="s">
        <v>89</v>
      </c>
    </row>
    <row r="15" spans="1:6" x14ac:dyDescent="0.3">
      <c r="A15" t="s">
        <v>123</v>
      </c>
      <c r="B15" t="s">
        <v>124</v>
      </c>
      <c r="C15" t="s">
        <v>125</v>
      </c>
      <c r="D15" t="s">
        <v>87</v>
      </c>
      <c r="E15" t="s">
        <v>126</v>
      </c>
      <c r="F15" t="s">
        <v>89</v>
      </c>
    </row>
    <row r="16" spans="1:6" x14ac:dyDescent="0.3">
      <c r="A16" t="s">
        <v>127</v>
      </c>
      <c r="B16" t="s">
        <v>128</v>
      </c>
      <c r="C16" t="s">
        <v>129</v>
      </c>
      <c r="D16" t="s">
        <v>87</v>
      </c>
      <c r="E16" t="s">
        <v>130</v>
      </c>
      <c r="F16" t="s">
        <v>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2"/>
  <sheetViews>
    <sheetView topLeftCell="A10" workbookViewId="0">
      <selection activeCell="H13" sqref="H13"/>
    </sheetView>
  </sheetViews>
  <sheetFormatPr defaultRowHeight="14.4" x14ac:dyDescent="0.3"/>
  <cols>
    <col min="1" max="1" width="10.77734375" bestFit="1" customWidth="1"/>
    <col min="2" max="2" width="33.77734375" bestFit="1" customWidth="1"/>
    <col min="3" max="3" width="16.6640625" bestFit="1" customWidth="1"/>
    <col min="4" max="4" width="10.77734375" bestFit="1" customWidth="1"/>
    <col min="5" max="5" width="28.88671875" bestFit="1" customWidth="1"/>
  </cols>
  <sheetData>
    <row r="1" spans="1:5" x14ac:dyDescent="0.3">
      <c r="A1" t="s">
        <v>131</v>
      </c>
    </row>
    <row r="4" spans="1:5" x14ac:dyDescent="0.3">
      <c r="A4" t="s">
        <v>132</v>
      </c>
      <c r="B4" t="s">
        <v>133</v>
      </c>
      <c r="C4" t="s">
        <v>134</v>
      </c>
      <c r="D4" t="s">
        <v>135</v>
      </c>
      <c r="E4" t="s">
        <v>136</v>
      </c>
    </row>
    <row r="5" spans="1:5" x14ac:dyDescent="0.3">
      <c r="A5" t="s">
        <v>137</v>
      </c>
      <c r="B5" t="s">
        <v>138</v>
      </c>
      <c r="C5" t="s">
        <v>139</v>
      </c>
      <c r="D5" t="s">
        <v>140</v>
      </c>
      <c r="E5" t="s">
        <v>141</v>
      </c>
    </row>
    <row r="6" spans="1:5" x14ac:dyDescent="0.3">
      <c r="A6" t="s">
        <v>142</v>
      </c>
      <c r="B6" t="s">
        <v>143</v>
      </c>
      <c r="C6" t="s">
        <v>139</v>
      </c>
      <c r="D6" t="s">
        <v>140</v>
      </c>
      <c r="E6" t="s">
        <v>141</v>
      </c>
    </row>
    <row r="7" spans="1:5" x14ac:dyDescent="0.3">
      <c r="A7" t="s">
        <v>144</v>
      </c>
      <c r="B7" t="s">
        <v>145</v>
      </c>
      <c r="C7" t="s">
        <v>139</v>
      </c>
      <c r="D7" t="s">
        <v>140</v>
      </c>
      <c r="E7" t="s">
        <v>141</v>
      </c>
    </row>
    <row r="8" spans="1:5" x14ac:dyDescent="0.3">
      <c r="A8" t="s">
        <v>146</v>
      </c>
      <c r="B8" t="s">
        <v>147</v>
      </c>
      <c r="C8" t="s">
        <v>139</v>
      </c>
      <c r="D8" t="s">
        <v>140</v>
      </c>
      <c r="E8" t="s">
        <v>141</v>
      </c>
    </row>
    <row r="9" spans="1:5" x14ac:dyDescent="0.3">
      <c r="A9" t="s">
        <v>148</v>
      </c>
      <c r="B9" t="s">
        <v>149</v>
      </c>
      <c r="C9" t="s">
        <v>139</v>
      </c>
      <c r="D9" t="s">
        <v>140</v>
      </c>
      <c r="E9" t="s">
        <v>141</v>
      </c>
    </row>
    <row r="10" spans="1:5" x14ac:dyDescent="0.3">
      <c r="A10" t="s">
        <v>150</v>
      </c>
      <c r="B10" t="s">
        <v>151</v>
      </c>
      <c r="C10" t="s">
        <v>139</v>
      </c>
      <c r="D10" t="s">
        <v>140</v>
      </c>
      <c r="E10" t="s">
        <v>141</v>
      </c>
    </row>
    <row r="11" spans="1:5" x14ac:dyDescent="0.3">
      <c r="A11" t="s">
        <v>152</v>
      </c>
      <c r="B11" t="s">
        <v>153</v>
      </c>
      <c r="C11" t="s">
        <v>139</v>
      </c>
      <c r="D11" t="s">
        <v>140</v>
      </c>
      <c r="E11" t="s">
        <v>141</v>
      </c>
    </row>
    <row r="12" spans="1:5" x14ac:dyDescent="0.3">
      <c r="A12" t="s">
        <v>154</v>
      </c>
      <c r="B12" t="s">
        <v>155</v>
      </c>
      <c r="C12" t="s">
        <v>139</v>
      </c>
      <c r="D12" t="s">
        <v>140</v>
      </c>
      <c r="E12" t="s">
        <v>141</v>
      </c>
    </row>
    <row r="13" spans="1:5" x14ac:dyDescent="0.3">
      <c r="A13" t="s">
        <v>156</v>
      </c>
      <c r="B13" t="s">
        <v>157</v>
      </c>
      <c r="C13" t="s">
        <v>139</v>
      </c>
      <c r="D13" t="s">
        <v>140</v>
      </c>
      <c r="E13" t="s">
        <v>141</v>
      </c>
    </row>
    <row r="14" spans="1:5" x14ac:dyDescent="0.3">
      <c r="A14" t="s">
        <v>158</v>
      </c>
      <c r="B14" t="s">
        <v>159</v>
      </c>
      <c r="C14" t="s">
        <v>139</v>
      </c>
      <c r="D14" t="s">
        <v>140</v>
      </c>
      <c r="E14" t="s">
        <v>141</v>
      </c>
    </row>
    <row r="15" spans="1:5" x14ac:dyDescent="0.3">
      <c r="A15" t="s">
        <v>160</v>
      </c>
      <c r="B15" t="s">
        <v>161</v>
      </c>
      <c r="C15" t="s">
        <v>139</v>
      </c>
      <c r="D15" t="s">
        <v>140</v>
      </c>
      <c r="E15" t="s">
        <v>141</v>
      </c>
    </row>
    <row r="16" spans="1:5" x14ac:dyDescent="0.3">
      <c r="A16" t="s">
        <v>162</v>
      </c>
      <c r="B16" t="s">
        <v>163</v>
      </c>
      <c r="C16" t="s">
        <v>139</v>
      </c>
      <c r="D16" t="s">
        <v>140</v>
      </c>
      <c r="E16" t="s">
        <v>141</v>
      </c>
    </row>
    <row r="17" spans="1:5" x14ac:dyDescent="0.3">
      <c r="A17" t="s">
        <v>164</v>
      </c>
      <c r="B17" t="s">
        <v>165</v>
      </c>
      <c r="C17" t="s">
        <v>139</v>
      </c>
      <c r="D17" t="s">
        <v>140</v>
      </c>
      <c r="E17" t="s">
        <v>141</v>
      </c>
    </row>
    <row r="18" spans="1:5" x14ac:dyDescent="0.3">
      <c r="A18" t="s">
        <v>166</v>
      </c>
      <c r="B18" t="s">
        <v>167</v>
      </c>
      <c r="C18" t="s">
        <v>139</v>
      </c>
      <c r="D18" t="s">
        <v>140</v>
      </c>
      <c r="E18" t="s">
        <v>141</v>
      </c>
    </row>
    <row r="19" spans="1:5" x14ac:dyDescent="0.3">
      <c r="A19" t="s">
        <v>168</v>
      </c>
      <c r="B19" t="s">
        <v>169</v>
      </c>
      <c r="C19" t="s">
        <v>139</v>
      </c>
      <c r="D19" t="s">
        <v>140</v>
      </c>
      <c r="E19" t="s">
        <v>141</v>
      </c>
    </row>
    <row r="20" spans="1:5" x14ac:dyDescent="0.3">
      <c r="A20" t="s">
        <v>170</v>
      </c>
      <c r="B20" t="s">
        <v>171</v>
      </c>
      <c r="C20" t="s">
        <v>139</v>
      </c>
      <c r="D20" t="s">
        <v>140</v>
      </c>
      <c r="E20" t="s">
        <v>141</v>
      </c>
    </row>
    <row r="21" spans="1:5" x14ac:dyDescent="0.3">
      <c r="A21" t="s">
        <v>172</v>
      </c>
      <c r="B21" t="s">
        <v>173</v>
      </c>
      <c r="C21" t="s">
        <v>139</v>
      </c>
      <c r="D21" t="s">
        <v>140</v>
      </c>
      <c r="E21" t="s">
        <v>141</v>
      </c>
    </row>
    <row r="22" spans="1:5" x14ac:dyDescent="0.3">
      <c r="A22" t="s">
        <v>174</v>
      </c>
      <c r="B22" t="s">
        <v>175</v>
      </c>
      <c r="C22" t="s">
        <v>139</v>
      </c>
      <c r="D22" t="s">
        <v>140</v>
      </c>
      <c r="E22" t="s">
        <v>141</v>
      </c>
    </row>
    <row r="23" spans="1:5" x14ac:dyDescent="0.3">
      <c r="A23" t="s">
        <v>176</v>
      </c>
      <c r="B23" t="s">
        <v>177</v>
      </c>
      <c r="C23" t="s">
        <v>139</v>
      </c>
      <c r="D23" t="s">
        <v>140</v>
      </c>
      <c r="E23" t="s">
        <v>178</v>
      </c>
    </row>
    <row r="24" spans="1:5" x14ac:dyDescent="0.3">
      <c r="A24" t="s">
        <v>179</v>
      </c>
      <c r="B24" t="s">
        <v>180</v>
      </c>
      <c r="C24" t="s">
        <v>139</v>
      </c>
      <c r="D24" t="s">
        <v>140</v>
      </c>
      <c r="E24" t="s">
        <v>178</v>
      </c>
    </row>
    <row r="25" spans="1:5" x14ac:dyDescent="0.3">
      <c r="A25" t="s">
        <v>181</v>
      </c>
      <c r="B25" t="s">
        <v>182</v>
      </c>
      <c r="C25" t="s">
        <v>139</v>
      </c>
      <c r="D25" t="s">
        <v>140</v>
      </c>
      <c r="E25" t="s">
        <v>178</v>
      </c>
    </row>
    <row r="26" spans="1:5" x14ac:dyDescent="0.3">
      <c r="A26" t="s">
        <v>183</v>
      </c>
      <c r="B26" t="s">
        <v>184</v>
      </c>
      <c r="C26" t="s">
        <v>139</v>
      </c>
      <c r="D26" t="s">
        <v>140</v>
      </c>
      <c r="E26" t="s">
        <v>178</v>
      </c>
    </row>
    <row r="27" spans="1:5" x14ac:dyDescent="0.3">
      <c r="A27" t="s">
        <v>185</v>
      </c>
      <c r="B27" t="s">
        <v>186</v>
      </c>
      <c r="C27" t="s">
        <v>187</v>
      </c>
      <c r="D27" t="s">
        <v>188</v>
      </c>
      <c r="E27" t="s">
        <v>189</v>
      </c>
    </row>
    <row r="28" spans="1:5" x14ac:dyDescent="0.3">
      <c r="A28" t="s">
        <v>190</v>
      </c>
      <c r="B28" t="s">
        <v>191</v>
      </c>
      <c r="C28" t="s">
        <v>187</v>
      </c>
      <c r="D28" t="s">
        <v>188</v>
      </c>
      <c r="E28" t="s">
        <v>189</v>
      </c>
    </row>
    <row r="29" spans="1:5" x14ac:dyDescent="0.3">
      <c r="A29" t="s">
        <v>192</v>
      </c>
      <c r="B29" t="s">
        <v>193</v>
      </c>
      <c r="C29" t="s">
        <v>187</v>
      </c>
      <c r="D29" t="s">
        <v>188</v>
      </c>
      <c r="E29" t="s">
        <v>189</v>
      </c>
    </row>
    <row r="30" spans="1:5" x14ac:dyDescent="0.3">
      <c r="A30" t="s">
        <v>194</v>
      </c>
      <c r="B30" t="s">
        <v>195</v>
      </c>
      <c r="C30" t="s">
        <v>187</v>
      </c>
      <c r="D30" t="s">
        <v>188</v>
      </c>
      <c r="E30" t="s">
        <v>189</v>
      </c>
    </row>
    <row r="31" spans="1:5" x14ac:dyDescent="0.3">
      <c r="A31" t="s">
        <v>196</v>
      </c>
      <c r="B31" t="s">
        <v>197</v>
      </c>
      <c r="C31" t="s">
        <v>198</v>
      </c>
      <c r="D31" t="s">
        <v>188</v>
      </c>
      <c r="E31" t="s">
        <v>199</v>
      </c>
    </row>
    <row r="32" spans="1:5" x14ac:dyDescent="0.3">
      <c r="A32" t="s">
        <v>200</v>
      </c>
      <c r="B32" t="s">
        <v>201</v>
      </c>
      <c r="C32" t="s">
        <v>198</v>
      </c>
      <c r="D32" t="s">
        <v>188</v>
      </c>
      <c r="E32" t="s">
        <v>199</v>
      </c>
    </row>
    <row r="33" spans="1:5" x14ac:dyDescent="0.3">
      <c r="A33" t="s">
        <v>202</v>
      </c>
      <c r="B33" t="s">
        <v>203</v>
      </c>
      <c r="C33" t="s">
        <v>198</v>
      </c>
      <c r="D33" t="s">
        <v>188</v>
      </c>
      <c r="E33" t="s">
        <v>199</v>
      </c>
    </row>
    <row r="34" spans="1:5" x14ac:dyDescent="0.3">
      <c r="A34" t="s">
        <v>204</v>
      </c>
      <c r="B34" t="s">
        <v>205</v>
      </c>
      <c r="C34" t="s">
        <v>198</v>
      </c>
      <c r="D34" t="s">
        <v>188</v>
      </c>
      <c r="E34" t="s">
        <v>199</v>
      </c>
    </row>
    <row r="35" spans="1:5" x14ac:dyDescent="0.3">
      <c r="A35" t="s">
        <v>206</v>
      </c>
      <c r="B35" t="s">
        <v>207</v>
      </c>
      <c r="C35" t="s">
        <v>198</v>
      </c>
      <c r="D35" t="s">
        <v>188</v>
      </c>
      <c r="E35" t="s">
        <v>199</v>
      </c>
    </row>
    <row r="36" spans="1:5" x14ac:dyDescent="0.3">
      <c r="A36" t="s">
        <v>208</v>
      </c>
      <c r="B36" t="s">
        <v>209</v>
      </c>
      <c r="C36" t="s">
        <v>198</v>
      </c>
      <c r="D36" t="s">
        <v>188</v>
      </c>
      <c r="E36" t="s">
        <v>199</v>
      </c>
    </row>
    <row r="37" spans="1:5" x14ac:dyDescent="0.3">
      <c r="A37" t="s">
        <v>210</v>
      </c>
      <c r="B37" t="s">
        <v>211</v>
      </c>
      <c r="C37" t="s">
        <v>198</v>
      </c>
      <c r="D37" t="s">
        <v>188</v>
      </c>
      <c r="E37" t="s">
        <v>199</v>
      </c>
    </row>
    <row r="38" spans="1:5" x14ac:dyDescent="0.3">
      <c r="A38" t="s">
        <v>212</v>
      </c>
      <c r="B38" t="s">
        <v>213</v>
      </c>
      <c r="C38" t="s">
        <v>198</v>
      </c>
      <c r="D38" t="s">
        <v>188</v>
      </c>
      <c r="E38" t="s">
        <v>199</v>
      </c>
    </row>
    <row r="39" spans="1:5" x14ac:dyDescent="0.3">
      <c r="A39" t="s">
        <v>214</v>
      </c>
      <c r="B39" t="s">
        <v>215</v>
      </c>
      <c r="C39" t="s">
        <v>198</v>
      </c>
      <c r="D39" t="s">
        <v>188</v>
      </c>
      <c r="E39" t="s">
        <v>199</v>
      </c>
    </row>
    <row r="40" spans="1:5" x14ac:dyDescent="0.3">
      <c r="A40" t="s">
        <v>216</v>
      </c>
      <c r="B40" t="s">
        <v>217</v>
      </c>
      <c r="C40" t="s">
        <v>198</v>
      </c>
      <c r="D40" t="s">
        <v>188</v>
      </c>
      <c r="E40" t="s">
        <v>199</v>
      </c>
    </row>
    <row r="41" spans="1:5" x14ac:dyDescent="0.3">
      <c r="A41" t="s">
        <v>218</v>
      </c>
      <c r="B41" t="s">
        <v>219</v>
      </c>
      <c r="C41" t="s">
        <v>198</v>
      </c>
      <c r="D41" t="s">
        <v>188</v>
      </c>
      <c r="E41" t="s">
        <v>199</v>
      </c>
    </row>
    <row r="42" spans="1:5" x14ac:dyDescent="0.3">
      <c r="A42" t="s">
        <v>220</v>
      </c>
      <c r="B42" t="s">
        <v>221</v>
      </c>
      <c r="C42" t="s">
        <v>198</v>
      </c>
      <c r="D42" t="s">
        <v>188</v>
      </c>
      <c r="E42" t="s">
        <v>199</v>
      </c>
    </row>
    <row r="43" spans="1:5" x14ac:dyDescent="0.3">
      <c r="A43" t="s">
        <v>222</v>
      </c>
      <c r="B43" t="s">
        <v>223</v>
      </c>
      <c r="C43" t="s">
        <v>198</v>
      </c>
      <c r="D43" t="s">
        <v>188</v>
      </c>
      <c r="E43" t="s">
        <v>199</v>
      </c>
    </row>
    <row r="44" spans="1:5" x14ac:dyDescent="0.3">
      <c r="A44" t="s">
        <v>224</v>
      </c>
      <c r="B44" t="s">
        <v>225</v>
      </c>
      <c r="C44" t="s">
        <v>198</v>
      </c>
      <c r="D44" t="s">
        <v>188</v>
      </c>
      <c r="E44" t="s">
        <v>199</v>
      </c>
    </row>
    <row r="45" spans="1:5" x14ac:dyDescent="0.3">
      <c r="A45" t="s">
        <v>226</v>
      </c>
      <c r="B45" t="s">
        <v>227</v>
      </c>
      <c r="C45" t="s">
        <v>198</v>
      </c>
      <c r="D45" t="s">
        <v>188</v>
      </c>
      <c r="E45" t="s">
        <v>228</v>
      </c>
    </row>
    <row r="46" spans="1:5" x14ac:dyDescent="0.3">
      <c r="A46" t="s">
        <v>229</v>
      </c>
      <c r="B46" t="s">
        <v>230</v>
      </c>
      <c r="C46" t="s">
        <v>198</v>
      </c>
      <c r="D46" t="s">
        <v>188</v>
      </c>
      <c r="E46" t="s">
        <v>199</v>
      </c>
    </row>
    <row r="47" spans="1:5" x14ac:dyDescent="0.3">
      <c r="A47" t="s">
        <v>231</v>
      </c>
      <c r="B47" t="s">
        <v>232</v>
      </c>
      <c r="C47" t="s">
        <v>198</v>
      </c>
      <c r="D47" t="s">
        <v>188</v>
      </c>
      <c r="E47" t="s">
        <v>199</v>
      </c>
    </row>
    <row r="48" spans="1:5" x14ac:dyDescent="0.3">
      <c r="A48" t="s">
        <v>233</v>
      </c>
      <c r="B48" t="s">
        <v>234</v>
      </c>
      <c r="C48" t="s">
        <v>198</v>
      </c>
      <c r="D48" t="s">
        <v>188</v>
      </c>
      <c r="E48" t="s">
        <v>228</v>
      </c>
    </row>
    <row r="49" spans="1:5" x14ac:dyDescent="0.3">
      <c r="A49" t="s">
        <v>235</v>
      </c>
      <c r="B49" t="s">
        <v>236</v>
      </c>
      <c r="C49" t="s">
        <v>198</v>
      </c>
      <c r="D49" t="s">
        <v>188</v>
      </c>
      <c r="E49" t="s">
        <v>199</v>
      </c>
    </row>
    <row r="50" spans="1:5" x14ac:dyDescent="0.3">
      <c r="A50" t="s">
        <v>237</v>
      </c>
      <c r="B50" t="s">
        <v>238</v>
      </c>
      <c r="C50" t="s">
        <v>239</v>
      </c>
      <c r="D50" t="s">
        <v>188</v>
      </c>
      <c r="E50" t="s">
        <v>240</v>
      </c>
    </row>
    <row r="51" spans="1:5" x14ac:dyDescent="0.3">
      <c r="A51" t="s">
        <v>241</v>
      </c>
      <c r="B51" t="s">
        <v>242</v>
      </c>
      <c r="C51" t="s">
        <v>243</v>
      </c>
      <c r="D51" t="s">
        <v>140</v>
      </c>
      <c r="E51" t="s">
        <v>244</v>
      </c>
    </row>
    <row r="52" spans="1:5" x14ac:dyDescent="0.3">
      <c r="A52" t="s">
        <v>245</v>
      </c>
      <c r="B52" t="s">
        <v>246</v>
      </c>
      <c r="C52" t="s">
        <v>239</v>
      </c>
      <c r="D52" t="s">
        <v>188</v>
      </c>
      <c r="E52" t="s">
        <v>240</v>
      </c>
    </row>
    <row r="53" spans="1:5" x14ac:dyDescent="0.3">
      <c r="A53" t="s">
        <v>247</v>
      </c>
      <c r="B53" t="s">
        <v>248</v>
      </c>
      <c r="C53" t="s">
        <v>249</v>
      </c>
      <c r="D53" t="s">
        <v>188</v>
      </c>
      <c r="E53" t="s">
        <v>250</v>
      </c>
    </row>
    <row r="54" spans="1:5" x14ac:dyDescent="0.3">
      <c r="A54" t="s">
        <v>251</v>
      </c>
      <c r="B54" t="s">
        <v>252</v>
      </c>
      <c r="C54" t="s">
        <v>253</v>
      </c>
      <c r="D54" t="s">
        <v>188</v>
      </c>
      <c r="E54" t="s">
        <v>254</v>
      </c>
    </row>
    <row r="55" spans="1:5" x14ac:dyDescent="0.3">
      <c r="A55" t="s">
        <v>255</v>
      </c>
      <c r="B55" t="s">
        <v>256</v>
      </c>
      <c r="C55" t="s">
        <v>257</v>
      </c>
      <c r="D55" t="s">
        <v>140</v>
      </c>
      <c r="E55" t="s">
        <v>254</v>
      </c>
    </row>
    <row r="56" spans="1:5" x14ac:dyDescent="0.3">
      <c r="A56" t="s">
        <v>258</v>
      </c>
      <c r="B56" t="s">
        <v>259</v>
      </c>
      <c r="C56" t="s">
        <v>257</v>
      </c>
      <c r="D56" t="s">
        <v>140</v>
      </c>
      <c r="E56" t="s">
        <v>254</v>
      </c>
    </row>
    <row r="57" spans="1:5" x14ac:dyDescent="0.3">
      <c r="A57" t="s">
        <v>260</v>
      </c>
      <c r="B57" t="s">
        <v>261</v>
      </c>
      <c r="C57" t="s">
        <v>253</v>
      </c>
      <c r="D57" t="s">
        <v>188</v>
      </c>
      <c r="E57" t="s">
        <v>254</v>
      </c>
    </row>
    <row r="58" spans="1:5" x14ac:dyDescent="0.3">
      <c r="A58" t="s">
        <v>262</v>
      </c>
      <c r="B58" t="s">
        <v>263</v>
      </c>
      <c r="C58" t="s">
        <v>253</v>
      </c>
      <c r="D58" t="s">
        <v>188</v>
      </c>
      <c r="E58" t="s">
        <v>264</v>
      </c>
    </row>
    <row r="59" spans="1:5" x14ac:dyDescent="0.3">
      <c r="A59" t="s">
        <v>265</v>
      </c>
      <c r="B59" t="s">
        <v>266</v>
      </c>
      <c r="C59" t="s">
        <v>253</v>
      </c>
      <c r="D59" t="s">
        <v>188</v>
      </c>
      <c r="E59" t="s">
        <v>264</v>
      </c>
    </row>
    <row r="60" spans="1:5" x14ac:dyDescent="0.3">
      <c r="A60" t="s">
        <v>267</v>
      </c>
      <c r="B60" t="s">
        <v>268</v>
      </c>
      <c r="C60" t="s">
        <v>253</v>
      </c>
      <c r="D60" t="s">
        <v>188</v>
      </c>
      <c r="E60" t="s">
        <v>264</v>
      </c>
    </row>
    <row r="61" spans="1:5" x14ac:dyDescent="0.3">
      <c r="A61" t="s">
        <v>269</v>
      </c>
      <c r="B61" t="s">
        <v>16</v>
      </c>
      <c r="C61" t="s">
        <v>270</v>
      </c>
      <c r="D61" t="s">
        <v>140</v>
      </c>
      <c r="E61" t="s">
        <v>271</v>
      </c>
    </row>
    <row r="62" spans="1:5" x14ac:dyDescent="0.3">
      <c r="A62" t="s">
        <v>272</v>
      </c>
      <c r="B62" t="s">
        <v>273</v>
      </c>
      <c r="C62" t="s">
        <v>274</v>
      </c>
      <c r="D62" t="s">
        <v>140</v>
      </c>
      <c r="E62" t="s">
        <v>275</v>
      </c>
    </row>
    <row r="63" spans="1:5" x14ac:dyDescent="0.3">
      <c r="A63" t="s">
        <v>276</v>
      </c>
      <c r="B63" t="s">
        <v>277</v>
      </c>
      <c r="C63" t="s">
        <v>274</v>
      </c>
      <c r="D63" t="s">
        <v>140</v>
      </c>
      <c r="E63" t="s">
        <v>275</v>
      </c>
    </row>
    <row r="64" spans="1:5" x14ac:dyDescent="0.3">
      <c r="A64" t="s">
        <v>278</v>
      </c>
      <c r="B64" t="s">
        <v>279</v>
      </c>
      <c r="C64" t="s">
        <v>274</v>
      </c>
      <c r="D64" t="s">
        <v>140</v>
      </c>
      <c r="E64" t="s">
        <v>275</v>
      </c>
    </row>
    <row r="65" spans="1:5" x14ac:dyDescent="0.3">
      <c r="A65" t="s">
        <v>280</v>
      </c>
      <c r="B65" t="s">
        <v>281</v>
      </c>
      <c r="C65" t="s">
        <v>274</v>
      </c>
      <c r="D65" t="s">
        <v>140</v>
      </c>
      <c r="E65" t="s">
        <v>275</v>
      </c>
    </row>
    <row r="66" spans="1:5" x14ac:dyDescent="0.3">
      <c r="A66" t="s">
        <v>282</v>
      </c>
      <c r="B66" t="s">
        <v>283</v>
      </c>
      <c r="C66" t="s">
        <v>274</v>
      </c>
      <c r="D66" t="s">
        <v>140</v>
      </c>
      <c r="E66" t="s">
        <v>275</v>
      </c>
    </row>
    <row r="67" spans="1:5" x14ac:dyDescent="0.3">
      <c r="A67" t="s">
        <v>284</v>
      </c>
      <c r="B67" t="s">
        <v>285</v>
      </c>
      <c r="C67" t="s">
        <v>274</v>
      </c>
      <c r="D67" t="s">
        <v>140</v>
      </c>
      <c r="E67" t="s">
        <v>275</v>
      </c>
    </row>
    <row r="68" spans="1:5" x14ac:dyDescent="0.3">
      <c r="A68" t="s">
        <v>286</v>
      </c>
      <c r="B68" t="s">
        <v>287</v>
      </c>
      <c r="C68" t="s">
        <v>274</v>
      </c>
      <c r="D68" t="s">
        <v>140</v>
      </c>
      <c r="E68" t="s">
        <v>275</v>
      </c>
    </row>
    <row r="69" spans="1:5" x14ac:dyDescent="0.3">
      <c r="A69" t="s">
        <v>288</v>
      </c>
      <c r="B69" t="s">
        <v>289</v>
      </c>
      <c r="C69" t="s">
        <v>274</v>
      </c>
      <c r="D69" t="s">
        <v>140</v>
      </c>
      <c r="E69" t="s">
        <v>275</v>
      </c>
    </row>
    <row r="70" spans="1:5" x14ac:dyDescent="0.3">
      <c r="A70" t="s">
        <v>290</v>
      </c>
      <c r="B70" t="s">
        <v>291</v>
      </c>
      <c r="C70" t="s">
        <v>274</v>
      </c>
      <c r="D70" t="s">
        <v>140</v>
      </c>
      <c r="E70" t="s">
        <v>275</v>
      </c>
    </row>
    <row r="71" spans="1:5" x14ac:dyDescent="0.3">
      <c r="A71" t="s">
        <v>292</v>
      </c>
      <c r="B71" t="s">
        <v>293</v>
      </c>
      <c r="C71" t="s">
        <v>274</v>
      </c>
      <c r="D71" t="s">
        <v>140</v>
      </c>
      <c r="E71" t="s">
        <v>275</v>
      </c>
    </row>
    <row r="72" spans="1:5" x14ac:dyDescent="0.3">
      <c r="A72" t="s">
        <v>294</v>
      </c>
      <c r="B72" t="s">
        <v>295</v>
      </c>
      <c r="C72" t="s">
        <v>274</v>
      </c>
      <c r="D72" t="s">
        <v>140</v>
      </c>
      <c r="E72" t="s">
        <v>275</v>
      </c>
    </row>
    <row r="73" spans="1:5" x14ac:dyDescent="0.3">
      <c r="A73" t="s">
        <v>296</v>
      </c>
      <c r="B73" t="s">
        <v>297</v>
      </c>
      <c r="C73" t="s">
        <v>274</v>
      </c>
      <c r="D73" t="s">
        <v>140</v>
      </c>
      <c r="E73" t="s">
        <v>275</v>
      </c>
    </row>
    <row r="74" spans="1:5" x14ac:dyDescent="0.3">
      <c r="A74" t="s">
        <v>298</v>
      </c>
      <c r="B74" t="s">
        <v>299</v>
      </c>
      <c r="C74" t="s">
        <v>274</v>
      </c>
      <c r="D74" t="s">
        <v>140</v>
      </c>
      <c r="E74" t="s">
        <v>275</v>
      </c>
    </row>
    <row r="75" spans="1:5" x14ac:dyDescent="0.3">
      <c r="A75" t="s">
        <v>300</v>
      </c>
      <c r="B75" t="s">
        <v>301</v>
      </c>
      <c r="C75" t="s">
        <v>274</v>
      </c>
      <c r="D75" t="s">
        <v>140</v>
      </c>
      <c r="E75" t="s">
        <v>275</v>
      </c>
    </row>
    <row r="76" spans="1:5" x14ac:dyDescent="0.3">
      <c r="A76" t="s">
        <v>302</v>
      </c>
      <c r="B76" t="s">
        <v>303</v>
      </c>
      <c r="C76" t="s">
        <v>274</v>
      </c>
      <c r="D76" t="s">
        <v>140</v>
      </c>
      <c r="E76" t="s">
        <v>275</v>
      </c>
    </row>
    <row r="77" spans="1:5" x14ac:dyDescent="0.3">
      <c r="A77" t="s">
        <v>304</v>
      </c>
      <c r="B77" t="s">
        <v>305</v>
      </c>
      <c r="C77" t="s">
        <v>274</v>
      </c>
      <c r="D77" t="s">
        <v>140</v>
      </c>
      <c r="E77" t="s">
        <v>275</v>
      </c>
    </row>
    <row r="78" spans="1:5" x14ac:dyDescent="0.3">
      <c r="A78" t="s">
        <v>306</v>
      </c>
      <c r="B78" t="s">
        <v>307</v>
      </c>
      <c r="C78" t="s">
        <v>274</v>
      </c>
      <c r="D78" t="s">
        <v>140</v>
      </c>
      <c r="E78" t="s">
        <v>275</v>
      </c>
    </row>
    <row r="79" spans="1:5" x14ac:dyDescent="0.3">
      <c r="A79" t="s">
        <v>308</v>
      </c>
      <c r="B79" t="s">
        <v>309</v>
      </c>
      <c r="C79" t="s">
        <v>274</v>
      </c>
      <c r="D79" t="s">
        <v>140</v>
      </c>
      <c r="E79" t="s">
        <v>275</v>
      </c>
    </row>
    <row r="80" spans="1:5" x14ac:dyDescent="0.3">
      <c r="A80" t="s">
        <v>310</v>
      </c>
      <c r="B80" t="s">
        <v>311</v>
      </c>
      <c r="C80" t="s">
        <v>274</v>
      </c>
      <c r="D80" t="s">
        <v>140</v>
      </c>
      <c r="E80" t="s">
        <v>275</v>
      </c>
    </row>
    <row r="81" spans="1:5" x14ac:dyDescent="0.3">
      <c r="A81" t="s">
        <v>312</v>
      </c>
      <c r="B81" t="s">
        <v>313</v>
      </c>
      <c r="C81" t="s">
        <v>274</v>
      </c>
      <c r="D81" t="s">
        <v>140</v>
      </c>
      <c r="E81" t="s">
        <v>275</v>
      </c>
    </row>
    <row r="82" spans="1:5" x14ac:dyDescent="0.3">
      <c r="A82" t="s">
        <v>314</v>
      </c>
      <c r="B82" t="s">
        <v>315</v>
      </c>
      <c r="C82" t="s">
        <v>274</v>
      </c>
      <c r="D82" t="s">
        <v>140</v>
      </c>
      <c r="E82" t="s">
        <v>275</v>
      </c>
    </row>
    <row r="83" spans="1:5" x14ac:dyDescent="0.3">
      <c r="A83" t="s">
        <v>316</v>
      </c>
      <c r="B83" t="s">
        <v>317</v>
      </c>
      <c r="C83" t="s">
        <v>274</v>
      </c>
      <c r="D83" t="s">
        <v>140</v>
      </c>
      <c r="E83" t="s">
        <v>275</v>
      </c>
    </row>
    <row r="84" spans="1:5" x14ac:dyDescent="0.3">
      <c r="A84" t="s">
        <v>318</v>
      </c>
      <c r="B84" t="s">
        <v>319</v>
      </c>
      <c r="C84" t="s">
        <v>274</v>
      </c>
      <c r="D84" t="s">
        <v>140</v>
      </c>
      <c r="E84" t="s">
        <v>320</v>
      </c>
    </row>
    <row r="85" spans="1:5" x14ac:dyDescent="0.3">
      <c r="A85" t="s">
        <v>321</v>
      </c>
      <c r="B85" t="s">
        <v>322</v>
      </c>
      <c r="C85" t="s">
        <v>274</v>
      </c>
      <c r="D85" t="s">
        <v>140</v>
      </c>
      <c r="E85" t="s">
        <v>275</v>
      </c>
    </row>
    <row r="86" spans="1:5" x14ac:dyDescent="0.3">
      <c r="A86" t="s">
        <v>323</v>
      </c>
      <c r="B86" t="s">
        <v>324</v>
      </c>
      <c r="C86" t="s">
        <v>274</v>
      </c>
      <c r="D86" t="s">
        <v>140</v>
      </c>
      <c r="E86" t="s">
        <v>275</v>
      </c>
    </row>
    <row r="87" spans="1:5" x14ac:dyDescent="0.3">
      <c r="A87" t="s">
        <v>325</v>
      </c>
      <c r="B87" t="s">
        <v>326</v>
      </c>
      <c r="C87" t="s">
        <v>274</v>
      </c>
      <c r="D87" t="s">
        <v>140</v>
      </c>
      <c r="E87" t="s">
        <v>275</v>
      </c>
    </row>
    <row r="88" spans="1:5" x14ac:dyDescent="0.3">
      <c r="A88" t="s">
        <v>327</v>
      </c>
      <c r="B88" t="s">
        <v>328</v>
      </c>
      <c r="C88" t="s">
        <v>274</v>
      </c>
      <c r="D88" t="s">
        <v>140</v>
      </c>
      <c r="E88" t="s">
        <v>275</v>
      </c>
    </row>
    <row r="89" spans="1:5" x14ac:dyDescent="0.3">
      <c r="A89" t="s">
        <v>329</v>
      </c>
      <c r="B89" t="s">
        <v>330</v>
      </c>
      <c r="C89" t="s">
        <v>274</v>
      </c>
      <c r="D89" t="s">
        <v>140</v>
      </c>
      <c r="E89" t="s">
        <v>331</v>
      </c>
    </row>
    <row r="90" spans="1:5" x14ac:dyDescent="0.3">
      <c r="A90" t="s">
        <v>332</v>
      </c>
      <c r="B90" t="s">
        <v>333</v>
      </c>
      <c r="C90" t="s">
        <v>274</v>
      </c>
      <c r="D90" t="s">
        <v>140</v>
      </c>
      <c r="E90" t="s">
        <v>331</v>
      </c>
    </row>
    <row r="91" spans="1:5" x14ac:dyDescent="0.3">
      <c r="A91" t="s">
        <v>334</v>
      </c>
      <c r="B91" t="s">
        <v>335</v>
      </c>
      <c r="C91" t="s">
        <v>198</v>
      </c>
      <c r="D91" t="s">
        <v>188</v>
      </c>
      <c r="E91" t="s">
        <v>199</v>
      </c>
    </row>
    <row r="92" spans="1:5" x14ac:dyDescent="0.3">
      <c r="A92" t="s">
        <v>336</v>
      </c>
      <c r="B92" t="s">
        <v>337</v>
      </c>
      <c r="C92" t="s">
        <v>198</v>
      </c>
      <c r="D92" t="s">
        <v>188</v>
      </c>
      <c r="E92" t="s">
        <v>199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"/>
  <sheetViews>
    <sheetView workbookViewId="0">
      <selection activeCell="M6" sqref="M6"/>
    </sheetView>
  </sheetViews>
  <sheetFormatPr defaultRowHeight="14.4" x14ac:dyDescent="0.3"/>
  <cols>
    <col min="1" max="1" width="10.77734375" bestFit="1" customWidth="1"/>
    <col min="2" max="2" width="24.109375" customWidth="1"/>
    <col min="3" max="3" width="10.77734375" bestFit="1" customWidth="1"/>
    <col min="4" max="4" width="12.88671875" bestFit="1" customWidth="1"/>
    <col min="5" max="5" width="14" bestFit="1" customWidth="1"/>
    <col min="6" max="6" width="10.88671875" bestFit="1" customWidth="1"/>
    <col min="7" max="7" width="21.33203125" bestFit="1" customWidth="1"/>
    <col min="8" max="8" width="15.21875" bestFit="1" customWidth="1"/>
    <col min="9" max="9" width="10.77734375" bestFit="1" customWidth="1"/>
    <col min="10" max="10" width="11.77734375" bestFit="1" customWidth="1"/>
    <col min="11" max="11" width="20.109375" bestFit="1" customWidth="1"/>
  </cols>
  <sheetData>
    <row r="1" spans="1:11" x14ac:dyDescent="0.3">
      <c r="A1" t="s">
        <v>338</v>
      </c>
    </row>
    <row r="4" spans="1:11" x14ac:dyDescent="0.3">
      <c r="A4" s="10" t="s">
        <v>339</v>
      </c>
      <c r="B4" s="11" t="s">
        <v>340</v>
      </c>
      <c r="C4" s="11" t="s">
        <v>341</v>
      </c>
      <c r="D4" s="11" t="s">
        <v>342</v>
      </c>
      <c r="E4" s="11" t="s">
        <v>343</v>
      </c>
      <c r="F4" s="11" t="s">
        <v>1496</v>
      </c>
      <c r="G4" s="11" t="s">
        <v>344</v>
      </c>
      <c r="H4" s="11" t="s">
        <v>345</v>
      </c>
      <c r="I4" s="11" t="s">
        <v>346</v>
      </c>
      <c r="J4" s="11" t="s">
        <v>347</v>
      </c>
      <c r="K4" s="12" t="s">
        <v>348</v>
      </c>
    </row>
    <row r="5" spans="1:11" x14ac:dyDescent="0.3">
      <c r="A5" s="13" t="s">
        <v>349</v>
      </c>
      <c r="B5" s="13" t="s">
        <v>350</v>
      </c>
      <c r="C5" s="13" t="s">
        <v>351</v>
      </c>
      <c r="D5" s="13" t="s">
        <v>352</v>
      </c>
      <c r="E5" s="13" t="s">
        <v>353</v>
      </c>
      <c r="F5" s="13"/>
      <c r="G5" s="13" t="s">
        <v>354</v>
      </c>
      <c r="H5" s="13" t="s">
        <v>355</v>
      </c>
      <c r="I5" s="13">
        <v>300000000</v>
      </c>
      <c r="J5" s="13" t="s">
        <v>351</v>
      </c>
      <c r="K5" s="13" t="s">
        <v>356</v>
      </c>
    </row>
    <row r="6" spans="1:11" x14ac:dyDescent="0.3">
      <c r="A6" s="13" t="s">
        <v>357</v>
      </c>
      <c r="B6" s="13" t="s">
        <v>358</v>
      </c>
      <c r="C6" s="13" t="s">
        <v>359</v>
      </c>
      <c r="D6" s="13" t="s">
        <v>352</v>
      </c>
      <c r="E6" s="13" t="s">
        <v>360</v>
      </c>
      <c r="F6" s="13"/>
      <c r="G6" s="13" t="s">
        <v>361</v>
      </c>
      <c r="H6" s="13" t="s">
        <v>362</v>
      </c>
      <c r="I6" s="13">
        <v>100000000</v>
      </c>
      <c r="J6" s="13" t="s">
        <v>363</v>
      </c>
      <c r="K6" s="13" t="s">
        <v>364</v>
      </c>
    </row>
    <row r="7" spans="1:11" x14ac:dyDescent="0.3">
      <c r="A7" s="13" t="s">
        <v>365</v>
      </c>
      <c r="B7" s="13" t="s">
        <v>366</v>
      </c>
      <c r="C7" s="13" t="s">
        <v>351</v>
      </c>
      <c r="D7" s="13" t="s">
        <v>367</v>
      </c>
      <c r="E7" s="13" t="s">
        <v>368</v>
      </c>
      <c r="F7" s="13"/>
      <c r="G7" s="13" t="s">
        <v>369</v>
      </c>
      <c r="H7" s="13" t="s">
        <v>370</v>
      </c>
      <c r="I7" s="13">
        <v>350000000</v>
      </c>
      <c r="J7" s="13" t="s">
        <v>371</v>
      </c>
      <c r="K7" s="13" t="s">
        <v>372</v>
      </c>
    </row>
    <row r="8" spans="1:11" x14ac:dyDescent="0.3">
      <c r="A8" s="13" t="s">
        <v>373</v>
      </c>
      <c r="B8" s="13" t="s">
        <v>374</v>
      </c>
      <c r="C8" s="13" t="s">
        <v>351</v>
      </c>
      <c r="D8" s="13" t="s">
        <v>367</v>
      </c>
      <c r="E8" s="13" t="s">
        <v>375</v>
      </c>
      <c r="F8" s="13"/>
      <c r="G8" s="13" t="s">
        <v>376</v>
      </c>
      <c r="H8" s="13" t="s">
        <v>377</v>
      </c>
      <c r="I8" s="13">
        <v>100000000</v>
      </c>
      <c r="J8" s="13" t="s">
        <v>359</v>
      </c>
      <c r="K8" s="13" t="s">
        <v>378</v>
      </c>
    </row>
    <row r="9" spans="1:11" x14ac:dyDescent="0.3">
      <c r="A9" s="13" t="s">
        <v>379</v>
      </c>
      <c r="B9" s="13" t="s">
        <v>380</v>
      </c>
      <c r="C9" s="13" t="s">
        <v>351</v>
      </c>
      <c r="D9" s="13" t="s">
        <v>381</v>
      </c>
      <c r="E9" s="13" t="s">
        <v>382</v>
      </c>
      <c r="F9" s="13"/>
      <c r="G9" s="13" t="s">
        <v>383</v>
      </c>
      <c r="H9" s="13" t="s">
        <v>384</v>
      </c>
      <c r="I9" s="13">
        <v>150000000</v>
      </c>
      <c r="J9" s="13" t="s">
        <v>351</v>
      </c>
      <c r="K9" s="13" t="s">
        <v>385</v>
      </c>
    </row>
    <row r="10" spans="1:11" x14ac:dyDescent="0.3">
      <c r="A10" s="13" t="s">
        <v>386</v>
      </c>
      <c r="B10" s="13" t="s">
        <v>387</v>
      </c>
      <c r="C10" s="13" t="s">
        <v>388</v>
      </c>
      <c r="D10" s="13" t="s">
        <v>389</v>
      </c>
      <c r="E10" s="13" t="s">
        <v>390</v>
      </c>
      <c r="F10" s="13"/>
      <c r="G10" s="13" t="s">
        <v>391</v>
      </c>
      <c r="H10" s="13" t="s">
        <v>392</v>
      </c>
      <c r="I10" s="13">
        <v>100000000</v>
      </c>
      <c r="J10" s="13" t="s">
        <v>393</v>
      </c>
      <c r="K10" s="13" t="s">
        <v>394</v>
      </c>
    </row>
    <row r="11" spans="1:11" x14ac:dyDescent="0.3">
      <c r="A11" s="13" t="s">
        <v>395</v>
      </c>
      <c r="B11" s="13" t="s">
        <v>396</v>
      </c>
      <c r="C11" s="13" t="s">
        <v>359</v>
      </c>
      <c r="D11" s="13" t="s">
        <v>352</v>
      </c>
      <c r="E11" s="13" t="s">
        <v>397</v>
      </c>
      <c r="F11" s="13"/>
      <c r="G11" s="13" t="s">
        <v>398</v>
      </c>
      <c r="H11" s="13" t="s">
        <v>399</v>
      </c>
      <c r="I11" s="13">
        <v>100000000</v>
      </c>
      <c r="J11" s="13" t="s">
        <v>351</v>
      </c>
      <c r="K11" s="13" t="s">
        <v>400</v>
      </c>
    </row>
    <row r="12" spans="1:11" x14ac:dyDescent="0.3">
      <c r="A12" s="13" t="s">
        <v>401</v>
      </c>
      <c r="B12" s="13" t="s">
        <v>402</v>
      </c>
      <c r="C12" s="13" t="s">
        <v>351</v>
      </c>
      <c r="D12" s="13" t="s">
        <v>169</v>
      </c>
      <c r="E12" s="13" t="s">
        <v>403</v>
      </c>
      <c r="F12" s="13"/>
      <c r="G12" s="13" t="s">
        <v>404</v>
      </c>
      <c r="H12" s="13" t="s">
        <v>405</v>
      </c>
      <c r="I12" s="13">
        <v>100000000</v>
      </c>
      <c r="J12" s="13" t="s">
        <v>351</v>
      </c>
      <c r="K12" s="13" t="s">
        <v>406</v>
      </c>
    </row>
    <row r="13" spans="1:11" x14ac:dyDescent="0.3">
      <c r="A13" s="13" t="s">
        <v>407</v>
      </c>
      <c r="B13" s="13" t="s">
        <v>408</v>
      </c>
      <c r="C13" s="13" t="s">
        <v>409</v>
      </c>
      <c r="D13" s="13" t="s">
        <v>410</v>
      </c>
      <c r="E13" s="13" t="s">
        <v>411</v>
      </c>
      <c r="F13" s="13"/>
      <c r="G13" s="13"/>
      <c r="H13" s="13"/>
      <c r="I13" s="13"/>
      <c r="J13" s="13"/>
      <c r="K13" s="13"/>
    </row>
    <row r="14" spans="1:11" x14ac:dyDescent="0.3">
      <c r="A14" s="13" t="s">
        <v>412</v>
      </c>
      <c r="B14" s="13" t="s">
        <v>413</v>
      </c>
      <c r="C14" s="13" t="s">
        <v>359</v>
      </c>
      <c r="D14" s="13" t="s">
        <v>414</v>
      </c>
      <c r="E14" s="13" t="s">
        <v>415</v>
      </c>
      <c r="F14" s="13"/>
      <c r="G14" s="13"/>
      <c r="H14" s="13"/>
      <c r="I14" s="13"/>
      <c r="J14" s="13"/>
      <c r="K14" s="13"/>
    </row>
    <row r="15" spans="1:11" x14ac:dyDescent="0.3">
      <c r="A15" s="13" t="s">
        <v>416</v>
      </c>
      <c r="B15" s="13" t="s">
        <v>417</v>
      </c>
      <c r="C15" s="13" t="s">
        <v>359</v>
      </c>
      <c r="D15" s="13" t="s">
        <v>418</v>
      </c>
      <c r="E15" s="13" t="s">
        <v>415</v>
      </c>
      <c r="F15" s="13"/>
      <c r="G15" s="13"/>
      <c r="H15" s="13"/>
      <c r="I15" s="13"/>
      <c r="J15" s="13"/>
      <c r="K15" s="13"/>
    </row>
    <row r="17" spans="1:7" x14ac:dyDescent="0.3">
      <c r="A17" t="s">
        <v>419</v>
      </c>
      <c r="B17" t="s">
        <v>420</v>
      </c>
      <c r="C17" t="s">
        <v>421</v>
      </c>
      <c r="D17" t="s">
        <v>422</v>
      </c>
      <c r="E17" t="s">
        <v>423</v>
      </c>
      <c r="F17" t="s">
        <v>424</v>
      </c>
      <c r="G17" t="s">
        <v>425</v>
      </c>
    </row>
    <row r="18" spans="1:7" x14ac:dyDescent="0.3">
      <c r="A18" s="2" t="s">
        <v>426</v>
      </c>
      <c r="B18" s="2" t="s">
        <v>427</v>
      </c>
      <c r="C18" s="2" t="s">
        <v>428</v>
      </c>
      <c r="D18" s="2">
        <v>2500000</v>
      </c>
      <c r="E18" s="2">
        <v>4000000</v>
      </c>
      <c r="F18" s="2">
        <v>10</v>
      </c>
      <c r="G18" s="2" t="s">
        <v>429</v>
      </c>
    </row>
    <row r="19" spans="1:7" x14ac:dyDescent="0.3">
      <c r="A19" s="2" t="s">
        <v>430</v>
      </c>
      <c r="B19" s="2" t="s">
        <v>431</v>
      </c>
      <c r="C19" s="2" t="s">
        <v>428</v>
      </c>
      <c r="D19" s="2">
        <v>7000000</v>
      </c>
      <c r="E19" s="2">
        <v>10000000</v>
      </c>
      <c r="F19" s="2">
        <v>5</v>
      </c>
      <c r="G19" s="2" t="s">
        <v>432</v>
      </c>
    </row>
    <row r="20" spans="1:7" x14ac:dyDescent="0.3">
      <c r="A20" s="2" t="s">
        <v>433</v>
      </c>
      <c r="B20" s="2" t="s">
        <v>434</v>
      </c>
      <c r="C20" s="2" t="s">
        <v>435</v>
      </c>
      <c r="D20" s="2">
        <v>45000</v>
      </c>
      <c r="E20" s="2">
        <v>75000</v>
      </c>
      <c r="F20" s="2">
        <v>100</v>
      </c>
      <c r="G20" s="2" t="s">
        <v>436</v>
      </c>
    </row>
    <row r="21" spans="1:7" x14ac:dyDescent="0.3">
      <c r="A21" s="2" t="s">
        <v>437</v>
      </c>
      <c r="B21" s="2" t="s">
        <v>438</v>
      </c>
      <c r="C21" s="2" t="s">
        <v>428</v>
      </c>
      <c r="D21" s="2">
        <v>1500000</v>
      </c>
      <c r="E21" s="2">
        <v>2400000</v>
      </c>
      <c r="F21" s="2">
        <v>20</v>
      </c>
      <c r="G21" s="2" t="s">
        <v>439</v>
      </c>
    </row>
    <row r="22" spans="1:7" x14ac:dyDescent="0.3">
      <c r="A22" s="2" t="s">
        <v>440</v>
      </c>
      <c r="B22" s="2" t="s">
        <v>441</v>
      </c>
      <c r="C22" s="2" t="s">
        <v>428</v>
      </c>
      <c r="D22" s="2">
        <v>1800000</v>
      </c>
      <c r="E22" s="2">
        <v>3000000</v>
      </c>
      <c r="F22" s="2">
        <v>10</v>
      </c>
      <c r="G22" s="2" t="s">
        <v>442</v>
      </c>
    </row>
    <row r="23" spans="1:7" x14ac:dyDescent="0.3">
      <c r="A23" s="2" t="s">
        <v>443</v>
      </c>
      <c r="B23" s="2" t="s">
        <v>444</v>
      </c>
      <c r="C23" s="2" t="s">
        <v>428</v>
      </c>
      <c r="D23" s="2">
        <v>350000</v>
      </c>
      <c r="E23" s="2">
        <v>600000</v>
      </c>
      <c r="F23" s="2">
        <v>25</v>
      </c>
      <c r="G23" s="2" t="s">
        <v>445</v>
      </c>
    </row>
    <row r="24" spans="1:7" x14ac:dyDescent="0.3">
      <c r="A24" s="2" t="s">
        <v>446</v>
      </c>
      <c r="B24" s="2" t="s">
        <v>447</v>
      </c>
      <c r="C24" s="2" t="s">
        <v>428</v>
      </c>
      <c r="D24" s="2">
        <v>200000</v>
      </c>
      <c r="E24" s="2">
        <v>350000</v>
      </c>
      <c r="F24" s="2">
        <v>25</v>
      </c>
      <c r="G24" s="2" t="s">
        <v>445</v>
      </c>
    </row>
    <row r="25" spans="1:7" x14ac:dyDescent="0.3">
      <c r="A25" s="2" t="s">
        <v>448</v>
      </c>
      <c r="B25" s="2" t="s">
        <v>449</v>
      </c>
      <c r="C25" s="2" t="s">
        <v>428</v>
      </c>
      <c r="D25" s="2">
        <v>900000</v>
      </c>
      <c r="E25" s="2">
        <v>1500000</v>
      </c>
      <c r="F25" s="2">
        <v>15</v>
      </c>
      <c r="G25" s="2" t="s">
        <v>450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O233"/>
  <sheetViews>
    <sheetView topLeftCell="E43" workbookViewId="0">
      <selection activeCell="R4" sqref="R4"/>
    </sheetView>
  </sheetViews>
  <sheetFormatPr defaultRowHeight="14.4" x14ac:dyDescent="0.3"/>
  <cols>
    <col min="1" max="1" width="5.33203125" customWidth="1"/>
    <col min="2" max="2" width="9.44140625" customWidth="1"/>
    <col min="3" max="3" width="21.33203125" style="1" customWidth="1"/>
    <col min="4" max="4" width="36.21875" style="1" customWidth="1"/>
    <col min="5" max="5" width="25.6640625" style="1" customWidth="1"/>
    <col min="6" max="6" width="14" style="2" customWidth="1"/>
    <col min="7" max="7" width="25.109375" style="1" customWidth="1"/>
    <col min="8" max="8" width="7.5546875" style="3" customWidth="1"/>
    <col min="9" max="9" width="10.44140625" style="3" customWidth="1"/>
    <col min="10" max="10" width="25.33203125" customWidth="1"/>
    <col min="11" max="11" width="15.109375" style="2" customWidth="1"/>
    <col min="12" max="12" width="15.6640625" style="2" customWidth="1"/>
    <col min="13" max="14" width="10.88671875" customWidth="1"/>
    <col min="15" max="15" width="13.44140625" customWidth="1"/>
  </cols>
  <sheetData>
    <row r="1" spans="1:15" x14ac:dyDescent="0.3">
      <c r="A1" t="s">
        <v>451</v>
      </c>
    </row>
    <row r="2" spans="1:15" x14ac:dyDescent="0.3">
      <c r="A2" t="s">
        <v>452</v>
      </c>
    </row>
    <row r="3" spans="1:15" x14ac:dyDescent="0.3">
      <c r="A3" t="s">
        <v>453</v>
      </c>
      <c r="B3" t="s">
        <v>454</v>
      </c>
      <c r="C3" s="1" t="s">
        <v>455</v>
      </c>
      <c r="D3" s="1" t="s">
        <v>456</v>
      </c>
      <c r="E3" s="1" t="s">
        <v>457</v>
      </c>
      <c r="F3" s="2" t="s">
        <v>458</v>
      </c>
      <c r="G3" s="1" t="s">
        <v>459</v>
      </c>
      <c r="H3" s="3" t="s">
        <v>460</v>
      </c>
      <c r="I3" s="3" t="s">
        <v>461</v>
      </c>
      <c r="J3" t="s">
        <v>462</v>
      </c>
      <c r="K3" s="2" t="s">
        <v>463</v>
      </c>
      <c r="L3" s="2" t="s">
        <v>464</v>
      </c>
      <c r="M3" t="s">
        <v>465</v>
      </c>
      <c r="N3" t="s">
        <v>466</v>
      </c>
      <c r="O3" t="s">
        <v>467</v>
      </c>
    </row>
    <row r="4" spans="1:15" ht="43.2" x14ac:dyDescent="0.3">
      <c r="A4">
        <v>1</v>
      </c>
      <c r="B4">
        <v>46388</v>
      </c>
      <c r="C4" s="1" t="s">
        <v>468</v>
      </c>
      <c r="D4" s="1" t="s">
        <v>469</v>
      </c>
      <c r="E4" s="1" t="s">
        <v>470</v>
      </c>
      <c r="F4" s="2">
        <v>1500000000</v>
      </c>
      <c r="G4" s="1" t="s">
        <v>471</v>
      </c>
      <c r="H4" s="3">
        <v>1</v>
      </c>
      <c r="I4" s="3">
        <v>46388</v>
      </c>
      <c r="J4" s="6" t="s">
        <v>1447</v>
      </c>
      <c r="K4" s="2">
        <v>1500000000</v>
      </c>
      <c r="L4" s="4">
        <v>0</v>
      </c>
      <c r="M4" t="str">
        <f>IF(Table3[[#This Row],[Akun Jawaban]]="","",IF(Table3[[#This Row],[Akun Jawaban]]=Table4[[#This Row],[Akun]],"Benar","salah"))</f>
        <v>Benar</v>
      </c>
      <c r="N4" t="str">
        <f>IF(Table3[[#This Row],[Debit Jawaban]]="","",IF(Table3[[#This Row],[Debit Jawaban]]=Table4[[#This Row],[Debit (Rp)]],"Benar","salah"))</f>
        <v>Benar</v>
      </c>
      <c r="O4" t="str">
        <f>IF(Table3[[#This Row],[Kredit Jawaban]]="","",IF(Table3[[#This Row],[Kredit Jawaban]]=Table4[[#This Row],[Kredit (Rp)]],"Benar","salah"))</f>
        <v>Benar</v>
      </c>
    </row>
    <row r="5" spans="1:15" ht="28.8" x14ac:dyDescent="0.3">
      <c r="G5" s="1" t="s">
        <v>471</v>
      </c>
      <c r="H5" s="3">
        <v>1</v>
      </c>
      <c r="I5" s="3">
        <v>46388</v>
      </c>
      <c r="J5" s="6" t="s">
        <v>1448</v>
      </c>
      <c r="K5" s="2">
        <v>0</v>
      </c>
      <c r="L5" s="2">
        <v>1500000000</v>
      </c>
      <c r="M5" t="str">
        <f>IF(Table3[[#This Row],[Akun Jawaban]]="","",IF(Table3[[#This Row],[Akun Jawaban]]=Table4[[#This Row],[Akun]],"Benar","salah"))</f>
        <v>Benar</v>
      </c>
      <c r="N5" t="str">
        <f>IF(Table3[[#This Row],[Debit Jawaban]]="","",IF(Table3[[#This Row],[Debit Jawaban]]=Table4[[#This Row],[Debit (Rp)]],"Benar","salah"))</f>
        <v>Benar</v>
      </c>
      <c r="O5" t="str">
        <f>IF(Table3[[#This Row],[Kredit Jawaban]]="","",IF(Table3[[#This Row],[Kredit Jawaban]]=Table4[[#This Row],[Kredit (Rp)]],"Benar","salah"))</f>
        <v>Benar</v>
      </c>
    </row>
    <row r="6" spans="1:15" ht="28.8" x14ac:dyDescent="0.3">
      <c r="A6">
        <v>2</v>
      </c>
      <c r="B6">
        <v>46388</v>
      </c>
      <c r="C6" s="1" t="s">
        <v>472</v>
      </c>
      <c r="D6" s="1" t="s">
        <v>473</v>
      </c>
      <c r="E6" s="1" t="s">
        <v>474</v>
      </c>
      <c r="F6" s="2">
        <v>20000000</v>
      </c>
      <c r="G6" s="1" t="s">
        <v>475</v>
      </c>
      <c r="H6" s="3">
        <v>2</v>
      </c>
      <c r="I6" s="3">
        <v>46388</v>
      </c>
      <c r="J6" s="6" t="s">
        <v>1449</v>
      </c>
      <c r="K6" s="5">
        <v>20000000</v>
      </c>
      <c r="M6" t="str">
        <f>IF(Table3[[#This Row],[Akun Jawaban]]="","",IF(Table3[[#This Row],[Akun Jawaban]]=Table4[[#This Row],[Akun]],"Benar","salah"))</f>
        <v>Benar</v>
      </c>
      <c r="N6" t="str">
        <f>IF(Table3[[#This Row],[Debit Jawaban]]="","",IF(Table3[[#This Row],[Debit Jawaban]]=Table4[[#This Row],[Debit (Rp)]],"Benar","salah"))</f>
        <v>Benar</v>
      </c>
      <c r="O6" t="str">
        <f>IF(Table3[[#This Row],[Kredit Jawaban]]="","",IF(Table3[[#This Row],[Kredit Jawaban]]=Table4[[#This Row],[Kredit (Rp)]],"Benar","salah"))</f>
        <v/>
      </c>
    </row>
    <row r="7" spans="1:15" x14ac:dyDescent="0.3">
      <c r="G7" s="1" t="s">
        <v>475</v>
      </c>
      <c r="H7" s="3">
        <v>2</v>
      </c>
      <c r="I7" s="3">
        <v>46388</v>
      </c>
      <c r="J7" s="6" t="s">
        <v>1447</v>
      </c>
      <c r="L7" s="2">
        <v>20000000</v>
      </c>
      <c r="M7" t="str">
        <f>IF(Table3[[#This Row],[Akun Jawaban]]="","",IF(Table3[[#This Row],[Akun Jawaban]]=Table4[[#This Row],[Akun]],"Benar","salah"))</f>
        <v>Benar</v>
      </c>
      <c r="N7" t="str">
        <f>IF(Table3[[#This Row],[Debit Jawaban]]="","",IF(Table3[[#This Row],[Debit Jawaban]]=Table4[[#This Row],[Debit (Rp)]],"Benar","salah"))</f>
        <v/>
      </c>
      <c r="O7" t="str">
        <f>IF(Table3[[#This Row],[Kredit Jawaban]]="","",IF(Table3[[#This Row],[Kredit Jawaban]]=Table4[[#This Row],[Kredit (Rp)]],"Benar","salah"))</f>
        <v>Benar</v>
      </c>
    </row>
    <row r="8" spans="1:15" ht="43.2" x14ac:dyDescent="0.3">
      <c r="A8">
        <v>3</v>
      </c>
      <c r="B8">
        <v>46389</v>
      </c>
      <c r="C8" s="1" t="s">
        <v>476</v>
      </c>
      <c r="D8" s="1" t="s">
        <v>477</v>
      </c>
      <c r="E8" s="1" t="s">
        <v>478</v>
      </c>
      <c r="F8" s="2">
        <v>60000000</v>
      </c>
      <c r="G8" s="1" t="s">
        <v>479</v>
      </c>
      <c r="H8" s="3">
        <v>3</v>
      </c>
      <c r="I8" s="3">
        <v>46389</v>
      </c>
      <c r="J8" s="6" t="s">
        <v>1450</v>
      </c>
      <c r="K8" s="5">
        <v>60000000</v>
      </c>
      <c r="M8" t="str">
        <f>IF(Table3[[#This Row],[Akun Jawaban]]="","",IF(Table3[[#This Row],[Akun Jawaban]]=Table4[[#This Row],[Akun]],"Benar","salah"))</f>
        <v>Benar</v>
      </c>
      <c r="N8" t="str">
        <f>IF(Table3[[#This Row],[Debit Jawaban]]="","",IF(Table3[[#This Row],[Debit Jawaban]]=Table4[[#This Row],[Debit (Rp)]],"Benar","salah"))</f>
        <v>Benar</v>
      </c>
      <c r="O8" t="str">
        <f>IF(Table3[[#This Row],[Kredit Jawaban]]="","",IF(Table3[[#This Row],[Kredit Jawaban]]=Table4[[#This Row],[Kredit (Rp)]],"Benar","salah"))</f>
        <v/>
      </c>
    </row>
    <row r="9" spans="1:15" ht="28.8" x14ac:dyDescent="0.3">
      <c r="G9" s="1" t="s">
        <v>479</v>
      </c>
      <c r="H9" s="3">
        <v>3</v>
      </c>
      <c r="I9" s="3">
        <v>46389</v>
      </c>
      <c r="J9" s="6" t="s">
        <v>1451</v>
      </c>
      <c r="K9" s="2">
        <f>11%*60000000</f>
        <v>6600000</v>
      </c>
      <c r="M9" t="str">
        <f>IF(Table3[[#This Row],[Akun Jawaban]]="","",IF(Table3[[#This Row],[Akun Jawaban]]=Table4[[#This Row],[Akun]],"Benar","salah"))</f>
        <v>Benar</v>
      </c>
      <c r="N9" t="str">
        <f>IF(Table3[[#This Row],[Debit Jawaban]]="","",IF(Table3[[#This Row],[Debit Jawaban]]=Table4[[#This Row],[Debit (Rp)]],"Benar","salah"))</f>
        <v>Benar</v>
      </c>
      <c r="O9" t="str">
        <f>IF(Table3[[#This Row],[Kredit Jawaban]]="","",IF(Table3[[#This Row],[Kredit Jawaban]]=Table4[[#This Row],[Kredit (Rp)]],"Benar","salah"))</f>
        <v/>
      </c>
    </row>
    <row r="10" spans="1:15" x14ac:dyDescent="0.3">
      <c r="H10" s="3">
        <v>3</v>
      </c>
      <c r="I10" s="3">
        <v>46389</v>
      </c>
      <c r="J10" s="6" t="s">
        <v>1447</v>
      </c>
      <c r="L10" s="2">
        <f>SUM(K8:K9)</f>
        <v>66600000</v>
      </c>
      <c r="M10" t="str">
        <f>IF(Table3[[#This Row],[Akun Jawaban]]="","",IF(Table3[[#This Row],[Akun Jawaban]]=Table4[[#This Row],[Akun]],"Benar","salah"))</f>
        <v>Benar</v>
      </c>
      <c r="N10" t="str">
        <f>IF(Table3[[#This Row],[Debit Jawaban]]="","",IF(Table3[[#This Row],[Debit Jawaban]]=Table4[[#This Row],[Debit (Rp)]],"Benar","salah"))</f>
        <v/>
      </c>
      <c r="O10" t="str">
        <f>IF(Table3[[#This Row],[Kredit Jawaban]]="","",IF(Table3[[#This Row],[Kredit Jawaban]]=Table4[[#This Row],[Kredit (Rp)]],"Benar","salah"))</f>
        <v>Benar</v>
      </c>
    </row>
    <row r="11" spans="1:15" ht="43.2" x14ac:dyDescent="0.3">
      <c r="A11">
        <v>4</v>
      </c>
      <c r="B11">
        <v>46390</v>
      </c>
      <c r="C11" s="1" t="s">
        <v>480</v>
      </c>
      <c r="D11" s="1" t="s">
        <v>481</v>
      </c>
      <c r="E11" s="1" t="s">
        <v>482</v>
      </c>
      <c r="F11" s="2">
        <v>40000000</v>
      </c>
      <c r="G11" s="1" t="s">
        <v>483</v>
      </c>
      <c r="H11" s="3">
        <v>4</v>
      </c>
      <c r="I11" s="3">
        <v>46390</v>
      </c>
      <c r="J11" s="6" t="s">
        <v>1452</v>
      </c>
      <c r="K11" s="2">
        <v>40000000</v>
      </c>
      <c r="M11" t="str">
        <f>IF(Table3[[#This Row],[Akun Jawaban]]="","",IF(Table3[[#This Row],[Akun Jawaban]]=Table4[[#This Row],[Akun]],"Benar","salah"))</f>
        <v>Benar</v>
      </c>
      <c r="N11" t="str">
        <f>IF(Table3[[#This Row],[Debit Jawaban]]="","",IF(Table3[[#This Row],[Debit Jawaban]]=Table4[[#This Row],[Debit (Rp)]],"Benar","salah"))</f>
        <v>Benar</v>
      </c>
      <c r="O11" t="str">
        <f>IF(Table3[[#This Row],[Kredit Jawaban]]="","",IF(Table3[[#This Row],[Kredit Jawaban]]=Table4[[#This Row],[Kredit (Rp)]],"Benar","salah"))</f>
        <v/>
      </c>
    </row>
    <row r="12" spans="1:15" ht="43.2" x14ac:dyDescent="0.3">
      <c r="G12" s="1" t="s">
        <v>483</v>
      </c>
      <c r="H12" s="3">
        <v>4</v>
      </c>
      <c r="I12" s="3">
        <v>46390</v>
      </c>
      <c r="J12" s="6" t="s">
        <v>1451</v>
      </c>
      <c r="K12" s="2">
        <f>11%*40000000</f>
        <v>4400000</v>
      </c>
      <c r="M12" t="str">
        <f>IF(Table3[[#This Row],[Akun Jawaban]]="","",IF(Table3[[#This Row],[Akun Jawaban]]=Table4[[#This Row],[Akun]],"Benar","salah"))</f>
        <v>Benar</v>
      </c>
      <c r="N12" t="str">
        <f>IF(Table3[[#This Row],[Debit Jawaban]]="","",IF(Table3[[#This Row],[Debit Jawaban]]=Table4[[#This Row],[Debit (Rp)]],"Benar","salah"))</f>
        <v>Benar</v>
      </c>
      <c r="O12" t="str">
        <f>IF(Table3[[#This Row],[Kredit Jawaban]]="","",IF(Table3[[#This Row],[Kredit Jawaban]]=Table4[[#This Row],[Kredit (Rp)]],"Benar","salah"))</f>
        <v/>
      </c>
    </row>
    <row r="13" spans="1:15" x14ac:dyDescent="0.3">
      <c r="H13" s="3">
        <v>4</v>
      </c>
      <c r="I13" s="3">
        <v>46390</v>
      </c>
      <c r="J13" s="6" t="s">
        <v>1453</v>
      </c>
      <c r="L13" s="2">
        <f>SUM(K11:K12)</f>
        <v>44400000</v>
      </c>
      <c r="M13" t="str">
        <f>IF(Table3[[#This Row],[Akun Jawaban]]="","",IF(Table3[[#This Row],[Akun Jawaban]]=Table4[[#This Row],[Akun]],"Benar","salah"))</f>
        <v>Benar</v>
      </c>
      <c r="N13" t="str">
        <f>IF(Table3[[#This Row],[Debit Jawaban]]="","",IF(Table3[[#This Row],[Debit Jawaban]]=Table4[[#This Row],[Debit (Rp)]],"Benar","salah"))</f>
        <v/>
      </c>
      <c r="O13" t="str">
        <f>IF(Table3[[#This Row],[Kredit Jawaban]]="","",IF(Table3[[#This Row],[Kredit Jawaban]]=Table4[[#This Row],[Kredit (Rp)]],"Benar","salah"))</f>
        <v>Benar</v>
      </c>
    </row>
    <row r="14" spans="1:15" ht="43.2" x14ac:dyDescent="0.3">
      <c r="A14">
        <v>5</v>
      </c>
      <c r="B14">
        <v>46390</v>
      </c>
      <c r="C14" s="1" t="s">
        <v>484</v>
      </c>
      <c r="D14" s="1" t="s">
        <v>485</v>
      </c>
      <c r="E14" s="1" t="s">
        <v>486</v>
      </c>
      <c r="F14" s="2">
        <v>250000000</v>
      </c>
      <c r="G14" s="1" t="s">
        <v>487</v>
      </c>
      <c r="H14" s="3">
        <v>5</v>
      </c>
      <c r="I14" s="3">
        <v>46390</v>
      </c>
      <c r="J14" s="6" t="s">
        <v>1454</v>
      </c>
      <c r="K14" s="2">
        <v>250000000</v>
      </c>
      <c r="M14" t="str">
        <f>IF(Table3[[#This Row],[Akun Jawaban]]="","",IF(Table3[[#This Row],[Akun Jawaban]]=Table4[[#This Row],[Akun]],"Benar","salah"))</f>
        <v>Benar</v>
      </c>
      <c r="N14" t="str">
        <f>IF(Table3[[#This Row],[Debit Jawaban]]="","",IF(Table3[[#This Row],[Debit Jawaban]]=Table4[[#This Row],[Debit (Rp)]],"Benar","salah"))</f>
        <v>Benar</v>
      </c>
      <c r="O14" t="str">
        <f>IF(Table3[[#This Row],[Kredit Jawaban]]="","",IF(Table3[[#This Row],[Kredit Jawaban]]=Table4[[#This Row],[Kredit (Rp)]],"Benar","salah"))</f>
        <v/>
      </c>
    </row>
    <row r="15" spans="1:15" ht="43.2" x14ac:dyDescent="0.3">
      <c r="G15" s="1" t="s">
        <v>487</v>
      </c>
      <c r="H15" s="3">
        <v>5</v>
      </c>
      <c r="I15" s="3">
        <v>46390</v>
      </c>
      <c r="J15" s="6" t="s">
        <v>1451</v>
      </c>
      <c r="K15" s="2">
        <f>11%*250000000</f>
        <v>27500000</v>
      </c>
      <c r="M15" t="str">
        <f>IF(Table3[[#This Row],[Akun Jawaban]]="","",IF(Table3[[#This Row],[Akun Jawaban]]=Table4[[#This Row],[Akun]],"Benar","salah"))</f>
        <v>Benar</v>
      </c>
      <c r="N15" t="str">
        <f>IF(Table3[[#This Row],[Debit Jawaban]]="","",IF(Table3[[#This Row],[Debit Jawaban]]=Table4[[#This Row],[Debit (Rp)]],"Benar","salah"))</f>
        <v>Benar</v>
      </c>
      <c r="O15" t="str">
        <f>IF(Table3[[#This Row],[Kredit Jawaban]]="","",IF(Table3[[#This Row],[Kredit Jawaban]]=Table4[[#This Row],[Kredit (Rp)]],"Benar","salah"))</f>
        <v/>
      </c>
    </row>
    <row r="16" spans="1:15" x14ac:dyDescent="0.3">
      <c r="H16" s="3">
        <v>5</v>
      </c>
      <c r="I16" s="3">
        <v>46390</v>
      </c>
      <c r="J16" s="6" t="s">
        <v>1453</v>
      </c>
      <c r="L16" s="2">
        <f>SUM(K14:K15)</f>
        <v>277500000</v>
      </c>
      <c r="M16" t="str">
        <f>IF(Table3[[#This Row],[Akun Jawaban]]="","",IF(Table3[[#This Row],[Akun Jawaban]]=Table4[[#This Row],[Akun]],"Benar","salah"))</f>
        <v>Benar</v>
      </c>
      <c r="N16" t="str">
        <f>IF(Table3[[#This Row],[Debit Jawaban]]="","",IF(Table3[[#This Row],[Debit Jawaban]]=Table4[[#This Row],[Debit (Rp)]],"Benar","salah"))</f>
        <v/>
      </c>
      <c r="O16" t="str">
        <f>IF(Table3[[#This Row],[Kredit Jawaban]]="","",IF(Table3[[#This Row],[Kredit Jawaban]]=Table4[[#This Row],[Kredit (Rp)]],"Benar","salah"))</f>
        <v>Benar</v>
      </c>
    </row>
    <row r="17" spans="1:15" ht="43.2" x14ac:dyDescent="0.3">
      <c r="A17">
        <v>6</v>
      </c>
      <c r="B17">
        <v>46391</v>
      </c>
      <c r="C17" s="1" t="s">
        <v>488</v>
      </c>
      <c r="D17" s="1" t="s">
        <v>489</v>
      </c>
      <c r="E17" s="1" t="s">
        <v>490</v>
      </c>
      <c r="F17" s="2">
        <v>100000000</v>
      </c>
      <c r="G17" s="1" t="s">
        <v>487</v>
      </c>
      <c r="H17" s="3">
        <v>6</v>
      </c>
      <c r="I17" s="3">
        <v>46391</v>
      </c>
      <c r="J17" s="6" t="s">
        <v>1454</v>
      </c>
      <c r="K17" s="2">
        <v>100000000</v>
      </c>
      <c r="M17" t="str">
        <f>IF(Table3[[#This Row],[Akun Jawaban]]="","",IF(Table3[[#This Row],[Akun Jawaban]]=Table4[[#This Row],[Akun]],"Benar","salah"))</f>
        <v>Benar</v>
      </c>
      <c r="N17" t="str">
        <f>IF(Table3[[#This Row],[Debit Jawaban]]="","",IF(Table3[[#This Row],[Debit Jawaban]]=Table4[[#This Row],[Debit (Rp)]],"Benar","salah"))</f>
        <v>Benar</v>
      </c>
      <c r="O17" t="str">
        <f>IF(Table3[[#This Row],[Kredit Jawaban]]="","",IF(Table3[[#This Row],[Kredit Jawaban]]=Table4[[#This Row],[Kredit (Rp)]],"Benar","salah"))</f>
        <v/>
      </c>
    </row>
    <row r="18" spans="1:15" ht="43.2" x14ac:dyDescent="0.3">
      <c r="G18" s="1" t="s">
        <v>487</v>
      </c>
      <c r="H18" s="3">
        <v>6</v>
      </c>
      <c r="I18" s="3">
        <v>46391</v>
      </c>
      <c r="J18" s="6" t="s">
        <v>1451</v>
      </c>
      <c r="K18" s="2">
        <f>11%*100000000</f>
        <v>11000000</v>
      </c>
      <c r="M18" t="str">
        <f>IF(Table3[[#This Row],[Akun Jawaban]]="","",IF(Table3[[#This Row],[Akun Jawaban]]=Table4[[#This Row],[Akun]],"Benar","salah"))</f>
        <v>Benar</v>
      </c>
      <c r="N18" t="str">
        <f>IF(Table3[[#This Row],[Debit Jawaban]]="","",IF(Table3[[#This Row],[Debit Jawaban]]=Table4[[#This Row],[Debit (Rp)]],"Benar","salah"))</f>
        <v>Benar</v>
      </c>
      <c r="O18" t="str">
        <f>IF(Table3[[#This Row],[Kredit Jawaban]]="","",IF(Table3[[#This Row],[Kredit Jawaban]]=Table4[[#This Row],[Kredit (Rp)]],"Benar","salah"))</f>
        <v/>
      </c>
    </row>
    <row r="19" spans="1:15" x14ac:dyDescent="0.3">
      <c r="H19" s="3">
        <v>6</v>
      </c>
      <c r="I19" s="3">
        <v>46391</v>
      </c>
      <c r="J19" s="6" t="s">
        <v>1453</v>
      </c>
      <c r="L19" s="2">
        <f>SUM(K17:K18)</f>
        <v>111000000</v>
      </c>
      <c r="M19" t="str">
        <f>IF(Table3[[#This Row],[Akun Jawaban]]="","",IF(Table3[[#This Row],[Akun Jawaban]]=Table4[[#This Row],[Akun]],"Benar","salah"))</f>
        <v>Benar</v>
      </c>
      <c r="N19" t="str">
        <f>IF(Table3[[#This Row],[Debit Jawaban]]="","",IF(Table3[[#This Row],[Debit Jawaban]]=Table4[[#This Row],[Debit (Rp)]],"Benar","salah"))</f>
        <v/>
      </c>
      <c r="O19" t="str">
        <f>IF(Table3[[#This Row],[Kredit Jawaban]]="","",IF(Table3[[#This Row],[Kredit Jawaban]]=Table4[[#This Row],[Kredit (Rp)]],"Benar","salah"))</f>
        <v>Benar</v>
      </c>
    </row>
    <row r="20" spans="1:15" ht="57.6" x14ac:dyDescent="0.3">
      <c r="A20">
        <v>7</v>
      </c>
      <c r="B20">
        <v>46391</v>
      </c>
      <c r="C20" s="1" t="s">
        <v>491</v>
      </c>
      <c r="D20" s="1" t="s">
        <v>492</v>
      </c>
      <c r="E20" s="1" t="s">
        <v>493</v>
      </c>
      <c r="F20" s="2">
        <v>4000000</v>
      </c>
      <c r="G20" s="1" t="s">
        <v>494</v>
      </c>
      <c r="H20" s="3">
        <v>7</v>
      </c>
      <c r="I20" s="3">
        <v>46391</v>
      </c>
      <c r="J20" s="6" t="s">
        <v>1454</v>
      </c>
      <c r="K20" s="2">
        <v>4000000</v>
      </c>
      <c r="M20" t="str">
        <f>IF(Table3[[#This Row],[Akun Jawaban]]="","",IF(Table3[[#This Row],[Akun Jawaban]]=Table4[[#This Row],[Akun]],"Benar","salah"))</f>
        <v>Benar</v>
      </c>
      <c r="N20" t="str">
        <f>IF(Table3[[#This Row],[Debit Jawaban]]="","",IF(Table3[[#This Row],[Debit Jawaban]]=Table4[[#This Row],[Debit (Rp)]],"Benar","salah"))</f>
        <v>Benar</v>
      </c>
      <c r="O20" t="str">
        <f>IF(Table3[[#This Row],[Kredit Jawaban]]="","",IF(Table3[[#This Row],[Kredit Jawaban]]=Table4[[#This Row],[Kredit (Rp)]],"Benar","salah"))</f>
        <v/>
      </c>
    </row>
    <row r="21" spans="1:15" ht="28.8" x14ac:dyDescent="0.3">
      <c r="G21" s="1" t="s">
        <v>494</v>
      </c>
      <c r="H21" s="3">
        <v>7</v>
      </c>
      <c r="I21" s="3">
        <v>46391</v>
      </c>
      <c r="J21" s="1" t="s">
        <v>1447</v>
      </c>
      <c r="L21" s="2">
        <v>4000000</v>
      </c>
      <c r="M21" t="str">
        <f>IF(Table3[[#This Row],[Akun Jawaban]]="","",IF(Table3[[#This Row],[Akun Jawaban]]=Table4[[#This Row],[Akun]],"Benar","salah"))</f>
        <v>Benar</v>
      </c>
      <c r="N21" t="str">
        <f>IF(Table3[[#This Row],[Debit Jawaban]]="","",IF(Table3[[#This Row],[Debit Jawaban]]=Table4[[#This Row],[Debit (Rp)]],"Benar","salah"))</f>
        <v/>
      </c>
      <c r="O21" t="str">
        <f>IF(Table3[[#This Row],[Kredit Jawaban]]="","",IF(Table3[[#This Row],[Kredit Jawaban]]=Table4[[#This Row],[Kredit (Rp)]],"Benar","salah"))</f>
        <v>Benar</v>
      </c>
    </row>
    <row r="22" spans="1:15" ht="43.2" x14ac:dyDescent="0.3">
      <c r="A22">
        <v>8</v>
      </c>
      <c r="B22">
        <v>46392</v>
      </c>
      <c r="C22" s="1" t="s">
        <v>495</v>
      </c>
      <c r="D22" s="1" t="s">
        <v>496</v>
      </c>
      <c r="E22" s="1" t="s">
        <v>497</v>
      </c>
      <c r="F22" s="2">
        <v>120000000</v>
      </c>
      <c r="G22" s="1" t="s">
        <v>498</v>
      </c>
      <c r="H22" s="3">
        <v>8</v>
      </c>
      <c r="I22" s="3">
        <v>46392</v>
      </c>
      <c r="J22" s="6" t="s">
        <v>1447</v>
      </c>
      <c r="K22" s="2">
        <f>SUM(L23:L24)</f>
        <v>133200000</v>
      </c>
      <c r="M22" t="str">
        <f>IF(Table3[[#This Row],[Akun Jawaban]]="","",IF(Table3[[#This Row],[Akun Jawaban]]=Table4[[#This Row],[Akun]],"Benar","salah"))</f>
        <v>Benar</v>
      </c>
      <c r="N22" t="str">
        <f>IF(Table3[[#This Row],[Debit Jawaban]]="","",IF(Table3[[#This Row],[Debit Jawaban]]=Table4[[#This Row],[Debit (Rp)]],"Benar","salah"))</f>
        <v>Benar</v>
      </c>
      <c r="O22" t="str">
        <f>IF(Table3[[#This Row],[Kredit Jawaban]]="","",IF(Table3[[#This Row],[Kredit Jawaban]]=Table4[[#This Row],[Kredit (Rp)]],"Benar","salah"))</f>
        <v/>
      </c>
    </row>
    <row r="23" spans="1:15" ht="43.2" x14ac:dyDescent="0.3">
      <c r="G23" s="1" t="s">
        <v>498</v>
      </c>
      <c r="H23" s="3">
        <v>8</v>
      </c>
      <c r="I23" s="3">
        <v>46392</v>
      </c>
      <c r="J23" s="6" t="s">
        <v>1457</v>
      </c>
      <c r="L23" s="2">
        <v>120000000</v>
      </c>
      <c r="M23" t="str">
        <f>IF(Table3[[#This Row],[Akun Jawaban]]="","",IF(Table3[[#This Row],[Akun Jawaban]]=Table4[[#This Row],[Akun]],"Benar","salah"))</f>
        <v>Benar</v>
      </c>
      <c r="N23" t="str">
        <f>IF(Table3[[#This Row],[Debit Jawaban]]="","",IF(Table3[[#This Row],[Debit Jawaban]]=Table4[[#This Row],[Debit (Rp)]],"Benar","salah"))</f>
        <v/>
      </c>
      <c r="O23" t="str">
        <f>IF(Table3[[#This Row],[Kredit Jawaban]]="","",IF(Table3[[#This Row],[Kredit Jawaban]]=Table4[[#This Row],[Kredit (Rp)]],"Benar","salah"))</f>
        <v>Benar</v>
      </c>
    </row>
    <row r="24" spans="1:15" x14ac:dyDescent="0.3">
      <c r="H24" s="3">
        <v>8</v>
      </c>
      <c r="I24" s="3">
        <v>46392</v>
      </c>
      <c r="J24" s="6" t="s">
        <v>1455</v>
      </c>
      <c r="L24" s="2">
        <f>11%*120000000</f>
        <v>13200000</v>
      </c>
      <c r="M24" t="str">
        <f>IF(Table3[[#This Row],[Akun Jawaban]]="","",IF(Table3[[#This Row],[Akun Jawaban]]=Table4[[#This Row],[Akun]],"Benar","salah"))</f>
        <v>Benar</v>
      </c>
      <c r="N24" t="str">
        <f>IF(Table3[[#This Row],[Debit Jawaban]]="","",IF(Table3[[#This Row],[Debit Jawaban]]=Table4[[#This Row],[Debit (Rp)]],"Benar","salah"))</f>
        <v/>
      </c>
      <c r="O24" t="str">
        <f>IF(Table3[[#This Row],[Kredit Jawaban]]="","",IF(Table3[[#This Row],[Kredit Jawaban]]=Table4[[#This Row],[Kredit (Rp)]],"Benar","salah"))</f>
        <v>Benar</v>
      </c>
    </row>
    <row r="25" spans="1:15" x14ac:dyDescent="0.3">
      <c r="H25" s="3">
        <v>8</v>
      </c>
      <c r="I25" s="3">
        <v>46392</v>
      </c>
      <c r="J25" s="6" t="s">
        <v>1456</v>
      </c>
      <c r="K25" s="2">
        <v>70000000</v>
      </c>
      <c r="M25" t="str">
        <f>IF(Table3[[#This Row],[Akun Jawaban]]="","",IF(Table3[[#This Row],[Akun Jawaban]]=Table4[[#This Row],[Akun]],"Benar","salah"))</f>
        <v>Benar</v>
      </c>
      <c r="N25" t="str">
        <f>IF(Table3[[#This Row],[Debit Jawaban]]="","",IF(Table3[[#This Row],[Debit Jawaban]]=Table4[[#This Row],[Debit (Rp)]],"Benar","salah"))</f>
        <v>Benar</v>
      </c>
      <c r="O25" t="str">
        <f>IF(Table3[[#This Row],[Kredit Jawaban]]="","",IF(Table3[[#This Row],[Kredit Jawaban]]=Table4[[#This Row],[Kredit (Rp)]],"Benar","salah"))</f>
        <v/>
      </c>
    </row>
    <row r="26" spans="1:15" x14ac:dyDescent="0.3">
      <c r="H26" s="3">
        <v>8</v>
      </c>
      <c r="I26" s="3">
        <v>46392</v>
      </c>
      <c r="J26" s="6" t="s">
        <v>1454</v>
      </c>
      <c r="L26" s="2">
        <v>70000000</v>
      </c>
      <c r="M26" t="str">
        <f>IF(Table3[[#This Row],[Akun Jawaban]]="","",IF(Table3[[#This Row],[Akun Jawaban]]=Table4[[#This Row],[Akun]],"Benar","salah"))</f>
        <v>Benar</v>
      </c>
      <c r="N26" t="str">
        <f>IF(Table3[[#This Row],[Debit Jawaban]]="","",IF(Table3[[#This Row],[Debit Jawaban]]=Table4[[#This Row],[Debit (Rp)]],"Benar","salah"))</f>
        <v/>
      </c>
      <c r="O26" t="str">
        <f>IF(Table3[[#This Row],[Kredit Jawaban]]="","",IF(Table3[[#This Row],[Kredit Jawaban]]=Table4[[#This Row],[Kredit (Rp)]],"Benar","salah"))</f>
        <v>Benar</v>
      </c>
    </row>
    <row r="27" spans="1:15" ht="43.2" x14ac:dyDescent="0.3">
      <c r="A27">
        <v>9</v>
      </c>
      <c r="B27">
        <v>46393</v>
      </c>
      <c r="C27" s="1" t="s">
        <v>499</v>
      </c>
      <c r="D27" s="1" t="s">
        <v>500</v>
      </c>
      <c r="E27" s="1" t="s">
        <v>501</v>
      </c>
      <c r="F27" s="2">
        <v>160000000</v>
      </c>
      <c r="G27" s="1" t="s">
        <v>502</v>
      </c>
      <c r="H27" s="3">
        <v>9</v>
      </c>
      <c r="I27" s="3">
        <v>46393</v>
      </c>
      <c r="J27" s="6" t="s">
        <v>1458</v>
      </c>
      <c r="K27" s="2">
        <f>SUM(L28:L29)</f>
        <v>177600000</v>
      </c>
      <c r="M27" t="str">
        <f>IF(Table3[[#This Row],[Akun Jawaban]]="","",IF(Table3[[#This Row],[Akun Jawaban]]=Table4[[#This Row],[Akun]],"Benar","salah"))</f>
        <v>Benar</v>
      </c>
      <c r="N27" t="str">
        <f>IF(Table3[[#This Row],[Debit Jawaban]]="","",IF(Table3[[#This Row],[Debit Jawaban]]=Table4[[#This Row],[Debit (Rp)]],"Benar","salah"))</f>
        <v>Benar</v>
      </c>
      <c r="O27" t="str">
        <f>IF(Table3[[#This Row],[Kredit Jawaban]]="","",IF(Table3[[#This Row],[Kredit Jawaban]]=Table4[[#This Row],[Kredit (Rp)]],"Benar","salah"))</f>
        <v/>
      </c>
    </row>
    <row r="28" spans="1:15" ht="43.2" x14ac:dyDescent="0.3">
      <c r="G28" s="1" t="s">
        <v>502</v>
      </c>
      <c r="H28" s="3">
        <v>9</v>
      </c>
      <c r="I28" s="3">
        <v>46393</v>
      </c>
      <c r="J28" s="6" t="s">
        <v>1457</v>
      </c>
      <c r="L28" s="2">
        <v>160000000</v>
      </c>
      <c r="M28" t="str">
        <f>IF(Table3[[#This Row],[Akun Jawaban]]="","",IF(Table3[[#This Row],[Akun Jawaban]]=Table4[[#This Row],[Akun]],"Benar","salah"))</f>
        <v>Benar</v>
      </c>
      <c r="N28" t="str">
        <f>IF(Table3[[#This Row],[Debit Jawaban]]="","",IF(Table3[[#This Row],[Debit Jawaban]]=Table4[[#This Row],[Debit (Rp)]],"Benar","salah"))</f>
        <v/>
      </c>
      <c r="O28" t="str">
        <f>IF(Table3[[#This Row],[Kredit Jawaban]]="","",IF(Table3[[#This Row],[Kredit Jawaban]]=Table4[[#This Row],[Kredit (Rp)]],"Benar","salah"))</f>
        <v>Benar</v>
      </c>
    </row>
    <row r="29" spans="1:15" x14ac:dyDescent="0.3">
      <c r="H29" s="3">
        <v>9</v>
      </c>
      <c r="I29" s="3">
        <v>46393</v>
      </c>
      <c r="J29" s="6" t="s">
        <v>1455</v>
      </c>
      <c r="L29" s="2">
        <f>11%*L28</f>
        <v>17600000</v>
      </c>
      <c r="M29" t="str">
        <f>IF(Table3[[#This Row],[Akun Jawaban]]="","",IF(Table3[[#This Row],[Akun Jawaban]]=Table4[[#This Row],[Akun]],"Benar","salah"))</f>
        <v>Benar</v>
      </c>
      <c r="N29" t="str">
        <f>IF(Table3[[#This Row],[Debit Jawaban]]="","",IF(Table3[[#This Row],[Debit Jawaban]]=Table4[[#This Row],[Debit (Rp)]],"Benar","salah"))</f>
        <v/>
      </c>
      <c r="O29" t="str">
        <f>IF(Table3[[#This Row],[Kredit Jawaban]]="","",IF(Table3[[#This Row],[Kredit Jawaban]]=Table4[[#This Row],[Kredit (Rp)]],"Benar","salah"))</f>
        <v>Benar</v>
      </c>
    </row>
    <row r="30" spans="1:15" x14ac:dyDescent="0.3">
      <c r="H30" s="3">
        <v>9</v>
      </c>
      <c r="I30" s="3">
        <v>46393</v>
      </c>
      <c r="J30" s="6" t="s">
        <v>1456</v>
      </c>
      <c r="K30" s="2">
        <v>95000000</v>
      </c>
      <c r="M30" t="str">
        <f>IF(Table3[[#This Row],[Akun Jawaban]]="","",IF(Table3[[#This Row],[Akun Jawaban]]=Table4[[#This Row],[Akun]],"Benar","salah"))</f>
        <v>Benar</v>
      </c>
      <c r="N30" t="str">
        <f>IF(Table3[[#This Row],[Debit Jawaban]]="","",IF(Table3[[#This Row],[Debit Jawaban]]=Table4[[#This Row],[Debit (Rp)]],"Benar","salah"))</f>
        <v>Benar</v>
      </c>
      <c r="O30" t="str">
        <f>IF(Table3[[#This Row],[Kredit Jawaban]]="","",IF(Table3[[#This Row],[Kredit Jawaban]]=Table4[[#This Row],[Kredit (Rp)]],"Benar","salah"))</f>
        <v/>
      </c>
    </row>
    <row r="31" spans="1:15" x14ac:dyDescent="0.3">
      <c r="H31" s="3">
        <v>9</v>
      </c>
      <c r="I31" s="3">
        <v>46393</v>
      </c>
      <c r="J31" s="6" t="s">
        <v>1454</v>
      </c>
      <c r="L31" s="2">
        <v>95000000</v>
      </c>
      <c r="M31" t="str">
        <f>IF(Table3[[#This Row],[Akun Jawaban]]="","",IF(Table3[[#This Row],[Akun Jawaban]]=Table4[[#This Row],[Akun]],"Benar","salah"))</f>
        <v>Benar</v>
      </c>
      <c r="N31" t="str">
        <f>IF(Table3[[#This Row],[Debit Jawaban]]="","",IF(Table3[[#This Row],[Debit Jawaban]]=Table4[[#This Row],[Debit (Rp)]],"Benar","salah"))</f>
        <v/>
      </c>
      <c r="O31" t="str">
        <f>IF(Table3[[#This Row],[Kredit Jawaban]]="","",IF(Table3[[#This Row],[Kredit Jawaban]]=Table4[[#This Row],[Kredit (Rp)]],"Benar","salah"))</f>
        <v>Benar</v>
      </c>
    </row>
    <row r="32" spans="1:15" ht="28.8" x14ac:dyDescent="0.3">
      <c r="A32">
        <v>10</v>
      </c>
      <c r="B32">
        <v>46394</v>
      </c>
      <c r="C32" s="1" t="s">
        <v>503</v>
      </c>
      <c r="D32" s="1" t="s">
        <v>504</v>
      </c>
      <c r="E32" s="1" t="s">
        <v>505</v>
      </c>
      <c r="F32" s="2">
        <v>80000000</v>
      </c>
      <c r="G32" s="1" t="s">
        <v>506</v>
      </c>
      <c r="H32" s="3">
        <v>10</v>
      </c>
      <c r="I32" s="3">
        <v>46394</v>
      </c>
      <c r="J32" s="6" t="s">
        <v>1447</v>
      </c>
      <c r="K32" s="2">
        <v>80000000</v>
      </c>
      <c r="M32" t="str">
        <f>IF(Table3[[#This Row],[Akun Jawaban]]="","",IF(Table3[[#This Row],[Akun Jawaban]]=Table4[[#This Row],[Akun]],"Benar","salah"))</f>
        <v>Benar</v>
      </c>
      <c r="N32" t="str">
        <f>IF(Table3[[#This Row],[Debit Jawaban]]="","",IF(Table3[[#This Row],[Debit Jawaban]]=Table4[[#This Row],[Debit (Rp)]],"Benar","salah"))</f>
        <v>Benar</v>
      </c>
      <c r="O32" t="str">
        <f>IF(Table3[[#This Row],[Kredit Jawaban]]="","",IF(Table3[[#This Row],[Kredit Jawaban]]=Table4[[#This Row],[Kredit (Rp)]],"Benar","salah"))</f>
        <v/>
      </c>
    </row>
    <row r="33" spans="1:15" ht="28.8" x14ac:dyDescent="0.3">
      <c r="G33" s="1" t="s">
        <v>506</v>
      </c>
      <c r="H33" s="3">
        <v>10</v>
      </c>
      <c r="I33" s="3">
        <v>46394</v>
      </c>
      <c r="J33" s="6" t="s">
        <v>1458</v>
      </c>
      <c r="L33" s="2">
        <v>80000000</v>
      </c>
      <c r="M33" t="str">
        <f>IF(Table3[[#This Row],[Akun Jawaban]]="","",IF(Table3[[#This Row],[Akun Jawaban]]=Table4[[#This Row],[Akun]],"Benar","salah"))</f>
        <v>Benar</v>
      </c>
      <c r="N33" t="str">
        <f>IF(Table3[[#This Row],[Debit Jawaban]]="","",IF(Table3[[#This Row],[Debit Jawaban]]=Table4[[#This Row],[Debit (Rp)]],"Benar","salah"))</f>
        <v/>
      </c>
      <c r="O33" t="str">
        <f>IF(Table3[[#This Row],[Kredit Jawaban]]="","",IF(Table3[[#This Row],[Kredit Jawaban]]=Table4[[#This Row],[Kredit (Rp)]],"Benar","salah"))</f>
        <v>Benar</v>
      </c>
    </row>
    <row r="34" spans="1:15" ht="43.2" x14ac:dyDescent="0.3">
      <c r="A34">
        <v>11</v>
      </c>
      <c r="B34">
        <v>46395</v>
      </c>
      <c r="C34" s="1" t="s">
        <v>507</v>
      </c>
      <c r="D34" s="1" t="s">
        <v>508</v>
      </c>
      <c r="E34" s="1" t="s">
        <v>509</v>
      </c>
      <c r="F34" s="2">
        <v>100000000</v>
      </c>
      <c r="G34" s="1" t="s">
        <v>510</v>
      </c>
      <c r="H34" s="3">
        <v>11</v>
      </c>
      <c r="I34" s="3">
        <v>46395</v>
      </c>
      <c r="J34" s="6" t="s">
        <v>1453</v>
      </c>
      <c r="K34" s="2">
        <v>100000000</v>
      </c>
      <c r="M34" t="str">
        <f>IF(Table3[[#This Row],[Akun Jawaban]]="","",IF(Table3[[#This Row],[Akun Jawaban]]=Table4[[#This Row],[Akun]],"Benar","salah"))</f>
        <v>Benar</v>
      </c>
      <c r="N34" t="str">
        <f>IF(Table3[[#This Row],[Debit Jawaban]]="","",IF(Table3[[#This Row],[Debit Jawaban]]=Table4[[#This Row],[Debit (Rp)]],"Benar","salah"))</f>
        <v>Benar</v>
      </c>
      <c r="O34" t="str">
        <f>IF(Table3[[#This Row],[Kredit Jawaban]]="","",IF(Table3[[#This Row],[Kredit Jawaban]]=Table4[[#This Row],[Kredit (Rp)]],"Benar","salah"))</f>
        <v/>
      </c>
    </row>
    <row r="35" spans="1:15" ht="28.8" x14ac:dyDescent="0.3">
      <c r="G35" s="1" t="s">
        <v>510</v>
      </c>
      <c r="H35" s="3">
        <v>11</v>
      </c>
      <c r="I35" s="3">
        <v>46395</v>
      </c>
      <c r="J35" s="6" t="s">
        <v>1447</v>
      </c>
      <c r="L35" s="2">
        <v>100000000</v>
      </c>
      <c r="M35" t="str">
        <f>IF(Table3[[#This Row],[Akun Jawaban]]="","",IF(Table3[[#This Row],[Akun Jawaban]]=Table4[[#This Row],[Akun]],"Benar","salah"))</f>
        <v>Benar</v>
      </c>
      <c r="N35" t="str">
        <f>IF(Table3[[#This Row],[Debit Jawaban]]="","",IF(Table3[[#This Row],[Debit Jawaban]]=Table4[[#This Row],[Debit (Rp)]],"Benar","salah"))</f>
        <v/>
      </c>
      <c r="O35" t="str">
        <f>IF(Table3[[#This Row],[Kredit Jawaban]]="","",IF(Table3[[#This Row],[Kredit Jawaban]]=Table4[[#This Row],[Kredit (Rp)]],"Benar","salah"))</f>
        <v>Benar</v>
      </c>
    </row>
    <row r="36" spans="1:15" ht="43.2" x14ac:dyDescent="0.3">
      <c r="A36">
        <v>12</v>
      </c>
      <c r="B36">
        <v>46395</v>
      </c>
      <c r="C36" s="1" t="s">
        <v>511</v>
      </c>
      <c r="D36" s="1" t="s">
        <v>512</v>
      </c>
      <c r="E36" s="1" t="s">
        <v>513</v>
      </c>
      <c r="F36" s="2">
        <v>44440000</v>
      </c>
      <c r="G36" s="1" t="s">
        <v>514</v>
      </c>
      <c r="H36" s="3">
        <v>12</v>
      </c>
      <c r="I36" s="3">
        <v>46395</v>
      </c>
      <c r="J36" s="6" t="s">
        <v>1447</v>
      </c>
      <c r="K36" s="2">
        <v>44440000</v>
      </c>
      <c r="M36" t="str">
        <f>IF(Table3[[#This Row],[Akun Jawaban]]="","",IF(Table3[[#This Row],[Akun Jawaban]]=Table4[[#This Row],[Akun]],"Benar","salah"))</f>
        <v>Benar</v>
      </c>
      <c r="N36" t="str">
        <f>IF(Table3[[#This Row],[Debit Jawaban]]="","",IF(Table3[[#This Row],[Debit Jawaban]]=Table4[[#This Row],[Debit (Rp)]],"Benar","salah"))</f>
        <v>Benar</v>
      </c>
      <c r="O36" t="str">
        <f>IF(Table3[[#This Row],[Kredit Jawaban]]="","",IF(Table3[[#This Row],[Kredit Jawaban]]=Table4[[#This Row],[Kredit (Rp)]],"Benar","salah"))</f>
        <v/>
      </c>
    </row>
    <row r="37" spans="1:15" ht="28.8" x14ac:dyDescent="0.3">
      <c r="G37" s="1" t="s">
        <v>514</v>
      </c>
      <c r="H37" s="3">
        <v>12</v>
      </c>
      <c r="I37" s="3">
        <v>46395</v>
      </c>
      <c r="J37" s="6" t="s">
        <v>230</v>
      </c>
      <c r="L37" s="2">
        <v>44440000</v>
      </c>
      <c r="M37" t="str">
        <f>IF(Table3[[#This Row],[Akun Jawaban]]="","",IF(Table3[[#This Row],[Akun Jawaban]]=Table4[[#This Row],[Akun]],"Benar","salah"))</f>
        <v>Benar</v>
      </c>
      <c r="N37" t="str">
        <f>IF(Table3[[#This Row],[Debit Jawaban]]="","",IF(Table3[[#This Row],[Debit Jawaban]]=Table4[[#This Row],[Debit (Rp)]],"Benar","salah"))</f>
        <v/>
      </c>
      <c r="O37" t="str">
        <f>IF(Table3[[#This Row],[Kredit Jawaban]]="","",IF(Table3[[#This Row],[Kredit Jawaban]]=Table4[[#This Row],[Kredit (Rp)]],"Benar","salah"))</f>
        <v>Benar</v>
      </c>
    </row>
    <row r="38" spans="1:15" ht="43.2" x14ac:dyDescent="0.3">
      <c r="A38">
        <v>13</v>
      </c>
      <c r="B38">
        <v>46396</v>
      </c>
      <c r="C38" s="1" t="s">
        <v>515</v>
      </c>
      <c r="D38" s="1" t="s">
        <v>516</v>
      </c>
      <c r="E38" s="1" t="s">
        <v>517</v>
      </c>
      <c r="F38" s="2">
        <v>15000000</v>
      </c>
      <c r="G38" s="1" t="s">
        <v>518</v>
      </c>
      <c r="H38" s="3">
        <v>13</v>
      </c>
      <c r="I38" s="3">
        <v>46396</v>
      </c>
      <c r="J38" s="6" t="s">
        <v>1453</v>
      </c>
      <c r="K38" s="2">
        <f>SUM(L39:L40)</f>
        <v>16650000</v>
      </c>
      <c r="M38" t="str">
        <f>IF(Table3[[#This Row],[Akun Jawaban]]="","",IF(Table3[[#This Row],[Akun Jawaban]]=Table4[[#This Row],[Akun]],"Benar","salah"))</f>
        <v>Benar</v>
      </c>
      <c r="N38" t="str">
        <f>IF(Table3[[#This Row],[Debit Jawaban]]="","",IF(Table3[[#This Row],[Debit Jawaban]]=Table4[[#This Row],[Debit (Rp)]],"Benar","salah"))</f>
        <v>Benar</v>
      </c>
      <c r="O38" t="str">
        <f>IF(Table3[[#This Row],[Kredit Jawaban]]="","",IF(Table3[[#This Row],[Kredit Jawaban]]=Table4[[#This Row],[Kredit (Rp)]],"Benar","salah"))</f>
        <v/>
      </c>
    </row>
    <row r="39" spans="1:15" ht="43.2" x14ac:dyDescent="0.3">
      <c r="G39" s="1" t="s">
        <v>518</v>
      </c>
      <c r="H39" s="3">
        <v>13</v>
      </c>
      <c r="I39" s="3">
        <v>46396</v>
      </c>
      <c r="J39" s="6" t="s">
        <v>1454</v>
      </c>
      <c r="L39" s="2">
        <v>15000000</v>
      </c>
      <c r="M39" t="str">
        <f>IF(Table3[[#This Row],[Akun Jawaban]]="","",IF(Table3[[#This Row],[Akun Jawaban]]=Table4[[#This Row],[Akun]],"Benar","salah"))</f>
        <v>Benar</v>
      </c>
      <c r="N39" t="str">
        <f>IF(Table3[[#This Row],[Debit Jawaban]]="","",IF(Table3[[#This Row],[Debit Jawaban]]=Table4[[#This Row],[Debit (Rp)]],"Benar","salah"))</f>
        <v/>
      </c>
      <c r="O39" t="str">
        <f>IF(Table3[[#This Row],[Kredit Jawaban]]="","",IF(Table3[[#This Row],[Kredit Jawaban]]=Table4[[#This Row],[Kredit (Rp)]],"Benar","salah"))</f>
        <v>Benar</v>
      </c>
    </row>
    <row r="40" spans="1:15" x14ac:dyDescent="0.3">
      <c r="H40" s="3">
        <v>13</v>
      </c>
      <c r="I40" s="3">
        <v>46396</v>
      </c>
      <c r="J40" s="6" t="s">
        <v>1451</v>
      </c>
      <c r="L40" s="2">
        <f>11%*15000000</f>
        <v>1650000</v>
      </c>
      <c r="M40" t="str">
        <f>IF(Table3[[#This Row],[Akun Jawaban]]="","",IF(Table3[[#This Row],[Akun Jawaban]]=Table4[[#This Row],[Akun]],"Benar","salah"))</f>
        <v>Benar</v>
      </c>
      <c r="N40" t="str">
        <f>IF(Table3[[#This Row],[Debit Jawaban]]="","",IF(Table3[[#This Row],[Debit Jawaban]]=Table4[[#This Row],[Debit (Rp)]],"Benar","salah"))</f>
        <v/>
      </c>
      <c r="O40" t="str">
        <f>IF(Table3[[#This Row],[Kredit Jawaban]]="","",IF(Table3[[#This Row],[Kredit Jawaban]]=Table4[[#This Row],[Kredit (Rp)]],"Benar","salah"))</f>
        <v>Benar</v>
      </c>
    </row>
    <row r="41" spans="1:15" ht="57.6" x14ac:dyDescent="0.3">
      <c r="A41">
        <v>14</v>
      </c>
      <c r="B41">
        <v>46397</v>
      </c>
      <c r="C41" s="1" t="s">
        <v>519</v>
      </c>
      <c r="D41" s="1" t="s">
        <v>520</v>
      </c>
      <c r="E41" s="1" t="s">
        <v>521</v>
      </c>
      <c r="F41" s="2">
        <v>10000000</v>
      </c>
      <c r="G41" s="1" t="s">
        <v>522</v>
      </c>
      <c r="H41" s="3">
        <v>14</v>
      </c>
      <c r="I41" s="3">
        <v>46397</v>
      </c>
      <c r="J41" s="6" t="s">
        <v>256</v>
      </c>
      <c r="K41" s="2">
        <v>10000000</v>
      </c>
      <c r="M41" t="str">
        <f>IF(Table3[[#This Row],[Akun Jawaban]]="","",IF(Table3[[#This Row],[Akun Jawaban]]=Table4[[#This Row],[Akun]],"Benar","salah"))</f>
        <v>Benar</v>
      </c>
      <c r="N41" t="str">
        <f>IF(Table3[[#This Row],[Debit Jawaban]]="","",IF(Table3[[#This Row],[Debit Jawaban]]=Table4[[#This Row],[Debit (Rp)]],"Benar","salah"))</f>
        <v>Benar</v>
      </c>
      <c r="O41" t="str">
        <f>IF(Table3[[#This Row],[Kredit Jawaban]]="","",IF(Table3[[#This Row],[Kredit Jawaban]]=Table4[[#This Row],[Kredit (Rp)]],"Benar","salah"))</f>
        <v/>
      </c>
    </row>
    <row r="42" spans="1:15" ht="43.2" x14ac:dyDescent="0.3">
      <c r="G42" s="1" t="s">
        <v>522</v>
      </c>
      <c r="H42" s="3">
        <v>14</v>
      </c>
      <c r="I42" s="3">
        <v>46397</v>
      </c>
      <c r="J42" s="6" t="s">
        <v>1455</v>
      </c>
      <c r="K42" s="2">
        <f>11%*K41</f>
        <v>1100000</v>
      </c>
      <c r="M42" t="str">
        <f>IF(Table3[[#This Row],[Akun Jawaban]]="","",IF(Table3[[#This Row],[Akun Jawaban]]=Table4[[#This Row],[Akun]],"Benar","salah"))</f>
        <v>Benar</v>
      </c>
      <c r="N42" t="str">
        <f>IF(Table3[[#This Row],[Debit Jawaban]]="","",IF(Table3[[#This Row],[Debit Jawaban]]=Table4[[#This Row],[Debit (Rp)]],"Benar","salah"))</f>
        <v>Benar</v>
      </c>
      <c r="O42" t="str">
        <f>IF(Table3[[#This Row],[Kredit Jawaban]]="","",IF(Table3[[#This Row],[Kredit Jawaban]]=Table4[[#This Row],[Kredit (Rp)]],"Benar","salah"))</f>
        <v/>
      </c>
    </row>
    <row r="43" spans="1:15" x14ac:dyDescent="0.3">
      <c r="H43" s="3">
        <v>14</v>
      </c>
      <c r="I43" s="3">
        <v>46397</v>
      </c>
      <c r="J43" s="6" t="s">
        <v>1458</v>
      </c>
      <c r="L43" s="2">
        <f>SUM(K41:K42)</f>
        <v>11100000</v>
      </c>
      <c r="M43" t="str">
        <f>IF(Table3[[#This Row],[Akun Jawaban]]="","",IF(Table3[[#This Row],[Akun Jawaban]]=Table4[[#This Row],[Akun]],"Benar","salah"))</f>
        <v>Benar</v>
      </c>
      <c r="N43" t="str">
        <f>IF(Table3[[#This Row],[Debit Jawaban]]="","",IF(Table3[[#This Row],[Debit Jawaban]]=Table4[[#This Row],[Debit (Rp)]],"Benar","salah"))</f>
        <v/>
      </c>
      <c r="O43" t="str">
        <f>IF(Table3[[#This Row],[Kredit Jawaban]]="","",IF(Table3[[#This Row],[Kredit Jawaban]]=Table4[[#This Row],[Kredit (Rp)]],"Benar","salah"))</f>
        <v>Benar</v>
      </c>
    </row>
    <row r="44" spans="1:15" x14ac:dyDescent="0.3">
      <c r="H44" s="3">
        <v>14</v>
      </c>
      <c r="I44" s="3">
        <v>46397</v>
      </c>
      <c r="J44" s="6" t="s">
        <v>1454</v>
      </c>
      <c r="K44" s="2">
        <v>6000000</v>
      </c>
      <c r="M44" t="str">
        <f>IF(Table3[[#This Row],[Akun Jawaban]]="","",IF(Table3[[#This Row],[Akun Jawaban]]=Table4[[#This Row],[Akun]],"Benar","salah"))</f>
        <v>Benar</v>
      </c>
      <c r="N44" t="str">
        <f>IF(Table3[[#This Row],[Debit Jawaban]]="","",IF(Table3[[#This Row],[Debit Jawaban]]=Table4[[#This Row],[Debit (Rp)]],"Benar","salah"))</f>
        <v>Benar</v>
      </c>
      <c r="O44" t="str">
        <f>IF(Table3[[#This Row],[Kredit Jawaban]]="","",IF(Table3[[#This Row],[Kredit Jawaban]]=Table4[[#This Row],[Kredit (Rp)]],"Benar","salah"))</f>
        <v/>
      </c>
    </row>
    <row r="45" spans="1:15" x14ac:dyDescent="0.3">
      <c r="H45" s="3">
        <v>14</v>
      </c>
      <c r="I45" s="3">
        <v>46397</v>
      </c>
      <c r="J45" s="6" t="s">
        <v>1456</v>
      </c>
      <c r="L45" s="2">
        <v>6000000</v>
      </c>
      <c r="M45" t="str">
        <f>IF(Table3[[#This Row],[Akun Jawaban]]="","",IF(Table3[[#This Row],[Akun Jawaban]]=Table4[[#This Row],[Akun]],"Benar","salah"))</f>
        <v>Benar</v>
      </c>
      <c r="N45" t="str">
        <f>IF(Table3[[#This Row],[Debit Jawaban]]="","",IF(Table3[[#This Row],[Debit Jawaban]]=Table4[[#This Row],[Debit (Rp)]],"Benar","salah"))</f>
        <v/>
      </c>
      <c r="O45" t="str">
        <f>IF(Table3[[#This Row],[Kredit Jawaban]]="","",IF(Table3[[#This Row],[Kredit Jawaban]]=Table4[[#This Row],[Kredit (Rp)]],"Benar","salah"))</f>
        <v>Benar</v>
      </c>
    </row>
    <row r="46" spans="1:15" ht="28.8" x14ac:dyDescent="0.3">
      <c r="A46">
        <v>15</v>
      </c>
      <c r="B46">
        <v>46397</v>
      </c>
      <c r="C46" s="1" t="s">
        <v>523</v>
      </c>
      <c r="D46" s="1" t="s">
        <v>524</v>
      </c>
      <c r="E46" s="1" t="s">
        <v>525</v>
      </c>
      <c r="F46" s="2">
        <v>2500000</v>
      </c>
      <c r="G46" s="1" t="s">
        <v>526</v>
      </c>
      <c r="H46" s="3">
        <v>15</v>
      </c>
      <c r="I46" s="3">
        <v>46397</v>
      </c>
      <c r="J46" s="6" t="s">
        <v>1459</v>
      </c>
      <c r="K46" s="2">
        <v>2500000</v>
      </c>
      <c r="M46" t="str">
        <f>IF(Table3[[#This Row],[Akun Jawaban]]="","",IF(Table3[[#This Row],[Akun Jawaban]]=Table4[[#This Row],[Akun]],"Benar","salah"))</f>
        <v>Benar</v>
      </c>
      <c r="N46" t="str">
        <f>IF(Table3[[#This Row],[Debit Jawaban]]="","",IF(Table3[[#This Row],[Debit Jawaban]]=Table4[[#This Row],[Debit (Rp)]],"Benar","salah"))</f>
        <v>Benar</v>
      </c>
      <c r="O46" t="str">
        <f>IF(Table3[[#This Row],[Kredit Jawaban]]="","",IF(Table3[[#This Row],[Kredit Jawaban]]=Table4[[#This Row],[Kredit (Rp)]],"Benar","salah"))</f>
        <v/>
      </c>
    </row>
    <row r="47" spans="1:15" ht="28.8" x14ac:dyDescent="0.3">
      <c r="G47" s="1" t="s">
        <v>526</v>
      </c>
      <c r="H47" s="3">
        <v>15</v>
      </c>
      <c r="I47" s="3">
        <v>46397</v>
      </c>
      <c r="J47" s="6" t="s">
        <v>1447</v>
      </c>
      <c r="L47" s="2">
        <v>2500000</v>
      </c>
      <c r="M47" t="str">
        <f>IF(Table3[[#This Row],[Akun Jawaban]]="","",IF(Table3[[#This Row],[Akun Jawaban]]=Table4[[#This Row],[Akun]],"Benar","salah"))</f>
        <v>Benar</v>
      </c>
      <c r="N47" t="str">
        <f>IF(Table3[[#This Row],[Debit Jawaban]]="","",IF(Table3[[#This Row],[Debit Jawaban]]=Table4[[#This Row],[Debit (Rp)]],"Benar","salah"))</f>
        <v/>
      </c>
      <c r="O47" t="str">
        <f>IF(Table3[[#This Row],[Kredit Jawaban]]="","",IF(Table3[[#This Row],[Kredit Jawaban]]=Table4[[#This Row],[Kredit (Rp)]],"Benar","salah"))</f>
        <v>Benar</v>
      </c>
    </row>
    <row r="48" spans="1:15" ht="43.2" x14ac:dyDescent="0.3">
      <c r="A48">
        <v>16</v>
      </c>
      <c r="B48">
        <v>46398</v>
      </c>
      <c r="C48" s="1" t="s">
        <v>527</v>
      </c>
      <c r="D48" s="1" t="s">
        <v>528</v>
      </c>
      <c r="E48" s="1" t="s">
        <v>529</v>
      </c>
      <c r="F48" s="2">
        <v>12000000</v>
      </c>
      <c r="G48" s="1" t="s">
        <v>530</v>
      </c>
      <c r="H48" s="3">
        <v>16</v>
      </c>
      <c r="I48" s="3">
        <v>46398</v>
      </c>
      <c r="J48" s="6" t="s">
        <v>1460</v>
      </c>
      <c r="K48" s="2">
        <v>12000000</v>
      </c>
      <c r="M48" t="str">
        <f>IF(Table3[[#This Row],[Akun Jawaban]]="","",IF(Table3[[#This Row],[Akun Jawaban]]=Table4[[#This Row],[Akun]],"Benar","salah"))</f>
        <v>Benar</v>
      </c>
      <c r="N48" t="str">
        <f>IF(Table3[[#This Row],[Debit Jawaban]]="","",IF(Table3[[#This Row],[Debit Jawaban]]=Table4[[#This Row],[Debit (Rp)]],"Benar","salah"))</f>
        <v>Benar</v>
      </c>
      <c r="O48" t="str">
        <f>IF(Table3[[#This Row],[Kredit Jawaban]]="","",IF(Table3[[#This Row],[Kredit Jawaban]]=Table4[[#This Row],[Kredit (Rp)]],"Benar","salah"))</f>
        <v/>
      </c>
    </row>
    <row r="49" spans="1:15" ht="28.8" x14ac:dyDescent="0.3">
      <c r="G49" s="1" t="s">
        <v>530</v>
      </c>
      <c r="H49" s="3">
        <v>16</v>
      </c>
      <c r="I49" s="3">
        <v>46398</v>
      </c>
      <c r="J49" s="6" t="s">
        <v>1447</v>
      </c>
      <c r="L49" s="2">
        <v>12000000</v>
      </c>
      <c r="M49" t="str">
        <f>IF(Table3[[#This Row],[Akun Jawaban]]="","",IF(Table3[[#This Row],[Akun Jawaban]]=Table4[[#This Row],[Akun]],"Benar","salah"))</f>
        <v>Benar</v>
      </c>
      <c r="N49" t="str">
        <f>IF(Table3[[#This Row],[Debit Jawaban]]="","",IF(Table3[[#This Row],[Debit Jawaban]]=Table4[[#This Row],[Debit (Rp)]],"Benar","salah"))</f>
        <v/>
      </c>
      <c r="O49" t="str">
        <f>IF(Table3[[#This Row],[Kredit Jawaban]]="","",IF(Table3[[#This Row],[Kredit Jawaban]]=Table4[[#This Row],[Kredit (Rp)]],"Benar","salah"))</f>
        <v>Benar</v>
      </c>
    </row>
    <row r="50" spans="1:15" ht="57.6" x14ac:dyDescent="0.3">
      <c r="A50">
        <v>17</v>
      </c>
      <c r="B50">
        <v>46398</v>
      </c>
      <c r="C50" s="1" t="s">
        <v>531</v>
      </c>
      <c r="D50" s="1" t="s">
        <v>532</v>
      </c>
      <c r="E50" s="1" t="s">
        <v>533</v>
      </c>
      <c r="F50" s="2">
        <v>18000000</v>
      </c>
      <c r="G50" s="1" t="s">
        <v>534</v>
      </c>
      <c r="H50" s="3">
        <v>17</v>
      </c>
      <c r="I50" s="3">
        <v>46398</v>
      </c>
      <c r="J50" s="6" t="s">
        <v>1461</v>
      </c>
      <c r="K50" s="2">
        <v>18000000</v>
      </c>
      <c r="M50" t="str">
        <f>IF(Table3[[#This Row],[Akun Jawaban]]="","",IF(Table3[[#This Row],[Akun Jawaban]]=Table4[[#This Row],[Akun]],"Benar","salah"))</f>
        <v>Benar</v>
      </c>
      <c r="N50" t="str">
        <f>IF(Table3[[#This Row],[Debit Jawaban]]="","",IF(Table3[[#This Row],[Debit Jawaban]]=Table4[[#This Row],[Debit (Rp)]],"Benar","salah"))</f>
        <v>Benar</v>
      </c>
      <c r="O50" t="str">
        <f>IF(Table3[[#This Row],[Kredit Jawaban]]="","",IF(Table3[[#This Row],[Kredit Jawaban]]=Table4[[#This Row],[Kredit (Rp)]],"Benar","salah"))</f>
        <v/>
      </c>
    </row>
    <row r="51" spans="1:15" ht="28.8" x14ac:dyDescent="0.3">
      <c r="G51" s="1" t="s">
        <v>534</v>
      </c>
      <c r="H51" s="3">
        <v>17</v>
      </c>
      <c r="I51" s="3">
        <v>46398</v>
      </c>
      <c r="J51" s="6" t="s">
        <v>1447</v>
      </c>
      <c r="L51" s="2">
        <v>18000000</v>
      </c>
      <c r="M51" t="str">
        <f>IF(Table3[[#This Row],[Akun Jawaban]]="","",IF(Table3[[#This Row],[Akun Jawaban]]=Table4[[#This Row],[Akun]],"Benar","salah"))</f>
        <v>Benar</v>
      </c>
      <c r="N51" t="str">
        <f>IF(Table3[[#This Row],[Debit Jawaban]]="","",IF(Table3[[#This Row],[Debit Jawaban]]=Table4[[#This Row],[Debit (Rp)]],"Benar","salah"))</f>
        <v/>
      </c>
      <c r="O51" t="str">
        <f>IF(Table3[[#This Row],[Kredit Jawaban]]="","",IF(Table3[[#This Row],[Kredit Jawaban]]=Table4[[#This Row],[Kredit (Rp)]],"Benar","salah"))</f>
        <v>Benar</v>
      </c>
    </row>
    <row r="52" spans="1:15" ht="43.2" x14ac:dyDescent="0.3">
      <c r="A52">
        <v>18</v>
      </c>
      <c r="B52">
        <v>46399</v>
      </c>
      <c r="C52" s="1" t="s">
        <v>535</v>
      </c>
      <c r="D52" s="1" t="s">
        <v>536</v>
      </c>
      <c r="E52" s="1" t="s">
        <v>537</v>
      </c>
      <c r="F52" s="2">
        <v>6000000</v>
      </c>
      <c r="G52" s="1" t="s">
        <v>538</v>
      </c>
      <c r="H52" s="3">
        <v>18</v>
      </c>
      <c r="I52" s="3">
        <v>46399</v>
      </c>
      <c r="J52" s="6" t="s">
        <v>1462</v>
      </c>
      <c r="K52" s="2">
        <v>6000000</v>
      </c>
      <c r="M52" t="str">
        <f>IF(Table3[[#This Row],[Akun Jawaban]]="","",IF(Table3[[#This Row],[Akun Jawaban]]=Table4[[#This Row],[Akun]],"Benar","salah"))</f>
        <v>Benar</v>
      </c>
      <c r="N52" t="str">
        <f>IF(Table3[[#This Row],[Debit Jawaban]]="","",IF(Table3[[#This Row],[Debit Jawaban]]=Table4[[#This Row],[Debit (Rp)]],"Benar","salah"))</f>
        <v>Benar</v>
      </c>
      <c r="O52" t="str">
        <f>IF(Table3[[#This Row],[Kredit Jawaban]]="","",IF(Table3[[#This Row],[Kredit Jawaban]]=Table4[[#This Row],[Kredit (Rp)]],"Benar","salah"))</f>
        <v/>
      </c>
    </row>
    <row r="53" spans="1:15" ht="28.8" x14ac:dyDescent="0.3">
      <c r="G53" s="1" t="s">
        <v>538</v>
      </c>
      <c r="H53" s="3">
        <v>18</v>
      </c>
      <c r="I53" s="3">
        <v>46399</v>
      </c>
      <c r="J53" s="6" t="s">
        <v>1447</v>
      </c>
      <c r="L53" s="2">
        <v>6000000</v>
      </c>
      <c r="M53" t="str">
        <f>IF(Table3[[#This Row],[Akun Jawaban]]="","",IF(Table3[[#This Row],[Akun Jawaban]]=Table4[[#This Row],[Akun]],"Benar","salah"))</f>
        <v>Benar</v>
      </c>
      <c r="N53" t="str">
        <f>IF(Table3[[#This Row],[Debit Jawaban]]="","",IF(Table3[[#This Row],[Debit Jawaban]]=Table4[[#This Row],[Debit (Rp)]],"Benar","salah"))</f>
        <v/>
      </c>
      <c r="O53" t="str">
        <f>IF(Table3[[#This Row],[Kredit Jawaban]]="","",IF(Table3[[#This Row],[Kredit Jawaban]]=Table4[[#This Row],[Kredit (Rp)]],"Benar","salah"))</f>
        <v>Benar</v>
      </c>
    </row>
    <row r="54" spans="1:15" ht="28.8" x14ac:dyDescent="0.3">
      <c r="A54">
        <v>19</v>
      </c>
      <c r="B54">
        <v>46399</v>
      </c>
      <c r="C54" s="1" t="s">
        <v>539</v>
      </c>
      <c r="D54" s="1" t="s">
        <v>540</v>
      </c>
      <c r="E54" s="1" t="s">
        <v>541</v>
      </c>
      <c r="F54" s="2">
        <v>10000000</v>
      </c>
      <c r="G54" s="1" t="s">
        <v>475</v>
      </c>
      <c r="H54" s="3">
        <v>19</v>
      </c>
      <c r="I54" s="3">
        <v>46399</v>
      </c>
      <c r="J54" s="6" t="s">
        <v>1449</v>
      </c>
      <c r="K54" s="2">
        <v>10000000</v>
      </c>
      <c r="M54" t="str">
        <f>IF(Table3[[#This Row],[Akun Jawaban]]="","",IF(Table3[[#This Row],[Akun Jawaban]]=Table4[[#This Row],[Akun]],"Benar","salah"))</f>
        <v>Benar</v>
      </c>
      <c r="N54" t="str">
        <f>IF(Table3[[#This Row],[Debit Jawaban]]="","",IF(Table3[[#This Row],[Debit Jawaban]]=Table4[[#This Row],[Debit (Rp)]],"Benar","salah"))</f>
        <v>Benar</v>
      </c>
      <c r="O54" t="str">
        <f>IF(Table3[[#This Row],[Kredit Jawaban]]="","",IF(Table3[[#This Row],[Kredit Jawaban]]=Table4[[#This Row],[Kredit (Rp)]],"Benar","salah"))</f>
        <v/>
      </c>
    </row>
    <row r="55" spans="1:15" x14ac:dyDescent="0.3">
      <c r="G55" s="1" t="s">
        <v>475</v>
      </c>
      <c r="H55" s="3">
        <v>19</v>
      </c>
      <c r="I55" s="3">
        <v>46399</v>
      </c>
      <c r="J55" s="6" t="s">
        <v>1447</v>
      </c>
      <c r="L55" s="2">
        <v>10000000</v>
      </c>
      <c r="M55" t="str">
        <f>IF(Table3[[#This Row],[Akun Jawaban]]="","",IF(Table3[[#This Row],[Akun Jawaban]]=Table4[[#This Row],[Akun]],"Benar","salah"))</f>
        <v>Benar</v>
      </c>
      <c r="N55" t="str">
        <f>IF(Table3[[#This Row],[Debit Jawaban]]="","",IF(Table3[[#This Row],[Debit Jawaban]]=Table4[[#This Row],[Debit (Rp)]],"Benar","salah"))</f>
        <v/>
      </c>
      <c r="O55" t="str">
        <f>IF(Table3[[#This Row],[Kredit Jawaban]]="","",IF(Table3[[#This Row],[Kredit Jawaban]]=Table4[[#This Row],[Kredit (Rp)]],"Benar","salah"))</f>
        <v>Benar</v>
      </c>
    </row>
    <row r="56" spans="1:15" ht="28.8" x14ac:dyDescent="0.3">
      <c r="A56">
        <v>20</v>
      </c>
      <c r="B56">
        <v>46400</v>
      </c>
      <c r="C56" s="1" t="s">
        <v>542</v>
      </c>
      <c r="D56" s="1" t="s">
        <v>543</v>
      </c>
      <c r="E56" s="1" t="s">
        <v>544</v>
      </c>
      <c r="F56" s="2">
        <v>3200000</v>
      </c>
      <c r="G56" s="1" t="s">
        <v>545</v>
      </c>
      <c r="H56" s="3">
        <v>20</v>
      </c>
      <c r="I56" s="3">
        <v>46400</v>
      </c>
      <c r="J56" s="6" t="s">
        <v>1463</v>
      </c>
      <c r="K56" s="2">
        <v>3200000</v>
      </c>
      <c r="M56" t="str">
        <f>IF(Table3[[#This Row],[Akun Jawaban]]="","",IF(Table3[[#This Row],[Akun Jawaban]]=Table4[[#This Row],[Akun]],"Benar","salah"))</f>
        <v>Benar</v>
      </c>
      <c r="N56" t="str">
        <f>IF(Table3[[#This Row],[Debit Jawaban]]="","",IF(Table3[[#This Row],[Debit Jawaban]]=Table4[[#This Row],[Debit (Rp)]],"Benar","salah"))</f>
        <v>Benar</v>
      </c>
      <c r="O56" t="str">
        <f>IF(Table3[[#This Row],[Kredit Jawaban]]="","",IF(Table3[[#This Row],[Kredit Jawaban]]=Table4[[#This Row],[Kredit (Rp)]],"Benar","salah"))</f>
        <v/>
      </c>
    </row>
    <row r="57" spans="1:15" ht="28.8" x14ac:dyDescent="0.3">
      <c r="G57" s="1" t="s">
        <v>545</v>
      </c>
      <c r="H57" s="3">
        <v>20</v>
      </c>
      <c r="I57" s="3">
        <v>46400</v>
      </c>
      <c r="J57" s="6" t="s">
        <v>1447</v>
      </c>
      <c r="L57" s="2">
        <v>3200000</v>
      </c>
      <c r="M57" t="str">
        <f>IF(Table3[[#This Row],[Akun Jawaban]]="","",IF(Table3[[#This Row],[Akun Jawaban]]=Table4[[#This Row],[Akun]],"Benar","salah"))</f>
        <v>Benar</v>
      </c>
      <c r="N57" t="str">
        <f>IF(Table3[[#This Row],[Debit Jawaban]]="","",IF(Table3[[#This Row],[Debit Jawaban]]=Table4[[#This Row],[Debit (Rp)]],"Benar","salah"))</f>
        <v/>
      </c>
      <c r="O57" t="str">
        <f>IF(Table3[[#This Row],[Kredit Jawaban]]="","",IF(Table3[[#This Row],[Kredit Jawaban]]=Table4[[#This Row],[Kredit (Rp)]],"Benar","salah"))</f>
        <v>Benar</v>
      </c>
    </row>
    <row r="58" spans="1:15" ht="43.2" x14ac:dyDescent="0.3">
      <c r="A58">
        <v>21</v>
      </c>
      <c r="B58">
        <v>46400</v>
      </c>
      <c r="C58" s="1" t="s">
        <v>546</v>
      </c>
      <c r="D58" s="1" t="s">
        <v>547</v>
      </c>
      <c r="E58" s="1" t="s">
        <v>548</v>
      </c>
      <c r="F58" s="2">
        <v>2000000</v>
      </c>
      <c r="G58" s="1" t="s">
        <v>549</v>
      </c>
      <c r="H58" s="3">
        <v>21</v>
      </c>
      <c r="I58" s="3">
        <v>46400</v>
      </c>
      <c r="J58" s="6" t="s">
        <v>1464</v>
      </c>
      <c r="K58" s="2">
        <v>2000000</v>
      </c>
      <c r="M58" t="str">
        <f>IF(Table3[[#This Row],[Akun Jawaban]]="","",IF(Table3[[#This Row],[Akun Jawaban]]=Table4[[#This Row],[Akun]],"Benar","salah"))</f>
        <v>Benar</v>
      </c>
      <c r="N58" t="str">
        <f>IF(Table3[[#This Row],[Debit Jawaban]]="","",IF(Table3[[#This Row],[Debit Jawaban]]=Table4[[#This Row],[Debit (Rp)]],"Benar","salah"))</f>
        <v>Benar</v>
      </c>
      <c r="O58" t="str">
        <f>IF(Table3[[#This Row],[Kredit Jawaban]]="","",IF(Table3[[#This Row],[Kredit Jawaban]]=Table4[[#This Row],[Kredit (Rp)]],"Benar","salah"))</f>
        <v/>
      </c>
    </row>
    <row r="59" spans="1:15" ht="28.8" x14ac:dyDescent="0.3">
      <c r="G59" s="1" t="s">
        <v>549</v>
      </c>
      <c r="H59" s="3">
        <v>21</v>
      </c>
      <c r="I59" s="3">
        <v>46400</v>
      </c>
      <c r="J59" s="6" t="s">
        <v>1449</v>
      </c>
      <c r="L59" s="2">
        <v>2000000</v>
      </c>
      <c r="M59" t="str">
        <f>IF(Table3[[#This Row],[Akun Jawaban]]="","",IF(Table3[[#This Row],[Akun Jawaban]]=Table4[[#This Row],[Akun]],"Benar","salah"))</f>
        <v>Benar</v>
      </c>
      <c r="N59" t="str">
        <f>IF(Table3[[#This Row],[Debit Jawaban]]="","",IF(Table3[[#This Row],[Debit Jawaban]]=Table4[[#This Row],[Debit (Rp)]],"Benar","salah"))</f>
        <v/>
      </c>
      <c r="O59" t="str">
        <f>IF(Table3[[#This Row],[Kredit Jawaban]]="","",IF(Table3[[#This Row],[Kredit Jawaban]]=Table4[[#This Row],[Kredit (Rp)]],"Benar","salah"))</f>
        <v>Benar</v>
      </c>
    </row>
    <row r="60" spans="1:15" ht="57.6" x14ac:dyDescent="0.3">
      <c r="A60">
        <v>22</v>
      </c>
      <c r="B60">
        <v>46401</v>
      </c>
      <c r="C60" s="1" t="s">
        <v>550</v>
      </c>
      <c r="D60" s="1" t="s">
        <v>551</v>
      </c>
      <c r="E60" s="1" t="s">
        <v>552</v>
      </c>
      <c r="F60" s="2">
        <v>8000000</v>
      </c>
      <c r="G60" s="1" t="s">
        <v>553</v>
      </c>
      <c r="H60" s="3">
        <v>22</v>
      </c>
      <c r="I60" s="3">
        <v>46401</v>
      </c>
      <c r="J60" s="6" t="s">
        <v>1465</v>
      </c>
      <c r="K60" s="2">
        <v>8000000</v>
      </c>
      <c r="M60" t="str">
        <f>IF(Table3[[#This Row],[Akun Jawaban]]="","",IF(Table3[[#This Row],[Akun Jawaban]]=Table4[[#This Row],[Akun]],"Benar","salah"))</f>
        <v>Benar</v>
      </c>
      <c r="N60" t="str">
        <f>IF(Table3[[#This Row],[Debit Jawaban]]="","",IF(Table3[[#This Row],[Debit Jawaban]]=Table4[[#This Row],[Debit (Rp)]],"Benar","salah"))</f>
        <v>Benar</v>
      </c>
      <c r="O60" t="str">
        <f>IF(Table3[[#This Row],[Kredit Jawaban]]="","",IF(Table3[[#This Row],[Kredit Jawaban]]=Table4[[#This Row],[Kredit (Rp)]],"Benar","salah"))</f>
        <v/>
      </c>
    </row>
    <row r="61" spans="1:15" ht="43.2" x14ac:dyDescent="0.3">
      <c r="G61" s="1" t="s">
        <v>553</v>
      </c>
      <c r="H61" s="3">
        <v>22</v>
      </c>
      <c r="I61" s="3">
        <v>46401</v>
      </c>
      <c r="J61" s="6" t="s">
        <v>1451</v>
      </c>
      <c r="K61" s="2">
        <f>11%*K60</f>
        <v>880000</v>
      </c>
      <c r="M61" t="str">
        <f>IF(Table3[[#This Row],[Akun Jawaban]]="","",IF(Table3[[#This Row],[Akun Jawaban]]=Table4[[#This Row],[Akun]],"Benar","salah"))</f>
        <v>Benar</v>
      </c>
      <c r="N61" t="str">
        <f>IF(Table3[[#This Row],[Debit Jawaban]]="","",IF(Table3[[#This Row],[Debit Jawaban]]=Table4[[#This Row],[Debit (Rp)]],"Benar","salah"))</f>
        <v>Benar</v>
      </c>
      <c r="O61" t="str">
        <f>IF(Table3[[#This Row],[Kredit Jawaban]]="","",IF(Table3[[#This Row],[Kredit Jawaban]]=Table4[[#This Row],[Kredit (Rp)]],"Benar","salah"))</f>
        <v/>
      </c>
    </row>
    <row r="62" spans="1:15" x14ac:dyDescent="0.3">
      <c r="H62" s="3">
        <v>22</v>
      </c>
      <c r="I62" s="3">
        <v>46401</v>
      </c>
      <c r="J62" s="6" t="s">
        <v>1466</v>
      </c>
      <c r="L62" s="2">
        <f>2%*K60</f>
        <v>160000</v>
      </c>
      <c r="M62" t="str">
        <f>IF(Table3[[#This Row],[Akun Jawaban]]="","",IF(Table3[[#This Row],[Akun Jawaban]]=Table4[[#This Row],[Akun]],"Benar","salah"))</f>
        <v>Benar</v>
      </c>
      <c r="N62" t="str">
        <f>IF(Table3[[#This Row],[Debit Jawaban]]="","",IF(Table3[[#This Row],[Debit Jawaban]]=Table4[[#This Row],[Debit (Rp)]],"Benar","salah"))</f>
        <v/>
      </c>
      <c r="O62" t="str">
        <f>IF(Table3[[#This Row],[Kredit Jawaban]]="","",IF(Table3[[#This Row],[Kredit Jawaban]]=Table4[[#This Row],[Kredit (Rp)]],"Benar","salah"))</f>
        <v>Benar</v>
      </c>
    </row>
    <row r="63" spans="1:15" x14ac:dyDescent="0.3">
      <c r="H63" s="3">
        <v>22</v>
      </c>
      <c r="I63" s="3">
        <v>46401</v>
      </c>
      <c r="J63" s="6" t="s">
        <v>1447</v>
      </c>
      <c r="L63" s="2">
        <f>SUM(K60,K61-L62)</f>
        <v>8720000</v>
      </c>
      <c r="M63" t="str">
        <f>IF(Table3[[#This Row],[Akun Jawaban]]="","",IF(Table3[[#This Row],[Akun Jawaban]]=Table4[[#This Row],[Akun]],"Benar","salah"))</f>
        <v>Benar</v>
      </c>
      <c r="N63" t="str">
        <f>IF(Table3[[#This Row],[Debit Jawaban]]="","",IF(Table3[[#This Row],[Debit Jawaban]]=Table4[[#This Row],[Debit (Rp)]],"Benar","salah"))</f>
        <v/>
      </c>
      <c r="O63" t="str">
        <f>IF(Table3[[#This Row],[Kredit Jawaban]]="","",IF(Table3[[#This Row],[Kredit Jawaban]]=Table4[[#This Row],[Kredit (Rp)]],"Benar","salah"))</f>
        <v>Benar</v>
      </c>
    </row>
    <row r="64" spans="1:15" ht="57.6" x14ac:dyDescent="0.3">
      <c r="A64">
        <v>23</v>
      </c>
      <c r="B64">
        <v>46401</v>
      </c>
      <c r="C64" s="1" t="s">
        <v>554</v>
      </c>
      <c r="D64" s="1" t="s">
        <v>555</v>
      </c>
      <c r="E64" s="1" t="s">
        <v>556</v>
      </c>
      <c r="F64" s="2">
        <v>20000000</v>
      </c>
      <c r="G64" s="1" t="s">
        <v>557</v>
      </c>
      <c r="H64" s="3">
        <v>23</v>
      </c>
      <c r="I64" s="3">
        <v>46401</v>
      </c>
      <c r="J64" s="6" t="s">
        <v>1467</v>
      </c>
      <c r="K64" s="2">
        <v>20000000</v>
      </c>
      <c r="M64" t="str">
        <f>IF(Table3[[#This Row],[Akun Jawaban]]="","",IF(Table3[[#This Row],[Akun Jawaban]]=Table4[[#This Row],[Akun]],"Benar","salah"))</f>
        <v>Benar</v>
      </c>
      <c r="N64" t="str">
        <f>IF(Table3[[#This Row],[Debit Jawaban]]="","",IF(Table3[[#This Row],[Debit Jawaban]]=Table4[[#This Row],[Debit (Rp)]],"Benar","salah"))</f>
        <v>Benar</v>
      </c>
      <c r="O64" t="str">
        <f>IF(Table3[[#This Row],[Kredit Jawaban]]="","",IF(Table3[[#This Row],[Kredit Jawaban]]=Table4[[#This Row],[Kredit (Rp)]],"Benar","salah"))</f>
        <v/>
      </c>
    </row>
    <row r="65" spans="1:15" ht="43.2" x14ac:dyDescent="0.3">
      <c r="G65" s="1" t="s">
        <v>557</v>
      </c>
      <c r="H65" s="3">
        <v>23</v>
      </c>
      <c r="I65" s="3">
        <v>46401</v>
      </c>
      <c r="J65" s="6" t="s">
        <v>1451</v>
      </c>
      <c r="K65" s="2">
        <f>11%*K64</f>
        <v>2200000</v>
      </c>
      <c r="M65" t="str">
        <f>IF(Table3[[#This Row],[Akun Jawaban]]="","",IF(Table3[[#This Row],[Akun Jawaban]]=Table4[[#This Row],[Akun]],"Benar","salah"))</f>
        <v>Benar</v>
      </c>
      <c r="N65" t="str">
        <f>IF(Table3[[#This Row],[Debit Jawaban]]="","",IF(Table3[[#This Row],[Debit Jawaban]]=Table4[[#This Row],[Debit (Rp)]],"Benar","salah"))</f>
        <v>Benar</v>
      </c>
      <c r="O65" t="str">
        <f>IF(Table3[[#This Row],[Kredit Jawaban]]="","",IF(Table3[[#This Row],[Kredit Jawaban]]=Table4[[#This Row],[Kredit (Rp)]],"Benar","salah"))</f>
        <v/>
      </c>
    </row>
    <row r="66" spans="1:15" x14ac:dyDescent="0.3">
      <c r="H66" s="3">
        <v>23</v>
      </c>
      <c r="I66" s="3">
        <v>46401</v>
      </c>
      <c r="J66" s="1" t="s">
        <v>219</v>
      </c>
      <c r="L66" s="2">
        <v>2000000</v>
      </c>
      <c r="M66" t="str">
        <f>IF(Table3[[#This Row],[Akun Jawaban]]="","",IF(Table3[[#This Row],[Akun Jawaban]]=Table4[[#This Row],[Akun]],"Benar","salah"))</f>
        <v>Benar</v>
      </c>
      <c r="N66" t="str">
        <f>IF(Table3[[#This Row],[Debit Jawaban]]="","",IF(Table3[[#This Row],[Debit Jawaban]]=Table4[[#This Row],[Debit (Rp)]],"Benar","salah"))</f>
        <v/>
      </c>
      <c r="O66" t="str">
        <f>IF(Table3[[#This Row],[Kredit Jawaban]]="","",IF(Table3[[#This Row],[Kredit Jawaban]]=Table4[[#This Row],[Kredit (Rp)]],"Benar","salah"))</f>
        <v>Benar</v>
      </c>
    </row>
    <row r="67" spans="1:15" x14ac:dyDescent="0.3">
      <c r="H67" s="3">
        <v>23</v>
      </c>
      <c r="I67" s="3">
        <v>46401</v>
      </c>
      <c r="J67" s="1" t="s">
        <v>138</v>
      </c>
      <c r="L67" s="2">
        <f>SUM(K64,K65-L66)</f>
        <v>20200000</v>
      </c>
      <c r="M67" t="str">
        <f>IF(Table3[[#This Row],[Akun Jawaban]]="","",IF(Table3[[#This Row],[Akun Jawaban]]=Table4[[#This Row],[Akun]],"Benar","salah"))</f>
        <v>Benar</v>
      </c>
      <c r="N67" t="str">
        <f>IF(Table3[[#This Row],[Debit Jawaban]]="","",IF(Table3[[#This Row],[Debit Jawaban]]=Table4[[#This Row],[Debit (Rp)]],"Benar","salah"))</f>
        <v/>
      </c>
      <c r="O67" t="str">
        <f>IF(Table3[[#This Row],[Kredit Jawaban]]="","",IF(Table3[[#This Row],[Kredit Jawaban]]=Table4[[#This Row],[Kredit (Rp)]],"Benar","salah"))</f>
        <v>Benar</v>
      </c>
    </row>
    <row r="68" spans="1:15" ht="72" x14ac:dyDescent="0.3">
      <c r="A68">
        <v>24</v>
      </c>
      <c r="B68">
        <v>46402</v>
      </c>
      <c r="C68" s="1" t="s">
        <v>558</v>
      </c>
      <c r="D68" s="1" t="s">
        <v>559</v>
      </c>
      <c r="E68" s="1" t="s">
        <v>560</v>
      </c>
      <c r="F68" s="2">
        <v>25000000</v>
      </c>
      <c r="G68" s="1" t="s">
        <v>561</v>
      </c>
      <c r="H68" s="3">
        <v>24</v>
      </c>
      <c r="I68" s="3">
        <v>46402</v>
      </c>
      <c r="J68" s="6" t="s">
        <v>1468</v>
      </c>
      <c r="K68" s="2">
        <v>25000000</v>
      </c>
      <c r="M68" t="str">
        <f>IF(Table3[[#This Row],[Akun Jawaban]]="","",IF(Table3[[#This Row],[Akun Jawaban]]=Table4[[#This Row],[Akun]],"Benar","salah"))</f>
        <v>Benar</v>
      </c>
      <c r="N68" t="str">
        <f>IF(Table3[[#This Row],[Debit Jawaban]]="","",IF(Table3[[#This Row],[Debit Jawaban]]=Table4[[#This Row],[Debit (Rp)]],"Benar","salah"))</f>
        <v>Benar</v>
      </c>
      <c r="O68" t="str">
        <f>IF(Table3[[#This Row],[Kredit Jawaban]]="","",IF(Table3[[#This Row],[Kredit Jawaban]]=Table4[[#This Row],[Kredit (Rp)]],"Benar","salah"))</f>
        <v/>
      </c>
    </row>
    <row r="69" spans="1:15" ht="43.2" x14ac:dyDescent="0.3">
      <c r="G69" s="1" t="s">
        <v>561</v>
      </c>
      <c r="H69" s="3">
        <v>24</v>
      </c>
      <c r="I69" s="3">
        <v>46402</v>
      </c>
      <c r="J69" s="6" t="s">
        <v>1469</v>
      </c>
      <c r="L69" s="2">
        <v>1000000</v>
      </c>
      <c r="M69" t="str">
        <f>IF(Table3[[#This Row],[Akun Jawaban]]="","",IF(Table3[[#This Row],[Akun Jawaban]]=Table4[[#This Row],[Akun]],"Benar","salah"))</f>
        <v>Benar</v>
      </c>
      <c r="N69" t="str">
        <f>IF(Table3[[#This Row],[Debit Jawaban]]="","",IF(Table3[[#This Row],[Debit Jawaban]]=Table4[[#This Row],[Debit (Rp)]],"Benar","salah"))</f>
        <v/>
      </c>
      <c r="O69" t="str">
        <f>IF(Table3[[#This Row],[Kredit Jawaban]]="","",IF(Table3[[#This Row],[Kredit Jawaban]]=Table4[[#This Row],[Kredit (Rp)]],"Benar","salah"))</f>
        <v>Benar</v>
      </c>
    </row>
    <row r="70" spans="1:15" x14ac:dyDescent="0.3">
      <c r="H70" s="3">
        <v>24</v>
      </c>
      <c r="I70" s="3">
        <v>46402</v>
      </c>
      <c r="J70" s="6" t="s">
        <v>1470</v>
      </c>
      <c r="L70" s="2">
        <v>500000</v>
      </c>
      <c r="M70" t="str">
        <f>IF(Table3[[#This Row],[Akun Jawaban]]="","",IF(Table3[[#This Row],[Akun Jawaban]]=Table4[[#This Row],[Akun]],"Benar","salah"))</f>
        <v>Benar</v>
      </c>
      <c r="N70" t="str">
        <f>IF(Table3[[#This Row],[Debit Jawaban]]="","",IF(Table3[[#This Row],[Debit Jawaban]]=Table4[[#This Row],[Debit (Rp)]],"Benar","salah"))</f>
        <v/>
      </c>
      <c r="O70" t="str">
        <f>IF(Table3[[#This Row],[Kredit Jawaban]]="","",IF(Table3[[#This Row],[Kredit Jawaban]]=Table4[[#This Row],[Kredit (Rp)]],"Benar","salah"))</f>
        <v>Benar</v>
      </c>
    </row>
    <row r="71" spans="1:15" x14ac:dyDescent="0.3">
      <c r="H71" s="3">
        <v>24</v>
      </c>
      <c r="I71" s="3">
        <v>46402</v>
      </c>
      <c r="J71" s="6" t="s">
        <v>1447</v>
      </c>
      <c r="L71" s="2">
        <f>K68-L69-L70</f>
        <v>23500000</v>
      </c>
      <c r="M71" t="str">
        <f>IF(Table3[[#This Row],[Akun Jawaban]]="","",IF(Table3[[#This Row],[Akun Jawaban]]=Table4[[#This Row],[Akun]],"Benar","salah"))</f>
        <v>Benar</v>
      </c>
      <c r="N71" t="str">
        <f>IF(Table3[[#This Row],[Debit Jawaban]]="","",IF(Table3[[#This Row],[Debit Jawaban]]=Table4[[#This Row],[Debit (Rp)]],"Benar","salah"))</f>
        <v/>
      </c>
      <c r="O71" t="str">
        <f>IF(Table3[[#This Row],[Kredit Jawaban]]="","",IF(Table3[[#This Row],[Kredit Jawaban]]=Table4[[#This Row],[Kredit (Rp)]],"Benar","salah"))</f>
        <v>Benar</v>
      </c>
    </row>
    <row r="72" spans="1:15" ht="43.2" x14ac:dyDescent="0.3">
      <c r="A72">
        <v>25</v>
      </c>
      <c r="B72">
        <v>46402</v>
      </c>
      <c r="C72" s="1" t="s">
        <v>562</v>
      </c>
      <c r="D72" s="1" t="s">
        <v>563</v>
      </c>
      <c r="E72" s="1" t="s">
        <v>564</v>
      </c>
      <c r="F72" s="2">
        <v>2000000</v>
      </c>
      <c r="G72" s="1" t="s">
        <v>565</v>
      </c>
      <c r="H72" s="3">
        <v>25</v>
      </c>
      <c r="I72" s="3">
        <v>46402</v>
      </c>
      <c r="J72" s="6" t="s">
        <v>1471</v>
      </c>
      <c r="K72" s="2">
        <v>2000000</v>
      </c>
      <c r="M72" t="str">
        <f>IF(Table3[[#This Row],[Akun Jawaban]]="","",IF(Table3[[#This Row],[Akun Jawaban]]=Table4[[#This Row],[Akun]],"Benar","salah"))</f>
        <v>Benar</v>
      </c>
      <c r="N72" t="str">
        <f>IF(Table3[[#This Row],[Debit Jawaban]]="","",IF(Table3[[#This Row],[Debit Jawaban]]=Table4[[#This Row],[Debit (Rp)]],"Benar","salah"))</f>
        <v>Benar</v>
      </c>
      <c r="O72" t="str">
        <f>IF(Table3[[#This Row],[Kredit Jawaban]]="","",IF(Table3[[#This Row],[Kredit Jawaban]]=Table4[[#This Row],[Kredit (Rp)]],"Benar","salah"))</f>
        <v/>
      </c>
    </row>
    <row r="73" spans="1:15" ht="28.8" x14ac:dyDescent="0.3">
      <c r="G73" s="1" t="s">
        <v>565</v>
      </c>
      <c r="H73" s="3">
        <v>25</v>
      </c>
      <c r="I73" s="3">
        <v>46402</v>
      </c>
      <c r="J73" s="6" t="s">
        <v>1470</v>
      </c>
      <c r="L73" s="2">
        <v>2000000</v>
      </c>
      <c r="M73" t="str">
        <f>IF(Table3[[#This Row],[Akun Jawaban]]="","",IF(Table3[[#This Row],[Akun Jawaban]]=Table4[[#This Row],[Akun]],"Benar","salah"))</f>
        <v>Benar</v>
      </c>
      <c r="N73" t="str">
        <f>IF(Table3[[#This Row],[Debit Jawaban]]="","",IF(Table3[[#This Row],[Debit Jawaban]]=Table4[[#This Row],[Debit (Rp)]],"Benar","salah"))</f>
        <v/>
      </c>
      <c r="O73" t="str">
        <f>IF(Table3[[#This Row],[Kredit Jawaban]]="","",IF(Table3[[#This Row],[Kredit Jawaban]]=Table4[[#This Row],[Kredit (Rp)]],"Benar","salah"))</f>
        <v>Benar</v>
      </c>
    </row>
    <row r="74" spans="1:15" ht="28.8" x14ac:dyDescent="0.3">
      <c r="A74">
        <v>26</v>
      </c>
      <c r="B74">
        <v>46403</v>
      </c>
      <c r="C74" s="1" t="s">
        <v>566</v>
      </c>
      <c r="D74" s="1" t="s">
        <v>567</v>
      </c>
      <c r="E74" s="1" t="s">
        <v>568</v>
      </c>
      <c r="F74" s="2">
        <v>1500000</v>
      </c>
      <c r="G74" s="1" t="s">
        <v>569</v>
      </c>
      <c r="H74" s="3">
        <v>26</v>
      </c>
      <c r="I74" s="3">
        <v>46403</v>
      </c>
      <c r="J74" s="6" t="s">
        <v>1447</v>
      </c>
      <c r="K74" s="2">
        <v>1500000</v>
      </c>
      <c r="M74" t="str">
        <f>IF(Table3[[#This Row],[Akun Jawaban]]="","",IF(Table3[[#This Row],[Akun Jawaban]]=Table4[[#This Row],[Akun]],"Benar","salah"))</f>
        <v>Benar</v>
      </c>
      <c r="N74" t="str">
        <f>IF(Table3[[#This Row],[Debit Jawaban]]="","",IF(Table3[[#This Row],[Debit Jawaban]]=Table4[[#This Row],[Debit (Rp)]],"Benar","salah"))</f>
        <v>Benar</v>
      </c>
      <c r="O74" t="str">
        <f>IF(Table3[[#This Row],[Kredit Jawaban]]="","",IF(Table3[[#This Row],[Kredit Jawaban]]=Table4[[#This Row],[Kredit (Rp)]],"Benar","salah"))</f>
        <v/>
      </c>
    </row>
    <row r="75" spans="1:15" ht="28.8" x14ac:dyDescent="0.3">
      <c r="G75" s="1" t="s">
        <v>569</v>
      </c>
      <c r="H75" s="3">
        <v>26</v>
      </c>
      <c r="I75" s="3">
        <v>46403</v>
      </c>
      <c r="J75" s="6" t="s">
        <v>1473</v>
      </c>
      <c r="L75" s="2">
        <v>1500000</v>
      </c>
      <c r="M75" t="str">
        <f>IF(Table3[[#This Row],[Akun Jawaban]]="","",IF(Table3[[#This Row],[Akun Jawaban]]=Table4[[#This Row],[Akun]],"Benar","salah"))</f>
        <v>Benar</v>
      </c>
      <c r="N75" t="str">
        <f>IF(Table3[[#This Row],[Debit Jawaban]]="","",IF(Table3[[#This Row],[Debit Jawaban]]=Table4[[#This Row],[Debit (Rp)]],"Benar","salah"))</f>
        <v/>
      </c>
      <c r="O75" t="str">
        <f>IF(Table3[[#This Row],[Kredit Jawaban]]="","",IF(Table3[[#This Row],[Kredit Jawaban]]=Table4[[#This Row],[Kredit (Rp)]],"Benar","salah"))</f>
        <v>Benar</v>
      </c>
    </row>
    <row r="76" spans="1:15" ht="43.2" x14ac:dyDescent="0.3">
      <c r="A76">
        <v>27</v>
      </c>
      <c r="B76">
        <v>46403</v>
      </c>
      <c r="C76" s="1" t="s">
        <v>570</v>
      </c>
      <c r="D76" s="1" t="s">
        <v>571</v>
      </c>
      <c r="E76" s="1" t="s">
        <v>572</v>
      </c>
      <c r="F76" s="2">
        <v>250000</v>
      </c>
      <c r="G76" s="1" t="s">
        <v>573</v>
      </c>
      <c r="H76" s="3">
        <v>27</v>
      </c>
      <c r="I76" s="3">
        <v>46403</v>
      </c>
      <c r="J76" s="6" t="s">
        <v>1474</v>
      </c>
      <c r="K76" s="2">
        <v>250000</v>
      </c>
      <c r="M76" t="str">
        <f>IF(Table3[[#This Row],[Akun Jawaban]]="","",IF(Table3[[#This Row],[Akun Jawaban]]=Table4[[#This Row],[Akun]],"Benar","salah"))</f>
        <v>Benar</v>
      </c>
      <c r="N76" t="str">
        <f>IF(Table3[[#This Row],[Debit Jawaban]]="","",IF(Table3[[#This Row],[Debit Jawaban]]=Table4[[#This Row],[Debit (Rp)]],"Benar","salah"))</f>
        <v>Benar</v>
      </c>
      <c r="O76" t="str">
        <f>IF(Table3[[#This Row],[Kredit Jawaban]]="","",IF(Table3[[#This Row],[Kredit Jawaban]]=Table4[[#This Row],[Kredit (Rp)]],"Benar","salah"))</f>
        <v/>
      </c>
    </row>
    <row r="77" spans="1:15" ht="28.8" x14ac:dyDescent="0.3">
      <c r="G77" s="1" t="s">
        <v>573</v>
      </c>
      <c r="H77" s="3">
        <v>27</v>
      </c>
      <c r="I77" s="3">
        <v>46403</v>
      </c>
      <c r="J77" s="6" t="s">
        <v>1447</v>
      </c>
      <c r="L77" s="2">
        <v>250000</v>
      </c>
      <c r="M77" t="str">
        <f>IF(Table3[[#This Row],[Akun Jawaban]]="","",IF(Table3[[#This Row],[Akun Jawaban]]=Table4[[#This Row],[Akun]],"Benar","salah"))</f>
        <v>Benar</v>
      </c>
      <c r="N77" t="str">
        <f>IF(Table3[[#This Row],[Debit Jawaban]]="","",IF(Table3[[#This Row],[Debit Jawaban]]=Table4[[#This Row],[Debit (Rp)]],"Benar","salah"))</f>
        <v/>
      </c>
      <c r="O77" t="str">
        <f>IF(Table3[[#This Row],[Kredit Jawaban]]="","",IF(Table3[[#This Row],[Kredit Jawaban]]=Table4[[#This Row],[Kredit (Rp)]],"Benar","salah"))</f>
        <v>Benar</v>
      </c>
    </row>
    <row r="78" spans="1:15" ht="43.2" x14ac:dyDescent="0.3">
      <c r="A78">
        <v>28</v>
      </c>
      <c r="B78">
        <v>46404</v>
      </c>
      <c r="C78" s="1" t="s">
        <v>574</v>
      </c>
      <c r="D78" s="1" t="s">
        <v>575</v>
      </c>
      <c r="E78" s="1" t="s">
        <v>576</v>
      </c>
      <c r="F78" s="2">
        <v>200000000</v>
      </c>
      <c r="G78" s="1" t="s">
        <v>577</v>
      </c>
      <c r="H78" s="3">
        <v>28</v>
      </c>
      <c r="I78" s="3">
        <v>46404</v>
      </c>
      <c r="J78" s="6" t="s">
        <v>1447</v>
      </c>
      <c r="K78" s="2">
        <v>200000000</v>
      </c>
      <c r="M78" t="str">
        <f>IF(Table3[[#This Row],[Akun Jawaban]]="","",IF(Table3[[#This Row],[Akun Jawaban]]=Table4[[#This Row],[Akun]],"Benar","salah"))</f>
        <v>Benar</v>
      </c>
      <c r="N78" t="str">
        <f>IF(Table3[[#This Row],[Debit Jawaban]]="","",IF(Table3[[#This Row],[Debit Jawaban]]=Table4[[#This Row],[Debit (Rp)]],"Benar","salah"))</f>
        <v>Benar</v>
      </c>
      <c r="O78" t="str">
        <f>IF(Table3[[#This Row],[Kredit Jawaban]]="","",IF(Table3[[#This Row],[Kredit Jawaban]]=Table4[[#This Row],[Kredit (Rp)]],"Benar","salah"))</f>
        <v/>
      </c>
    </row>
    <row r="79" spans="1:15" ht="28.8" x14ac:dyDescent="0.3">
      <c r="G79" s="1" t="s">
        <v>577</v>
      </c>
      <c r="H79" s="3">
        <v>28</v>
      </c>
      <c r="I79" s="3">
        <v>46404</v>
      </c>
      <c r="J79" s="6" t="s">
        <v>1475</v>
      </c>
      <c r="L79" s="2">
        <v>200000000</v>
      </c>
      <c r="M79" t="str">
        <f>IF(Table3[[#This Row],[Akun Jawaban]]="","",IF(Table3[[#This Row],[Akun Jawaban]]=Table4[[#This Row],[Akun]],"Benar","salah"))</f>
        <v>Benar</v>
      </c>
      <c r="N79" t="str">
        <f>IF(Table3[[#This Row],[Debit Jawaban]]="","",IF(Table3[[#This Row],[Debit Jawaban]]=Table4[[#This Row],[Debit (Rp)]],"Benar","salah"))</f>
        <v/>
      </c>
      <c r="O79" t="str">
        <f>IF(Table3[[#This Row],[Kredit Jawaban]]="","",IF(Table3[[#This Row],[Kredit Jawaban]]=Table4[[#This Row],[Kredit (Rp)]],"Benar","salah"))</f>
        <v>Benar</v>
      </c>
    </row>
    <row r="80" spans="1:15" ht="57.6" x14ac:dyDescent="0.3">
      <c r="A80">
        <v>29</v>
      </c>
      <c r="B80">
        <v>46405</v>
      </c>
      <c r="C80" s="1" t="s">
        <v>578</v>
      </c>
      <c r="D80" s="1" t="s">
        <v>579</v>
      </c>
      <c r="E80" s="1" t="s">
        <v>580</v>
      </c>
      <c r="F80" s="2">
        <v>250000000</v>
      </c>
      <c r="G80" s="1" t="s">
        <v>581</v>
      </c>
      <c r="H80" s="3">
        <v>29</v>
      </c>
      <c r="I80" s="3">
        <v>46405</v>
      </c>
      <c r="J80" s="6" t="s">
        <v>1476</v>
      </c>
      <c r="K80" s="2">
        <v>250000000</v>
      </c>
      <c r="M80" t="str">
        <f>IF(Table3[[#This Row],[Akun Jawaban]]="","",IF(Table3[[#This Row],[Akun Jawaban]]=Table4[[#This Row],[Akun]],"Benar","salah"))</f>
        <v>Benar</v>
      </c>
      <c r="N80" t="str">
        <f>IF(Table3[[#This Row],[Debit Jawaban]]="","",IF(Table3[[#This Row],[Debit Jawaban]]=Table4[[#This Row],[Debit (Rp)]],"Benar","salah"))</f>
        <v>Benar</v>
      </c>
      <c r="O80" t="str">
        <f>IF(Table3[[#This Row],[Kredit Jawaban]]="","",IF(Table3[[#This Row],[Kredit Jawaban]]=Table4[[#This Row],[Kredit (Rp)]],"Benar","salah"))</f>
        <v/>
      </c>
    </row>
    <row r="81" spans="1:15" ht="28.8" x14ac:dyDescent="0.3">
      <c r="G81" s="1" t="s">
        <v>581</v>
      </c>
      <c r="H81" s="3">
        <v>29</v>
      </c>
      <c r="I81" s="3">
        <v>46405</v>
      </c>
      <c r="J81" s="6" t="s">
        <v>1451</v>
      </c>
      <c r="K81" s="2">
        <f>11%*K80</f>
        <v>27500000</v>
      </c>
      <c r="M81" t="str">
        <f>IF(Table3[[#This Row],[Akun Jawaban]]="","",IF(Table3[[#This Row],[Akun Jawaban]]=Table4[[#This Row],[Akun]],"Benar","salah"))</f>
        <v>Benar</v>
      </c>
      <c r="N81" t="str">
        <f>IF(Table3[[#This Row],[Debit Jawaban]]="","",IF(Table3[[#This Row],[Debit Jawaban]]=Table4[[#This Row],[Debit (Rp)]],"Benar","salah"))</f>
        <v>Benar</v>
      </c>
      <c r="O81" t="str">
        <f>IF(Table3[[#This Row],[Kredit Jawaban]]="","",IF(Table3[[#This Row],[Kredit Jawaban]]=Table4[[#This Row],[Kredit (Rp)]],"Benar","salah"))</f>
        <v/>
      </c>
    </row>
    <row r="82" spans="1:15" x14ac:dyDescent="0.3">
      <c r="H82" s="3">
        <v>29</v>
      </c>
      <c r="I82" s="3">
        <v>46405</v>
      </c>
      <c r="J82" s="6" t="s">
        <v>1447</v>
      </c>
      <c r="L82" s="2">
        <f>SUM(K80:K81)</f>
        <v>277500000</v>
      </c>
      <c r="M82" t="str">
        <f>IF(Table3[[#This Row],[Akun Jawaban]]="","",IF(Table3[[#This Row],[Akun Jawaban]]=Table4[[#This Row],[Akun]],"Benar","salah"))</f>
        <v>Benar</v>
      </c>
      <c r="N82" t="str">
        <f>IF(Table3[[#This Row],[Debit Jawaban]]="","",IF(Table3[[#This Row],[Debit Jawaban]]=Table4[[#This Row],[Debit (Rp)]],"Benar","salah"))</f>
        <v/>
      </c>
      <c r="O82" t="str">
        <f>IF(Table3[[#This Row],[Kredit Jawaban]]="","",IF(Table3[[#This Row],[Kredit Jawaban]]=Table4[[#This Row],[Kredit (Rp)]],"Benar","salah"))</f>
        <v>Benar</v>
      </c>
    </row>
    <row r="83" spans="1:15" ht="57.6" x14ac:dyDescent="0.3">
      <c r="A83">
        <v>30</v>
      </c>
      <c r="B83">
        <v>46405</v>
      </c>
      <c r="C83" s="1" t="s">
        <v>582</v>
      </c>
      <c r="D83" s="1" t="s">
        <v>583</v>
      </c>
      <c r="E83" s="1" t="s">
        <v>584</v>
      </c>
      <c r="F83" s="2">
        <v>120000000</v>
      </c>
      <c r="G83" s="1" t="s">
        <v>585</v>
      </c>
      <c r="H83" s="3">
        <v>30</v>
      </c>
      <c r="I83" s="3">
        <v>46405</v>
      </c>
      <c r="J83" s="6" t="s">
        <v>1453</v>
      </c>
      <c r="K83" s="2">
        <f>SUM(L84:L86)</f>
        <v>133200000</v>
      </c>
      <c r="M83" t="str">
        <f>IF(Table3[[#This Row],[Akun Jawaban]]="","",IF(Table3[[#This Row],[Akun Jawaban]]=Table4[[#This Row],[Akun]],"Benar","salah"))</f>
        <v>Benar</v>
      </c>
      <c r="N83" t="str">
        <f>IF(Table3[[#This Row],[Debit Jawaban]]="","",IF(Table3[[#This Row],[Debit Jawaban]]=Table4[[#This Row],[Debit (Rp)]],"Benar","salah"))</f>
        <v>Benar</v>
      </c>
      <c r="O83" t="str">
        <f>IF(Table3[[#This Row],[Kredit Jawaban]]="","",IF(Table3[[#This Row],[Kredit Jawaban]]=Table4[[#This Row],[Kredit (Rp)]],"Benar","salah"))</f>
        <v/>
      </c>
    </row>
    <row r="84" spans="1:15" ht="43.2" x14ac:dyDescent="0.3">
      <c r="G84" s="1" t="s">
        <v>585</v>
      </c>
      <c r="H84" s="3">
        <v>30</v>
      </c>
      <c r="I84" s="3">
        <v>46405</v>
      </c>
      <c r="J84" s="6" t="s">
        <v>1447</v>
      </c>
      <c r="L84" s="2">
        <v>130536000</v>
      </c>
      <c r="M84" t="str">
        <f>IF(Table3[[#This Row],[Akun Jawaban]]="","",IF(Table3[[#This Row],[Akun Jawaban]]=Table4[[#This Row],[Akun]],"Benar","salah"))</f>
        <v>Benar</v>
      </c>
      <c r="N84" t="str">
        <f>IF(Table3[[#This Row],[Debit Jawaban]]="","",IF(Table3[[#This Row],[Debit Jawaban]]=Table4[[#This Row],[Debit (Rp)]],"Benar","salah"))</f>
        <v/>
      </c>
      <c r="O84" t="str">
        <f>IF(Table3[[#This Row],[Kredit Jawaban]]="","",IF(Table3[[#This Row],[Kredit Jawaban]]=Table4[[#This Row],[Kredit (Rp)]],"Benar","salah"))</f>
        <v>Benar</v>
      </c>
    </row>
    <row r="85" spans="1:15" x14ac:dyDescent="0.3">
      <c r="H85" s="3">
        <v>30</v>
      </c>
      <c r="I85" s="3">
        <v>46405</v>
      </c>
      <c r="J85" s="6" t="s">
        <v>1454</v>
      </c>
      <c r="L85" s="2">
        <v>2400000</v>
      </c>
      <c r="M85" t="str">
        <f>IF(Table3[[#This Row],[Akun Jawaban]]="","",IF(Table3[[#This Row],[Akun Jawaban]]=Table4[[#This Row],[Akun]],"Benar","salah"))</f>
        <v>Benar</v>
      </c>
      <c r="N85" t="str">
        <f>IF(Table3[[#This Row],[Debit Jawaban]]="","",IF(Table3[[#This Row],[Debit Jawaban]]=Table4[[#This Row],[Debit (Rp)]],"Benar","salah"))</f>
        <v/>
      </c>
      <c r="O85" t="str">
        <f>IF(Table3[[#This Row],[Kredit Jawaban]]="","",IF(Table3[[#This Row],[Kredit Jawaban]]=Table4[[#This Row],[Kredit (Rp)]],"Benar","salah"))</f>
        <v>Benar</v>
      </c>
    </row>
    <row r="86" spans="1:15" x14ac:dyDescent="0.3">
      <c r="H86" s="3">
        <v>30</v>
      </c>
      <c r="I86" s="3">
        <v>46405</v>
      </c>
      <c r="J86" s="6" t="s">
        <v>1451</v>
      </c>
      <c r="L86" s="2">
        <v>264000</v>
      </c>
      <c r="M86" t="str">
        <f>IF(Table3[[#This Row],[Akun Jawaban]]="","",IF(Table3[[#This Row],[Akun Jawaban]]=Table4[[#This Row],[Akun]],"Benar","salah"))</f>
        <v>Benar</v>
      </c>
      <c r="N86" t="str">
        <f>IF(Table3[[#This Row],[Debit Jawaban]]="","",IF(Table3[[#This Row],[Debit Jawaban]]=Table4[[#This Row],[Debit (Rp)]],"Benar","salah"))</f>
        <v/>
      </c>
      <c r="O86" t="str">
        <f>IF(Table3[[#This Row],[Kredit Jawaban]]="","",IF(Table3[[#This Row],[Kredit Jawaban]]=Table4[[#This Row],[Kredit (Rp)]],"Benar","salah"))</f>
        <v>Benar</v>
      </c>
    </row>
    <row r="87" spans="1:15" ht="72" x14ac:dyDescent="0.3">
      <c r="A87">
        <v>31</v>
      </c>
      <c r="B87">
        <v>46406</v>
      </c>
      <c r="C87" s="1" t="s">
        <v>586</v>
      </c>
      <c r="D87" s="1" t="s">
        <v>587</v>
      </c>
      <c r="E87" s="1" t="s">
        <v>588</v>
      </c>
      <c r="F87" s="2">
        <v>30000000</v>
      </c>
      <c r="G87" s="1" t="s">
        <v>589</v>
      </c>
      <c r="H87" s="3">
        <v>31</v>
      </c>
      <c r="I87" s="3">
        <v>46406</v>
      </c>
      <c r="J87" s="6" t="s">
        <v>230</v>
      </c>
      <c r="K87" s="2">
        <v>33300000</v>
      </c>
      <c r="M87" t="str">
        <f>IF(Table3[[#This Row],[Akun Jawaban]]="","",IF(Table3[[#This Row],[Akun Jawaban]]=Table4[[#This Row],[Akun]],"Benar","salah"))</f>
        <v>Benar</v>
      </c>
      <c r="N87" t="str">
        <f>IF(Table3[[#This Row],[Debit Jawaban]]="","",IF(Table3[[#This Row],[Debit Jawaban]]=Table4[[#This Row],[Debit (Rp)]],"Benar","salah"))</f>
        <v>Benar</v>
      </c>
      <c r="O87" t="str">
        <f>IF(Table3[[#This Row],[Kredit Jawaban]]="","",IF(Table3[[#This Row],[Kredit Jawaban]]=Table4[[#This Row],[Kredit (Rp)]],"Benar","salah"))</f>
        <v/>
      </c>
    </row>
    <row r="88" spans="1:15" ht="65.400000000000006" customHeight="1" x14ac:dyDescent="0.3">
      <c r="G88" s="1" t="s">
        <v>589</v>
      </c>
      <c r="H88" s="3">
        <v>31</v>
      </c>
      <c r="I88" s="3">
        <v>46406</v>
      </c>
      <c r="J88" s="6" t="s">
        <v>1457</v>
      </c>
      <c r="L88" s="2">
        <v>30000000</v>
      </c>
      <c r="M88" t="str">
        <f>IF(Table3[[#This Row],[Akun Jawaban]]="","",IF(Table3[[#This Row],[Akun Jawaban]]=Table4[[#This Row],[Akun]],"Benar","salah"))</f>
        <v>Benar</v>
      </c>
      <c r="N88" t="str">
        <f>IF(Table3[[#This Row],[Debit Jawaban]]="","",IF(Table3[[#This Row],[Debit Jawaban]]=Table4[[#This Row],[Debit (Rp)]],"Benar","salah"))</f>
        <v/>
      </c>
      <c r="O88" t="str">
        <f>IF(Table3[[#This Row],[Kredit Jawaban]]="","",IF(Table3[[#This Row],[Kredit Jawaban]]=Table4[[#This Row],[Kredit (Rp)]],"Benar","salah"))</f>
        <v>Benar</v>
      </c>
    </row>
    <row r="89" spans="1:15" x14ac:dyDescent="0.3">
      <c r="H89" s="3">
        <v>31</v>
      </c>
      <c r="I89" s="3">
        <v>46406</v>
      </c>
      <c r="J89" s="6" t="s">
        <v>1455</v>
      </c>
      <c r="L89" s="2">
        <f>11%*L88</f>
        <v>3300000</v>
      </c>
      <c r="M89" t="str">
        <f>IF(Table3[[#This Row],[Akun Jawaban]]="","",IF(Table3[[#This Row],[Akun Jawaban]]=Table4[[#This Row],[Akun]],"Benar","salah"))</f>
        <v>Benar</v>
      </c>
      <c r="N89" t="str">
        <f>IF(Table3[[#This Row],[Debit Jawaban]]="","",IF(Table3[[#This Row],[Debit Jawaban]]=Table4[[#This Row],[Debit (Rp)]],"Benar","salah"))</f>
        <v/>
      </c>
      <c r="O89" t="str">
        <f>IF(Table3[[#This Row],[Kredit Jawaban]]="","",IF(Table3[[#This Row],[Kredit Jawaban]]=Table4[[#This Row],[Kredit (Rp)]],"Benar","salah"))</f>
        <v>Benar</v>
      </c>
    </row>
    <row r="90" spans="1:15" x14ac:dyDescent="0.3">
      <c r="H90" s="3">
        <v>31</v>
      </c>
      <c r="I90" s="3">
        <v>46406</v>
      </c>
      <c r="J90" s="6" t="s">
        <v>1456</v>
      </c>
      <c r="K90" s="2">
        <v>16000000</v>
      </c>
      <c r="M90" t="str">
        <f>IF(Table3[[#This Row],[Akun Jawaban]]="","",IF(Table3[[#This Row],[Akun Jawaban]]=Table4[[#This Row],[Akun]],"Benar","salah"))</f>
        <v>Benar</v>
      </c>
      <c r="N90" t="str">
        <f>IF(Table3[[#This Row],[Debit Jawaban]]="","",IF(Table3[[#This Row],[Debit Jawaban]]=Table4[[#This Row],[Debit (Rp)]],"Benar","salah"))</f>
        <v>Benar</v>
      </c>
      <c r="O90" t="str">
        <f>IF(Table3[[#This Row],[Kredit Jawaban]]="","",IF(Table3[[#This Row],[Kredit Jawaban]]=Table4[[#This Row],[Kredit (Rp)]],"Benar","salah"))</f>
        <v/>
      </c>
    </row>
    <row r="91" spans="1:15" x14ac:dyDescent="0.3">
      <c r="H91" s="3">
        <v>31</v>
      </c>
      <c r="I91" s="3">
        <v>46406</v>
      </c>
      <c r="J91" s="6" t="s">
        <v>1454</v>
      </c>
      <c r="L91" s="2">
        <v>16000000</v>
      </c>
      <c r="M91" t="str">
        <f>IF(Table3[[#This Row],[Akun Jawaban]]="","",IF(Table3[[#This Row],[Akun Jawaban]]=Table4[[#This Row],[Akun]],"Benar","salah"))</f>
        <v>Benar</v>
      </c>
      <c r="N91" t="str">
        <f>IF(Table3[[#This Row],[Debit Jawaban]]="","",IF(Table3[[#This Row],[Debit Jawaban]]=Table4[[#This Row],[Debit (Rp)]],"Benar","salah"))</f>
        <v/>
      </c>
      <c r="O91" t="str">
        <f>IF(Table3[[#This Row],[Kredit Jawaban]]="","",IF(Table3[[#This Row],[Kredit Jawaban]]=Table4[[#This Row],[Kredit (Rp)]],"Benar","salah"))</f>
        <v>Benar</v>
      </c>
    </row>
    <row r="92" spans="1:15" ht="43.2" x14ac:dyDescent="0.3">
      <c r="A92">
        <v>32</v>
      </c>
      <c r="B92">
        <v>46406</v>
      </c>
      <c r="C92" s="1" t="s">
        <v>590</v>
      </c>
      <c r="D92" s="1" t="s">
        <v>591</v>
      </c>
      <c r="E92" s="1" t="s">
        <v>592</v>
      </c>
      <c r="F92" s="2">
        <v>85000000</v>
      </c>
      <c r="G92" s="1" t="s">
        <v>593</v>
      </c>
      <c r="H92" s="3">
        <v>32</v>
      </c>
      <c r="I92" s="3">
        <v>46406</v>
      </c>
      <c r="J92" s="6" t="s">
        <v>1447</v>
      </c>
      <c r="K92" s="2">
        <f>SUM(L93:L94)</f>
        <v>94350000</v>
      </c>
      <c r="M92" t="str">
        <f>IF(Table3[[#This Row],[Akun Jawaban]]="","",IF(Table3[[#This Row],[Akun Jawaban]]=Table4[[#This Row],[Akun]],"Benar","salah"))</f>
        <v>Benar</v>
      </c>
      <c r="N92" t="str">
        <f>IF(Table3[[#This Row],[Debit Jawaban]]="","",IF(Table3[[#This Row],[Debit Jawaban]]=Table4[[#This Row],[Debit (Rp)]],"Benar","salah"))</f>
        <v>Benar</v>
      </c>
      <c r="O92" t="str">
        <f>IF(Table3[[#This Row],[Kredit Jawaban]]="","",IF(Table3[[#This Row],[Kredit Jawaban]]=Table4[[#This Row],[Kredit (Rp)]],"Benar","salah"))</f>
        <v/>
      </c>
    </row>
    <row r="93" spans="1:15" ht="43.2" x14ac:dyDescent="0.3">
      <c r="G93" s="1" t="s">
        <v>593</v>
      </c>
      <c r="H93" s="3">
        <v>32</v>
      </c>
      <c r="I93" s="3">
        <v>46406</v>
      </c>
      <c r="J93" s="6" t="s">
        <v>1457</v>
      </c>
      <c r="L93" s="2">
        <v>85000000</v>
      </c>
      <c r="M93" t="str">
        <f>IF(Table3[[#This Row],[Akun Jawaban]]="","",IF(Table3[[#This Row],[Akun Jawaban]]=Table4[[#This Row],[Akun]],"Benar","salah"))</f>
        <v>Benar</v>
      </c>
      <c r="N93" t="str">
        <f>IF(Table3[[#This Row],[Debit Jawaban]]="","",IF(Table3[[#This Row],[Debit Jawaban]]=Table4[[#This Row],[Debit (Rp)]],"Benar","salah"))</f>
        <v/>
      </c>
      <c r="O93" t="str">
        <f>IF(Table3[[#This Row],[Kredit Jawaban]]="","",IF(Table3[[#This Row],[Kredit Jawaban]]=Table4[[#This Row],[Kredit (Rp)]],"Benar","salah"))</f>
        <v>Benar</v>
      </c>
    </row>
    <row r="94" spans="1:15" x14ac:dyDescent="0.3">
      <c r="H94" s="3">
        <v>32</v>
      </c>
      <c r="I94" s="3">
        <v>46406</v>
      </c>
      <c r="J94" s="6" t="s">
        <v>1455</v>
      </c>
      <c r="L94" s="2">
        <f>11%*L93</f>
        <v>9350000</v>
      </c>
      <c r="M94" t="str">
        <f>IF(Table3[[#This Row],[Akun Jawaban]]="","",IF(Table3[[#This Row],[Akun Jawaban]]=Table4[[#This Row],[Akun]],"Benar","salah"))</f>
        <v>Benar</v>
      </c>
      <c r="N94" t="str">
        <f>IF(Table3[[#This Row],[Debit Jawaban]]="","",IF(Table3[[#This Row],[Debit Jawaban]]=Table4[[#This Row],[Debit (Rp)]],"Benar","salah"))</f>
        <v/>
      </c>
      <c r="O94" t="str">
        <f>IF(Table3[[#This Row],[Kredit Jawaban]]="","",IF(Table3[[#This Row],[Kredit Jawaban]]=Table4[[#This Row],[Kredit (Rp)]],"Benar","salah"))</f>
        <v>Benar</v>
      </c>
    </row>
    <row r="95" spans="1:15" x14ac:dyDescent="0.3">
      <c r="H95" s="3">
        <v>32</v>
      </c>
      <c r="I95" s="3">
        <v>46406</v>
      </c>
      <c r="J95" s="6" t="s">
        <v>1456</v>
      </c>
      <c r="K95" s="2">
        <v>48000000</v>
      </c>
      <c r="M95" t="str">
        <f>IF(Table3[[#This Row],[Akun Jawaban]]="","",IF(Table3[[#This Row],[Akun Jawaban]]=Table4[[#This Row],[Akun]],"Benar","salah"))</f>
        <v>Benar</v>
      </c>
      <c r="N95" t="str">
        <f>IF(Table3[[#This Row],[Debit Jawaban]]="","",IF(Table3[[#This Row],[Debit Jawaban]]=Table4[[#This Row],[Debit (Rp)]],"Benar","salah"))</f>
        <v>Benar</v>
      </c>
      <c r="O95" t="str">
        <f>IF(Table3[[#This Row],[Kredit Jawaban]]="","",IF(Table3[[#This Row],[Kredit Jawaban]]=Table4[[#This Row],[Kredit (Rp)]],"Benar","salah"))</f>
        <v/>
      </c>
    </row>
    <row r="96" spans="1:15" x14ac:dyDescent="0.3">
      <c r="H96" s="3">
        <v>32</v>
      </c>
      <c r="I96" s="3">
        <v>46406</v>
      </c>
      <c r="J96" s="6" t="s">
        <v>1454</v>
      </c>
      <c r="L96" s="2">
        <v>48000000</v>
      </c>
      <c r="M96" t="str">
        <f>IF(Table3[[#This Row],[Akun Jawaban]]="","",IF(Table3[[#This Row],[Akun Jawaban]]=Table4[[#This Row],[Akun]],"Benar","salah"))</f>
        <v>Benar</v>
      </c>
      <c r="N96" t="str">
        <f>IF(Table3[[#This Row],[Debit Jawaban]]="","",IF(Table3[[#This Row],[Debit Jawaban]]=Table4[[#This Row],[Debit (Rp)]],"Benar","salah"))</f>
        <v/>
      </c>
      <c r="O96" t="str">
        <f>IF(Table3[[#This Row],[Kredit Jawaban]]="","",IF(Table3[[#This Row],[Kredit Jawaban]]=Table4[[#This Row],[Kredit (Rp)]],"Benar","salah"))</f>
        <v>Benar</v>
      </c>
    </row>
    <row r="97" spans="1:15" ht="43.2" x14ac:dyDescent="0.3">
      <c r="A97">
        <v>33</v>
      </c>
      <c r="B97">
        <v>46407</v>
      </c>
      <c r="C97" s="1" t="s">
        <v>594</v>
      </c>
      <c r="D97" s="1" t="s">
        <v>595</v>
      </c>
      <c r="E97" s="1" t="s">
        <v>596</v>
      </c>
      <c r="F97" s="2">
        <v>210000000</v>
      </c>
      <c r="G97" s="1" t="s">
        <v>597</v>
      </c>
      <c r="H97" s="3">
        <v>33</v>
      </c>
      <c r="I97" s="3">
        <v>46407</v>
      </c>
      <c r="J97" s="6" t="s">
        <v>1458</v>
      </c>
      <c r="K97" s="2">
        <f>SUM(L98:L99)</f>
        <v>233100000</v>
      </c>
      <c r="M97" t="str">
        <f>IF(Table3[[#This Row],[Akun Jawaban]]="","",IF(Table3[[#This Row],[Akun Jawaban]]=Table4[[#This Row],[Akun]],"Benar","salah"))</f>
        <v>Benar</v>
      </c>
      <c r="N97" t="str">
        <f>IF(Table3[[#This Row],[Debit Jawaban]]="","",IF(Table3[[#This Row],[Debit Jawaban]]=Table4[[#This Row],[Debit (Rp)]],"Benar","salah"))</f>
        <v>Benar</v>
      </c>
      <c r="O97" t="str">
        <f>IF(Table3[[#This Row],[Kredit Jawaban]]="","",IF(Table3[[#This Row],[Kredit Jawaban]]=Table4[[#This Row],[Kredit (Rp)]],"Benar","salah"))</f>
        <v/>
      </c>
    </row>
    <row r="98" spans="1:15" ht="43.2" x14ac:dyDescent="0.3">
      <c r="G98" s="1" t="s">
        <v>597</v>
      </c>
      <c r="H98" s="3">
        <v>33</v>
      </c>
      <c r="I98" s="3">
        <v>46407</v>
      </c>
      <c r="J98" s="6" t="s">
        <v>1457</v>
      </c>
      <c r="L98" s="2">
        <v>210000000</v>
      </c>
      <c r="M98" t="str">
        <f>IF(Table3[[#This Row],[Akun Jawaban]]="","",IF(Table3[[#This Row],[Akun Jawaban]]=Table4[[#This Row],[Akun]],"Benar","salah"))</f>
        <v>Benar</v>
      </c>
      <c r="N98" t="str">
        <f>IF(Table3[[#This Row],[Debit Jawaban]]="","",IF(Table3[[#This Row],[Debit Jawaban]]=Table4[[#This Row],[Debit (Rp)]],"Benar","salah"))</f>
        <v/>
      </c>
      <c r="O98" t="str">
        <f>IF(Table3[[#This Row],[Kredit Jawaban]]="","",IF(Table3[[#This Row],[Kredit Jawaban]]=Table4[[#This Row],[Kredit (Rp)]],"Benar","salah"))</f>
        <v>Benar</v>
      </c>
    </row>
    <row r="99" spans="1:15" x14ac:dyDescent="0.3">
      <c r="H99" s="3">
        <v>33</v>
      </c>
      <c r="I99" s="3">
        <v>46407</v>
      </c>
      <c r="J99" s="6" t="s">
        <v>1455</v>
      </c>
      <c r="L99" s="2">
        <f>11%*L98</f>
        <v>23100000</v>
      </c>
      <c r="M99" t="str">
        <f>IF(Table3[[#This Row],[Akun Jawaban]]="","",IF(Table3[[#This Row],[Akun Jawaban]]=Table4[[#This Row],[Akun]],"Benar","salah"))</f>
        <v>Benar</v>
      </c>
      <c r="N99" t="str">
        <f>IF(Table3[[#This Row],[Debit Jawaban]]="","",IF(Table3[[#This Row],[Debit Jawaban]]=Table4[[#This Row],[Debit (Rp)]],"Benar","salah"))</f>
        <v/>
      </c>
      <c r="O99" t="str">
        <f>IF(Table3[[#This Row],[Kredit Jawaban]]="","",IF(Table3[[#This Row],[Kredit Jawaban]]=Table4[[#This Row],[Kredit (Rp)]],"Benar","salah"))</f>
        <v>Benar</v>
      </c>
    </row>
    <row r="100" spans="1:15" x14ac:dyDescent="0.3">
      <c r="H100" s="3">
        <v>33</v>
      </c>
      <c r="I100" s="3">
        <v>46407</v>
      </c>
      <c r="J100" s="6" t="s">
        <v>1456</v>
      </c>
      <c r="K100" s="2">
        <v>125000000</v>
      </c>
      <c r="M100" t="str">
        <f>IF(Table3[[#This Row],[Akun Jawaban]]="","",IF(Table3[[#This Row],[Akun Jawaban]]=Table4[[#This Row],[Akun]],"Benar","salah"))</f>
        <v>Benar</v>
      </c>
      <c r="N100" t="str">
        <f>IF(Table3[[#This Row],[Debit Jawaban]]="","",IF(Table3[[#This Row],[Debit Jawaban]]=Table4[[#This Row],[Debit (Rp)]],"Benar","salah"))</f>
        <v>Benar</v>
      </c>
      <c r="O100" t="str">
        <f>IF(Table3[[#This Row],[Kredit Jawaban]]="","",IF(Table3[[#This Row],[Kredit Jawaban]]=Table4[[#This Row],[Kredit (Rp)]],"Benar","salah"))</f>
        <v/>
      </c>
    </row>
    <row r="101" spans="1:15" x14ac:dyDescent="0.3">
      <c r="H101" s="3">
        <v>33</v>
      </c>
      <c r="I101" s="3">
        <v>46407</v>
      </c>
      <c r="J101" s="6" t="s">
        <v>1454</v>
      </c>
      <c r="L101" s="2">
        <v>125000000</v>
      </c>
      <c r="M101" t="str">
        <f>IF(Table3[[#This Row],[Akun Jawaban]]="","",IF(Table3[[#This Row],[Akun Jawaban]]=Table4[[#This Row],[Akun]],"Benar","salah"))</f>
        <v>Benar</v>
      </c>
      <c r="N101" t="str">
        <f>IF(Table3[[#This Row],[Debit Jawaban]]="","",IF(Table3[[#This Row],[Debit Jawaban]]=Table4[[#This Row],[Debit (Rp)]],"Benar","salah"))</f>
        <v/>
      </c>
      <c r="O101" t="str">
        <f>IF(Table3[[#This Row],[Kredit Jawaban]]="","",IF(Table3[[#This Row],[Kredit Jawaban]]=Table4[[#This Row],[Kredit (Rp)]],"Benar","salah"))</f>
        <v>Benar</v>
      </c>
    </row>
    <row r="102" spans="1:15" ht="28.8" x14ac:dyDescent="0.3">
      <c r="A102">
        <v>34</v>
      </c>
      <c r="B102">
        <v>46408</v>
      </c>
      <c r="C102" s="1" t="s">
        <v>598</v>
      </c>
      <c r="D102" s="1" t="s">
        <v>599</v>
      </c>
      <c r="E102" s="1" t="s">
        <v>509</v>
      </c>
      <c r="F102" s="2">
        <v>100000000</v>
      </c>
      <c r="G102" s="1" t="s">
        <v>506</v>
      </c>
      <c r="H102" s="3">
        <v>34</v>
      </c>
      <c r="I102" s="3">
        <v>46408</v>
      </c>
      <c r="J102" s="6" t="s">
        <v>1447</v>
      </c>
      <c r="K102" s="2">
        <v>100000000</v>
      </c>
      <c r="M102" t="str">
        <f>IF(Table3[[#This Row],[Akun Jawaban]]="","",IF(Table3[[#This Row],[Akun Jawaban]]=Table4[[#This Row],[Akun]],"Benar","salah"))</f>
        <v>Benar</v>
      </c>
      <c r="N102" t="str">
        <f>IF(Table3[[#This Row],[Debit Jawaban]]="","",IF(Table3[[#This Row],[Debit Jawaban]]=Table4[[#This Row],[Debit (Rp)]],"Benar","salah"))</f>
        <v>Benar</v>
      </c>
      <c r="O102" t="str">
        <f>IF(Table3[[#This Row],[Kredit Jawaban]]="","",IF(Table3[[#This Row],[Kredit Jawaban]]=Table4[[#This Row],[Kredit (Rp)]],"Benar","salah"))</f>
        <v/>
      </c>
    </row>
    <row r="103" spans="1:15" ht="28.8" x14ac:dyDescent="0.3">
      <c r="G103" s="1" t="s">
        <v>506</v>
      </c>
      <c r="H103" s="3">
        <v>34</v>
      </c>
      <c r="I103" s="3">
        <v>46408</v>
      </c>
      <c r="J103" s="6" t="s">
        <v>1458</v>
      </c>
      <c r="L103" s="2">
        <v>100000000</v>
      </c>
      <c r="M103" t="str">
        <f>IF(Table3[[#This Row],[Akun Jawaban]]="","",IF(Table3[[#This Row],[Akun Jawaban]]=Table4[[#This Row],[Akun]],"Benar","salah"))</f>
        <v>Benar</v>
      </c>
      <c r="N103" t="str">
        <f>IF(Table3[[#This Row],[Debit Jawaban]]="","",IF(Table3[[#This Row],[Debit Jawaban]]=Table4[[#This Row],[Debit (Rp)]],"Benar","salah"))</f>
        <v/>
      </c>
      <c r="O103" t="str">
        <f>IF(Table3[[#This Row],[Kredit Jawaban]]="","",IF(Table3[[#This Row],[Kredit Jawaban]]=Table4[[#This Row],[Kredit (Rp)]],"Benar","salah"))</f>
        <v>Benar</v>
      </c>
    </row>
    <row r="104" spans="1:15" ht="28.8" x14ac:dyDescent="0.3">
      <c r="A104">
        <v>35</v>
      </c>
      <c r="B104">
        <v>46408</v>
      </c>
      <c r="C104" s="1" t="s">
        <v>600</v>
      </c>
      <c r="D104" s="1" t="s">
        <v>601</v>
      </c>
      <c r="E104" s="1" t="s">
        <v>509</v>
      </c>
      <c r="F104" s="2">
        <v>90000000</v>
      </c>
      <c r="G104" s="1" t="s">
        <v>510</v>
      </c>
      <c r="H104" s="3">
        <v>35</v>
      </c>
      <c r="I104" s="3">
        <v>46408</v>
      </c>
      <c r="J104" s="6" t="s">
        <v>1453</v>
      </c>
      <c r="K104" s="2">
        <v>90000000</v>
      </c>
      <c r="M104" t="str">
        <f>IF(Table3[[#This Row],[Akun Jawaban]]="","",IF(Table3[[#This Row],[Akun Jawaban]]=Table4[[#This Row],[Akun]],"Benar","salah"))</f>
        <v>Benar</v>
      </c>
      <c r="N104" t="str">
        <f>IF(Table3[[#This Row],[Debit Jawaban]]="","",IF(Table3[[#This Row],[Debit Jawaban]]=Table4[[#This Row],[Debit (Rp)]],"Benar","salah"))</f>
        <v>Benar</v>
      </c>
      <c r="O104" t="str">
        <f>IF(Table3[[#This Row],[Kredit Jawaban]]="","",IF(Table3[[#This Row],[Kredit Jawaban]]=Table4[[#This Row],[Kredit (Rp)]],"Benar","salah"))</f>
        <v/>
      </c>
    </row>
    <row r="105" spans="1:15" ht="28.8" x14ac:dyDescent="0.3">
      <c r="G105" s="1" t="s">
        <v>510</v>
      </c>
      <c r="H105" s="3">
        <v>35</v>
      </c>
      <c r="I105" s="3">
        <v>46408</v>
      </c>
      <c r="J105" s="6" t="s">
        <v>1447</v>
      </c>
      <c r="L105" s="2">
        <v>90000000</v>
      </c>
      <c r="M105" t="str">
        <f>IF(Table3[[#This Row],[Akun Jawaban]]="","",IF(Table3[[#This Row],[Akun Jawaban]]=Table4[[#This Row],[Akun]],"Benar","salah"))</f>
        <v>Benar</v>
      </c>
      <c r="N105" t="str">
        <f>IF(Table3[[#This Row],[Debit Jawaban]]="","",IF(Table3[[#This Row],[Debit Jawaban]]=Table4[[#This Row],[Debit (Rp)]],"Benar","salah"))</f>
        <v/>
      </c>
      <c r="O105" t="str">
        <f>IF(Table3[[#This Row],[Kredit Jawaban]]="","",IF(Table3[[#This Row],[Kredit Jawaban]]=Table4[[#This Row],[Kredit (Rp)]],"Benar","salah"))</f>
        <v>Benar</v>
      </c>
    </row>
    <row r="106" spans="1:15" ht="43.2" x14ac:dyDescent="0.3">
      <c r="A106">
        <v>36</v>
      </c>
      <c r="B106">
        <v>46409</v>
      </c>
      <c r="C106" s="1" t="s">
        <v>602</v>
      </c>
      <c r="D106" s="1" t="s">
        <v>603</v>
      </c>
      <c r="E106" s="1" t="s">
        <v>604</v>
      </c>
      <c r="F106" s="2">
        <v>15000000</v>
      </c>
      <c r="G106" s="1" t="s">
        <v>605</v>
      </c>
      <c r="H106" s="3">
        <v>36</v>
      </c>
      <c r="I106" s="3">
        <v>46409</v>
      </c>
      <c r="J106" s="6" t="s">
        <v>256</v>
      </c>
      <c r="K106" s="2">
        <v>15000000</v>
      </c>
      <c r="M106" t="str">
        <f>IF(Table3[[#This Row],[Akun Jawaban]]="","",IF(Table3[[#This Row],[Akun Jawaban]]=Table4[[#This Row],[Akun]],"Benar","salah"))</f>
        <v>Benar</v>
      </c>
      <c r="N106" t="str">
        <f>IF(Table3[[#This Row],[Debit Jawaban]]="","",IF(Table3[[#This Row],[Debit Jawaban]]=Table4[[#This Row],[Debit (Rp)]],"Benar","salah"))</f>
        <v>Benar</v>
      </c>
      <c r="O106" t="str">
        <f>IF(Table3[[#This Row],[Kredit Jawaban]]="","",IF(Table3[[#This Row],[Kredit Jawaban]]=Table4[[#This Row],[Kredit (Rp)]],"Benar","salah"))</f>
        <v/>
      </c>
    </row>
    <row r="107" spans="1:15" ht="43.2" x14ac:dyDescent="0.3">
      <c r="G107" s="1" t="s">
        <v>605</v>
      </c>
      <c r="H107" s="3">
        <v>36</v>
      </c>
      <c r="I107" s="3">
        <v>46409</v>
      </c>
      <c r="J107" s="6" t="s">
        <v>1455</v>
      </c>
      <c r="K107" s="2">
        <f>11%*K106</f>
        <v>1650000</v>
      </c>
      <c r="M107" t="str">
        <f>IF(Table3[[#This Row],[Akun Jawaban]]="","",IF(Table3[[#This Row],[Akun Jawaban]]=Table4[[#This Row],[Akun]],"Benar","salah"))</f>
        <v>Benar</v>
      </c>
      <c r="N107" t="str">
        <f>IF(Table3[[#This Row],[Debit Jawaban]]="","",IF(Table3[[#This Row],[Debit Jawaban]]=Table4[[#This Row],[Debit (Rp)]],"Benar","salah"))</f>
        <v>Benar</v>
      </c>
      <c r="O107" t="str">
        <f>IF(Table3[[#This Row],[Kredit Jawaban]]="","",IF(Table3[[#This Row],[Kredit Jawaban]]=Table4[[#This Row],[Kredit (Rp)]],"Benar","salah"))</f>
        <v/>
      </c>
    </row>
    <row r="108" spans="1:15" x14ac:dyDescent="0.3">
      <c r="H108" s="3">
        <v>36</v>
      </c>
      <c r="I108" s="3">
        <v>46409</v>
      </c>
      <c r="J108" s="6" t="s">
        <v>1458</v>
      </c>
      <c r="L108" s="2">
        <f>SUM(K106:K107)</f>
        <v>16650000</v>
      </c>
      <c r="M108" t="str">
        <f>IF(Table3[[#This Row],[Akun Jawaban]]="","",IF(Table3[[#This Row],[Akun Jawaban]]=Table4[[#This Row],[Akun]],"Benar","salah"))</f>
        <v>Benar</v>
      </c>
      <c r="N108" t="str">
        <f>IF(Table3[[#This Row],[Debit Jawaban]]="","",IF(Table3[[#This Row],[Debit Jawaban]]=Table4[[#This Row],[Debit (Rp)]],"Benar","salah"))</f>
        <v/>
      </c>
      <c r="O108" t="str">
        <f>IF(Table3[[#This Row],[Kredit Jawaban]]="","",IF(Table3[[#This Row],[Kredit Jawaban]]=Table4[[#This Row],[Kredit (Rp)]],"Benar","salah"))</f>
        <v>Benar</v>
      </c>
    </row>
    <row r="109" spans="1:15" x14ac:dyDescent="0.3">
      <c r="H109" s="3">
        <v>36</v>
      </c>
      <c r="I109" s="3">
        <v>46409</v>
      </c>
      <c r="J109" s="6" t="s">
        <v>1454</v>
      </c>
      <c r="K109" s="2">
        <v>9000000</v>
      </c>
      <c r="M109" t="str">
        <f>IF(Table3[[#This Row],[Akun Jawaban]]="","",IF(Table3[[#This Row],[Akun Jawaban]]=Table4[[#This Row],[Akun]],"Benar","salah"))</f>
        <v>Benar</v>
      </c>
      <c r="N109" t="str">
        <f>IF(Table3[[#This Row],[Debit Jawaban]]="","",IF(Table3[[#This Row],[Debit Jawaban]]=Table4[[#This Row],[Debit (Rp)]],"Benar","salah"))</f>
        <v>Benar</v>
      </c>
      <c r="O109" t="str">
        <f>IF(Table3[[#This Row],[Kredit Jawaban]]="","",IF(Table3[[#This Row],[Kredit Jawaban]]=Table4[[#This Row],[Kredit (Rp)]],"Benar","salah"))</f>
        <v/>
      </c>
    </row>
    <row r="110" spans="1:15" x14ac:dyDescent="0.3">
      <c r="H110" s="3">
        <v>36</v>
      </c>
      <c r="I110" s="3">
        <v>46409</v>
      </c>
      <c r="J110" s="6" t="s">
        <v>1456</v>
      </c>
      <c r="L110" s="2">
        <f>K109</f>
        <v>9000000</v>
      </c>
      <c r="M110" t="str">
        <f>IF(Table3[[#This Row],[Akun Jawaban]]="","",IF(Table3[[#This Row],[Akun Jawaban]]=Table4[[#This Row],[Akun]],"Benar","salah"))</f>
        <v>Benar</v>
      </c>
      <c r="N110" t="str">
        <f>IF(Table3[[#This Row],[Debit Jawaban]]="","",IF(Table3[[#This Row],[Debit Jawaban]]=Table4[[#This Row],[Debit (Rp)]],"Benar","salah"))</f>
        <v/>
      </c>
      <c r="O110" t="str">
        <f>IF(Table3[[#This Row],[Kredit Jawaban]]="","",IF(Table3[[#This Row],[Kredit Jawaban]]=Table4[[#This Row],[Kredit (Rp)]],"Benar","salah"))</f>
        <v>Benar</v>
      </c>
    </row>
    <row r="111" spans="1:15" ht="57.6" x14ac:dyDescent="0.3">
      <c r="A111">
        <v>37</v>
      </c>
      <c r="B111">
        <v>46409</v>
      </c>
      <c r="C111" s="1" t="s">
        <v>606</v>
      </c>
      <c r="D111" s="1" t="s">
        <v>607</v>
      </c>
      <c r="E111" s="1" t="s">
        <v>608</v>
      </c>
      <c r="F111" s="2">
        <v>6700000</v>
      </c>
      <c r="G111" s="1" t="s">
        <v>609</v>
      </c>
      <c r="H111" s="3">
        <v>37</v>
      </c>
      <c r="I111" s="3">
        <v>46409</v>
      </c>
      <c r="J111" s="6" t="s">
        <v>230</v>
      </c>
      <c r="K111" s="2">
        <v>6700000</v>
      </c>
      <c r="M111" t="str">
        <f>IF(Table3[[#This Row],[Akun Jawaban]]="","",IF(Table3[[#This Row],[Akun Jawaban]]=Table4[[#This Row],[Akun]],"Benar","salah"))</f>
        <v>Benar</v>
      </c>
      <c r="N111" t="str">
        <f>IF(Table3[[#This Row],[Debit Jawaban]]="","",IF(Table3[[#This Row],[Debit Jawaban]]=Table4[[#This Row],[Debit (Rp)]],"Benar","salah"))</f>
        <v>Benar</v>
      </c>
      <c r="O111" t="str">
        <f>IF(Table3[[#This Row],[Kredit Jawaban]]="","",IF(Table3[[#This Row],[Kredit Jawaban]]=Table4[[#This Row],[Kredit (Rp)]],"Benar","salah"))</f>
        <v/>
      </c>
    </row>
    <row r="112" spans="1:15" ht="28.8" x14ac:dyDescent="0.3">
      <c r="G112" s="1" t="s">
        <v>609</v>
      </c>
      <c r="H112" s="3">
        <v>37</v>
      </c>
      <c r="I112" s="3">
        <v>46409</v>
      </c>
      <c r="J112" s="6" t="s">
        <v>1447</v>
      </c>
      <c r="L112" s="2">
        <v>6700000</v>
      </c>
      <c r="M112" t="str">
        <f>IF(Table3[[#This Row],[Akun Jawaban]]="","",IF(Table3[[#This Row],[Akun Jawaban]]=Table4[[#This Row],[Akun]],"Benar","salah"))</f>
        <v>Benar</v>
      </c>
      <c r="N112" t="str">
        <f>IF(Table3[[#This Row],[Debit Jawaban]]="","",IF(Table3[[#This Row],[Debit Jawaban]]=Table4[[#This Row],[Debit (Rp)]],"Benar","salah"))</f>
        <v/>
      </c>
      <c r="O112" t="str">
        <f>IF(Table3[[#This Row],[Kredit Jawaban]]="","",IF(Table3[[#This Row],[Kredit Jawaban]]=Table4[[#This Row],[Kredit (Rp)]],"Benar","salah"))</f>
        <v>Benar</v>
      </c>
    </row>
    <row r="113" spans="1:15" ht="43.2" x14ac:dyDescent="0.3">
      <c r="A113">
        <v>38</v>
      </c>
      <c r="B113">
        <v>46410</v>
      </c>
      <c r="C113" s="1" t="s">
        <v>610</v>
      </c>
      <c r="D113" s="1" t="s">
        <v>611</v>
      </c>
      <c r="E113" s="1" t="s">
        <v>612</v>
      </c>
      <c r="F113" s="2">
        <v>3000000</v>
      </c>
      <c r="G113" s="1" t="s">
        <v>613</v>
      </c>
      <c r="H113" s="3">
        <v>38</v>
      </c>
      <c r="I113" s="3">
        <v>46410</v>
      </c>
      <c r="J113" s="6" t="s">
        <v>1458</v>
      </c>
      <c r="K113" s="2">
        <v>3000000</v>
      </c>
      <c r="M113" t="str">
        <f>IF(Table3[[#This Row],[Akun Jawaban]]="","",IF(Table3[[#This Row],[Akun Jawaban]]=Table4[[#This Row],[Akun]],"Benar","salah"))</f>
        <v>Benar</v>
      </c>
      <c r="N113" t="str">
        <f>IF(Table3[[#This Row],[Debit Jawaban]]="","",IF(Table3[[#This Row],[Debit Jawaban]]=Table4[[#This Row],[Debit (Rp)]],"Benar","salah"))</f>
        <v>Benar</v>
      </c>
      <c r="O113" t="str">
        <f>IF(Table3[[#This Row],[Kredit Jawaban]]="","",IF(Table3[[#This Row],[Kredit Jawaban]]=Table4[[#This Row],[Kredit (Rp)]],"Benar","salah"))</f>
        <v/>
      </c>
    </row>
    <row r="114" spans="1:15" ht="28.8" x14ac:dyDescent="0.3">
      <c r="G114" s="1" t="s">
        <v>613</v>
      </c>
      <c r="H114" s="3">
        <v>38</v>
      </c>
      <c r="I114" s="3">
        <v>46410</v>
      </c>
      <c r="J114" s="6" t="s">
        <v>1447</v>
      </c>
      <c r="L114" s="2">
        <v>3000000</v>
      </c>
      <c r="M114" t="str">
        <f>IF(Table3[[#This Row],[Akun Jawaban]]="","",IF(Table3[[#This Row],[Akun Jawaban]]=Table4[[#This Row],[Akun]],"Benar","salah"))</f>
        <v>Benar</v>
      </c>
      <c r="N114" t="str">
        <f>IF(Table3[[#This Row],[Debit Jawaban]]="","",IF(Table3[[#This Row],[Debit Jawaban]]=Table4[[#This Row],[Debit (Rp)]],"Benar","salah"))</f>
        <v/>
      </c>
      <c r="O114" t="str">
        <f>IF(Table3[[#This Row],[Kredit Jawaban]]="","",IF(Table3[[#This Row],[Kredit Jawaban]]=Table4[[#This Row],[Kredit (Rp)]],"Benar","salah"))</f>
        <v>Benar</v>
      </c>
    </row>
    <row r="115" spans="1:15" ht="28.8" x14ac:dyDescent="0.3">
      <c r="A115">
        <v>39</v>
      </c>
      <c r="B115">
        <v>46410</v>
      </c>
      <c r="C115" s="1" t="s">
        <v>598</v>
      </c>
      <c r="D115" s="1" t="s">
        <v>614</v>
      </c>
      <c r="E115" s="1" t="s">
        <v>615</v>
      </c>
      <c r="F115" s="2">
        <v>50000000</v>
      </c>
      <c r="G115" s="1" t="s">
        <v>506</v>
      </c>
      <c r="H115" s="3">
        <v>39</v>
      </c>
      <c r="I115" s="3">
        <v>46410</v>
      </c>
      <c r="J115" s="6" t="s">
        <v>1447</v>
      </c>
      <c r="K115" s="2">
        <v>50000000</v>
      </c>
      <c r="M115" t="str">
        <f>IF(Table3[[#This Row],[Akun Jawaban]]="","",IF(Table3[[#This Row],[Akun Jawaban]]=Table4[[#This Row],[Akun]],"Benar","salah"))</f>
        <v>Benar</v>
      </c>
      <c r="N115" t="str">
        <f>IF(Table3[[#This Row],[Debit Jawaban]]="","",IF(Table3[[#This Row],[Debit Jawaban]]=Table4[[#This Row],[Debit (Rp)]],"Benar","salah"))</f>
        <v>Benar</v>
      </c>
      <c r="O115" t="str">
        <f>IF(Table3[[#This Row],[Kredit Jawaban]]="","",IF(Table3[[#This Row],[Kredit Jawaban]]=Table4[[#This Row],[Kredit (Rp)]],"Benar","salah"))</f>
        <v/>
      </c>
    </row>
    <row r="116" spans="1:15" ht="28.8" x14ac:dyDescent="0.3">
      <c r="G116" s="1" t="s">
        <v>506</v>
      </c>
      <c r="H116" s="3">
        <v>39</v>
      </c>
      <c r="I116" s="3">
        <v>46410</v>
      </c>
      <c r="J116" s="6" t="s">
        <v>1458</v>
      </c>
      <c r="L116" s="2">
        <v>50000000</v>
      </c>
      <c r="M116" t="str">
        <f>IF(Table3[[#This Row],[Akun Jawaban]]="","",IF(Table3[[#This Row],[Akun Jawaban]]=Table4[[#This Row],[Akun]],"Benar","salah"))</f>
        <v>Benar</v>
      </c>
      <c r="N116" t="str">
        <f>IF(Table3[[#This Row],[Debit Jawaban]]="","",IF(Table3[[#This Row],[Debit Jawaban]]=Table4[[#This Row],[Debit (Rp)]],"Benar","salah"))</f>
        <v/>
      </c>
      <c r="O116" t="str">
        <f>IF(Table3[[#This Row],[Kredit Jawaban]]="","",IF(Table3[[#This Row],[Kredit Jawaban]]=Table4[[#This Row],[Kredit (Rp)]],"Benar","salah"))</f>
        <v>Benar</v>
      </c>
    </row>
    <row r="117" spans="1:15" ht="72" x14ac:dyDescent="0.3">
      <c r="A117">
        <v>40</v>
      </c>
      <c r="B117">
        <v>46411</v>
      </c>
      <c r="C117" s="1" t="s">
        <v>616</v>
      </c>
      <c r="D117" s="1" t="s">
        <v>617</v>
      </c>
      <c r="E117" s="1" t="s">
        <v>618</v>
      </c>
      <c r="F117" s="2">
        <v>105000000</v>
      </c>
      <c r="G117" s="1" t="s">
        <v>619</v>
      </c>
      <c r="H117" s="3">
        <v>40</v>
      </c>
      <c r="I117" s="3">
        <v>46411</v>
      </c>
      <c r="J117" s="6" t="s">
        <v>1454</v>
      </c>
      <c r="K117" s="2">
        <v>105000000</v>
      </c>
      <c r="M117" t="str">
        <f>IF(Table3[[#This Row],[Akun Jawaban]]="","",IF(Table3[[#This Row],[Akun Jawaban]]=Table4[[#This Row],[Akun]],"Benar","salah"))</f>
        <v>Benar</v>
      </c>
      <c r="N117" t="str">
        <f>IF(Table3[[#This Row],[Debit Jawaban]]="","",IF(Table3[[#This Row],[Debit Jawaban]]=Table4[[#This Row],[Debit (Rp)]],"Benar","salah"))</f>
        <v>Benar</v>
      </c>
      <c r="O117" t="str">
        <f>IF(Table3[[#This Row],[Kredit Jawaban]]="","",IF(Table3[[#This Row],[Kredit Jawaban]]=Table4[[#This Row],[Kredit (Rp)]],"Benar","salah"))</f>
        <v/>
      </c>
    </row>
    <row r="118" spans="1:15" ht="43.2" x14ac:dyDescent="0.3">
      <c r="G118" s="1" t="s">
        <v>619</v>
      </c>
      <c r="H118" s="3">
        <v>40</v>
      </c>
      <c r="I118" s="3">
        <v>46411</v>
      </c>
      <c r="J118" s="6" t="s">
        <v>1451</v>
      </c>
      <c r="K118" s="2">
        <f>11%*K117</f>
        <v>11550000</v>
      </c>
      <c r="M118" t="str">
        <f>IF(Table3[[#This Row],[Akun Jawaban]]="","",IF(Table3[[#This Row],[Akun Jawaban]]=Table4[[#This Row],[Akun]],"Benar","salah"))</f>
        <v>Benar</v>
      </c>
      <c r="N118" t="str">
        <f>IF(Table3[[#This Row],[Debit Jawaban]]="","",IF(Table3[[#This Row],[Debit Jawaban]]=Table4[[#This Row],[Debit (Rp)]],"Benar","salah"))</f>
        <v>Benar</v>
      </c>
      <c r="O118" t="str">
        <f>IF(Table3[[#This Row],[Kredit Jawaban]]="","",IF(Table3[[#This Row],[Kredit Jawaban]]=Table4[[#This Row],[Kredit (Rp)]],"Benar","salah"))</f>
        <v/>
      </c>
    </row>
    <row r="119" spans="1:15" x14ac:dyDescent="0.3">
      <c r="H119" s="3">
        <v>40</v>
      </c>
      <c r="I119" s="3">
        <v>46411</v>
      </c>
      <c r="J119" s="6" t="s">
        <v>1477</v>
      </c>
      <c r="K119" s="2">
        <f>2.5%*K117</f>
        <v>2625000</v>
      </c>
      <c r="M119" t="str">
        <f>IF(Table3[[#This Row],[Akun Jawaban]]="","",IF(Table3[[#This Row],[Akun Jawaban]]=Table4[[#This Row],[Akun]],"Benar","salah"))</f>
        <v>Benar</v>
      </c>
      <c r="N119" t="str">
        <f>IF(Table3[[#This Row],[Debit Jawaban]]="","",IF(Table3[[#This Row],[Debit Jawaban]]=Table4[[#This Row],[Debit (Rp)]],"Benar","salah"))</f>
        <v>Benar</v>
      </c>
      <c r="O119" t="str">
        <f>IF(Table3[[#This Row],[Kredit Jawaban]]="","",IF(Table3[[#This Row],[Kredit Jawaban]]=Table4[[#This Row],[Kredit (Rp)]],"Benar","salah"))</f>
        <v/>
      </c>
    </row>
    <row r="120" spans="1:15" x14ac:dyDescent="0.3">
      <c r="H120" s="3">
        <v>40</v>
      </c>
      <c r="I120" s="3">
        <v>46411</v>
      </c>
      <c r="J120" s="6" t="s">
        <v>1447</v>
      </c>
      <c r="L120" s="2">
        <f>SUM(K117:K119)</f>
        <v>119175000</v>
      </c>
      <c r="M120" t="str">
        <f>IF(Table3[[#This Row],[Akun Jawaban]]="","",IF(Table3[[#This Row],[Akun Jawaban]]=Table4[[#This Row],[Akun]],"Benar","salah"))</f>
        <v>Benar</v>
      </c>
      <c r="N120" t="str">
        <f>IF(Table3[[#This Row],[Debit Jawaban]]="","",IF(Table3[[#This Row],[Debit Jawaban]]=Table4[[#This Row],[Debit (Rp)]],"Benar","salah"))</f>
        <v/>
      </c>
      <c r="O120" t="str">
        <f>IF(Table3[[#This Row],[Kredit Jawaban]]="","",IF(Table3[[#This Row],[Kredit Jawaban]]=Table4[[#This Row],[Kredit (Rp)]],"Benar","salah"))</f>
        <v>Benar</v>
      </c>
    </row>
    <row r="121" spans="1:15" ht="72" x14ac:dyDescent="0.3">
      <c r="A121">
        <v>41</v>
      </c>
      <c r="B121">
        <v>46411</v>
      </c>
      <c r="C121" s="1" t="s">
        <v>620</v>
      </c>
      <c r="D121" s="1" t="s">
        <v>621</v>
      </c>
      <c r="E121" s="1" t="s">
        <v>622</v>
      </c>
      <c r="F121" s="2">
        <v>50000000</v>
      </c>
      <c r="G121" s="1" t="s">
        <v>623</v>
      </c>
      <c r="H121" s="3">
        <v>41</v>
      </c>
      <c r="I121" s="3">
        <v>46411</v>
      </c>
      <c r="J121" s="6" t="s">
        <v>1454</v>
      </c>
      <c r="K121" s="2">
        <f>Table3[[#This Row],[Nominal (Rp)]]</f>
        <v>50000000</v>
      </c>
      <c r="M121" t="str">
        <f>IF(Table3[[#This Row],[Akun Jawaban]]="","",IF(Table3[[#This Row],[Akun Jawaban]]=Table4[[#This Row],[Akun]],"Benar","salah"))</f>
        <v>Benar</v>
      </c>
      <c r="N121" t="str">
        <f>IF(Table3[[#This Row],[Debit Jawaban]]="","",IF(Table3[[#This Row],[Debit Jawaban]]=Table4[[#This Row],[Debit (Rp)]],"Benar","salah"))</f>
        <v>Benar</v>
      </c>
      <c r="O121" t="str">
        <f>IF(Table3[[#This Row],[Kredit Jawaban]]="","",IF(Table3[[#This Row],[Kredit Jawaban]]=Table4[[#This Row],[Kredit (Rp)]],"Benar","salah"))</f>
        <v/>
      </c>
    </row>
    <row r="122" spans="1:15" ht="43.2" x14ac:dyDescent="0.3">
      <c r="G122" s="1" t="s">
        <v>623</v>
      </c>
      <c r="H122" s="3">
        <v>41</v>
      </c>
      <c r="I122" s="3">
        <v>46411</v>
      </c>
      <c r="J122" s="6" t="s">
        <v>1451</v>
      </c>
      <c r="K122" s="2">
        <f>11%*K121</f>
        <v>5500000</v>
      </c>
      <c r="M122" t="str">
        <f>IF(Table3[[#This Row],[Akun Jawaban]]="","",IF(Table3[[#This Row],[Akun Jawaban]]=Table4[[#This Row],[Akun]],"Benar","salah"))</f>
        <v>Benar</v>
      </c>
      <c r="N122" t="str">
        <f>IF(Table3[[#This Row],[Debit Jawaban]]="","",IF(Table3[[#This Row],[Debit Jawaban]]=Table4[[#This Row],[Debit (Rp)]],"Benar","salah"))</f>
        <v>Benar</v>
      </c>
      <c r="O122" t="str">
        <f>IF(Table3[[#This Row],[Kredit Jawaban]]="","",IF(Table3[[#This Row],[Kredit Jawaban]]=Table4[[#This Row],[Kredit (Rp)]],"Benar","salah"))</f>
        <v/>
      </c>
    </row>
    <row r="123" spans="1:15" x14ac:dyDescent="0.3">
      <c r="H123" s="3">
        <v>41</v>
      </c>
      <c r="I123" s="3">
        <v>46411</v>
      </c>
      <c r="J123" s="6" t="s">
        <v>215</v>
      </c>
      <c r="L123" s="2">
        <f>1.5%*K121</f>
        <v>750000</v>
      </c>
      <c r="M123" t="str">
        <f>IF(Table3[[#This Row],[Akun Jawaban]]="","",IF(Table3[[#This Row],[Akun Jawaban]]=Table4[[#This Row],[Akun]],"Benar","salah"))</f>
        <v>Benar</v>
      </c>
      <c r="N123" t="str">
        <f>IF(Table3[[#This Row],[Debit Jawaban]]="","",IF(Table3[[#This Row],[Debit Jawaban]]=Table4[[#This Row],[Debit (Rp)]],"Benar","salah"))</f>
        <v/>
      </c>
      <c r="O123" t="str">
        <f>IF(Table3[[#This Row],[Kredit Jawaban]]="","",IF(Table3[[#This Row],[Kredit Jawaban]]=Table4[[#This Row],[Kredit (Rp)]],"Benar","salah"))</f>
        <v>Benar</v>
      </c>
    </row>
    <row r="124" spans="1:15" x14ac:dyDescent="0.3">
      <c r="H124" s="3">
        <v>41</v>
      </c>
      <c r="I124" s="3">
        <v>46411</v>
      </c>
      <c r="J124" s="6" t="s">
        <v>1453</v>
      </c>
      <c r="L124" s="2">
        <f>SUM(K121,K122-L123)</f>
        <v>54750000</v>
      </c>
      <c r="M124" t="str">
        <f>IF(Table3[[#This Row],[Akun Jawaban]]="","",IF(Table3[[#This Row],[Akun Jawaban]]=Table4[[#This Row],[Akun]],"Benar","salah"))</f>
        <v>Benar</v>
      </c>
      <c r="N124" t="str">
        <f>IF(Table3[[#This Row],[Debit Jawaban]]="","",IF(Table3[[#This Row],[Debit Jawaban]]=Table4[[#This Row],[Debit (Rp)]],"Benar","salah"))</f>
        <v/>
      </c>
      <c r="O124" t="str">
        <f>IF(Table3[[#This Row],[Kredit Jawaban]]="","",IF(Table3[[#This Row],[Kredit Jawaban]]=Table4[[#This Row],[Kredit (Rp)]],"Benar","salah"))</f>
        <v>Benar</v>
      </c>
    </row>
    <row r="125" spans="1:15" ht="28.8" x14ac:dyDescent="0.3">
      <c r="A125">
        <v>42</v>
      </c>
      <c r="B125">
        <v>46412</v>
      </c>
      <c r="C125" s="1" t="s">
        <v>624</v>
      </c>
      <c r="D125" s="1" t="s">
        <v>625</v>
      </c>
      <c r="E125" s="1" t="s">
        <v>626</v>
      </c>
      <c r="F125" s="2">
        <v>750000</v>
      </c>
      <c r="G125" s="1" t="s">
        <v>627</v>
      </c>
      <c r="H125" s="3">
        <v>42</v>
      </c>
      <c r="I125" s="3">
        <v>46412</v>
      </c>
      <c r="J125" s="6" t="s">
        <v>215</v>
      </c>
      <c r="K125" s="2">
        <f>Table3[[#This Row],[Nominal (Rp)]]</f>
        <v>750000</v>
      </c>
      <c r="M125" t="str">
        <f>IF(Table3[[#This Row],[Akun Jawaban]]="","",IF(Table3[[#This Row],[Akun Jawaban]]=Table4[[#This Row],[Akun]],"Benar","salah"))</f>
        <v>Benar</v>
      </c>
      <c r="N125" t="str">
        <f>IF(Table3[[#This Row],[Debit Jawaban]]="","",IF(Table3[[#This Row],[Debit Jawaban]]=Table4[[#This Row],[Debit (Rp)]],"Benar","salah"))</f>
        <v>Benar</v>
      </c>
      <c r="O125" t="str">
        <f>IF(Table3[[#This Row],[Kredit Jawaban]]="","",IF(Table3[[#This Row],[Kredit Jawaban]]=Table4[[#This Row],[Kredit (Rp)]],"Benar","salah"))</f>
        <v/>
      </c>
    </row>
    <row r="126" spans="1:15" ht="28.8" x14ac:dyDescent="0.3">
      <c r="G126" s="1" t="s">
        <v>627</v>
      </c>
      <c r="H126" s="3">
        <v>42</v>
      </c>
      <c r="I126" s="3">
        <v>46412</v>
      </c>
      <c r="J126" s="6" t="s">
        <v>1447</v>
      </c>
      <c r="L126" s="2">
        <f>K125</f>
        <v>750000</v>
      </c>
      <c r="M126" t="str">
        <f>IF(Table3[[#This Row],[Akun Jawaban]]="","",IF(Table3[[#This Row],[Akun Jawaban]]=Table4[[#This Row],[Akun]],"Benar","salah"))</f>
        <v>Benar</v>
      </c>
      <c r="N126" t="str">
        <f>IF(Table3[[#This Row],[Debit Jawaban]]="","",IF(Table3[[#This Row],[Debit Jawaban]]=Table4[[#This Row],[Debit (Rp)]],"Benar","salah"))</f>
        <v/>
      </c>
      <c r="O126" t="str">
        <f>IF(Table3[[#This Row],[Kredit Jawaban]]="","",IF(Table3[[#This Row],[Kredit Jawaban]]=Table4[[#This Row],[Kredit (Rp)]],"Benar","salah"))</f>
        <v>Benar</v>
      </c>
    </row>
    <row r="127" spans="1:15" ht="43.2" x14ac:dyDescent="0.3">
      <c r="A127">
        <v>43</v>
      </c>
      <c r="B127">
        <v>46412</v>
      </c>
      <c r="C127" s="1" t="s">
        <v>628</v>
      </c>
      <c r="D127" s="1" t="s">
        <v>629</v>
      </c>
      <c r="E127" s="1" t="s">
        <v>630</v>
      </c>
      <c r="F127" s="2">
        <v>22200000</v>
      </c>
      <c r="G127" s="1" t="s">
        <v>631</v>
      </c>
      <c r="H127" s="3">
        <v>43</v>
      </c>
      <c r="I127" s="3">
        <v>46412</v>
      </c>
      <c r="J127" s="6" t="s">
        <v>171</v>
      </c>
      <c r="K127" s="2">
        <f>Table3[[#This Row],[Nominal (Rp)]]</f>
        <v>22200000</v>
      </c>
      <c r="M127" t="str">
        <f>IF(Table3[[#This Row],[Akun Jawaban]]="","",IF(Table3[[#This Row],[Akun Jawaban]]=Table4[[#This Row],[Akun]],"Benar","salah"))</f>
        <v>Benar</v>
      </c>
      <c r="N127" t="str">
        <f>IF(Table3[[#This Row],[Debit Jawaban]]="","",IF(Table3[[#This Row],[Debit Jawaban]]=Table4[[#This Row],[Debit (Rp)]],"Benar","salah"))</f>
        <v>Benar</v>
      </c>
      <c r="O127" t="str">
        <f>IF(Table3[[#This Row],[Kredit Jawaban]]="","",IF(Table3[[#This Row],[Kredit Jawaban]]=Table4[[#This Row],[Kredit (Rp)]],"Benar","salah"))</f>
        <v/>
      </c>
    </row>
    <row r="128" spans="1:15" ht="28.8" x14ac:dyDescent="0.3">
      <c r="G128" s="1" t="s">
        <v>631</v>
      </c>
      <c r="H128" s="3">
        <v>43</v>
      </c>
      <c r="I128" s="3">
        <v>46412</v>
      </c>
      <c r="J128" s="6" t="s">
        <v>1447</v>
      </c>
      <c r="L128" s="2">
        <f>K127</f>
        <v>22200000</v>
      </c>
      <c r="M128" t="str">
        <f>IF(Table3[[#This Row],[Akun Jawaban]]="","",IF(Table3[[#This Row],[Akun Jawaban]]=Table4[[#This Row],[Akun]],"Benar","salah"))</f>
        <v>Benar</v>
      </c>
      <c r="N128" t="str">
        <f>IF(Table3[[#This Row],[Debit Jawaban]]="","",IF(Table3[[#This Row],[Debit Jawaban]]=Table4[[#This Row],[Debit (Rp)]],"Benar","salah"))</f>
        <v/>
      </c>
      <c r="O128" t="str">
        <f>IF(Table3[[#This Row],[Kredit Jawaban]]="","",IF(Table3[[#This Row],[Kredit Jawaban]]=Table4[[#This Row],[Kredit (Rp)]],"Benar","salah"))</f>
        <v>Benar</v>
      </c>
    </row>
    <row r="129" spans="1:15" ht="57.6" x14ac:dyDescent="0.3">
      <c r="A129">
        <v>44</v>
      </c>
      <c r="B129">
        <v>46413</v>
      </c>
      <c r="C129" s="1" t="s">
        <v>632</v>
      </c>
      <c r="D129" s="1" t="s">
        <v>633</v>
      </c>
      <c r="E129" s="1" t="s">
        <v>588</v>
      </c>
      <c r="F129" s="2">
        <v>20000000</v>
      </c>
      <c r="G129" s="1" t="s">
        <v>634</v>
      </c>
      <c r="H129" s="3">
        <v>44</v>
      </c>
      <c r="I129" s="3">
        <v>46413</v>
      </c>
      <c r="J129" s="6" t="s">
        <v>1454</v>
      </c>
      <c r="K129" s="2">
        <f>Table3[[#This Row],[Nominal (Rp)]]</f>
        <v>20000000</v>
      </c>
      <c r="M129" t="str">
        <f>IF(Table3[[#This Row],[Akun Jawaban]]="","",IF(Table3[[#This Row],[Akun Jawaban]]=Table4[[#This Row],[Akun]],"Benar","salah"))</f>
        <v>Benar</v>
      </c>
      <c r="N129" t="str">
        <f>IF(Table3[[#This Row],[Debit Jawaban]]="","",IF(Table3[[#This Row],[Debit Jawaban]]=Table4[[#This Row],[Debit (Rp)]],"Benar","salah"))</f>
        <v>Benar</v>
      </c>
      <c r="O129" t="str">
        <f>IF(Table3[[#This Row],[Kredit Jawaban]]="","",IF(Table3[[#This Row],[Kredit Jawaban]]=Table4[[#This Row],[Kredit (Rp)]],"Benar","salah"))</f>
        <v/>
      </c>
    </row>
    <row r="130" spans="1:15" ht="43.2" x14ac:dyDescent="0.3">
      <c r="G130" s="1" t="s">
        <v>634</v>
      </c>
      <c r="H130" s="3">
        <v>44</v>
      </c>
      <c r="I130" s="3">
        <v>46413</v>
      </c>
      <c r="J130" s="6" t="s">
        <v>1451</v>
      </c>
      <c r="K130" s="2">
        <f>11%*F129</f>
        <v>2200000</v>
      </c>
      <c r="M130" t="str">
        <f>IF(Table3[[#This Row],[Akun Jawaban]]="","",IF(Table3[[#This Row],[Akun Jawaban]]=Table4[[#This Row],[Akun]],"Benar","salah"))</f>
        <v>Benar</v>
      </c>
      <c r="N130" t="str">
        <f>IF(Table3[[#This Row],[Debit Jawaban]]="","",IF(Table3[[#This Row],[Debit Jawaban]]=Table4[[#This Row],[Debit (Rp)]],"Benar","salah"))</f>
        <v>Benar</v>
      </c>
      <c r="O130" t="str">
        <f>IF(Table3[[#This Row],[Kredit Jawaban]]="","",IF(Table3[[#This Row],[Kredit Jawaban]]=Table4[[#This Row],[Kredit (Rp)]],"Benar","salah"))</f>
        <v/>
      </c>
    </row>
    <row r="131" spans="1:15" x14ac:dyDescent="0.3">
      <c r="H131" s="3">
        <v>44</v>
      </c>
      <c r="I131" s="3">
        <v>46413</v>
      </c>
      <c r="J131" s="6" t="s">
        <v>171</v>
      </c>
      <c r="L131" s="2">
        <v>22200000</v>
      </c>
      <c r="M131" t="str">
        <f>IF(Table3[[#This Row],[Akun Jawaban]]="","",IF(Table3[[#This Row],[Akun Jawaban]]=Table4[[#This Row],[Akun]],"Benar","salah"))</f>
        <v>Benar</v>
      </c>
      <c r="N131" t="str">
        <f>IF(Table3[[#This Row],[Debit Jawaban]]="","",IF(Table3[[#This Row],[Debit Jawaban]]=Table4[[#This Row],[Debit (Rp)]],"Benar","salah"))</f>
        <v/>
      </c>
      <c r="O131" t="str">
        <f>IF(Table3[[#This Row],[Kredit Jawaban]]="","",IF(Table3[[#This Row],[Kredit Jawaban]]=Table4[[#This Row],[Kredit (Rp)]],"Benar","salah"))</f>
        <v>Benar</v>
      </c>
    </row>
    <row r="132" spans="1:15" ht="43.2" x14ac:dyDescent="0.3">
      <c r="A132">
        <v>45</v>
      </c>
      <c r="B132">
        <v>46413</v>
      </c>
      <c r="C132" s="1" t="s">
        <v>635</v>
      </c>
      <c r="D132" s="1" t="s">
        <v>636</v>
      </c>
      <c r="E132" s="1" t="s">
        <v>637</v>
      </c>
      <c r="F132" s="2">
        <v>44400000</v>
      </c>
      <c r="G132" s="1" t="s">
        <v>510</v>
      </c>
      <c r="H132" s="3">
        <v>45</v>
      </c>
      <c r="I132" s="3">
        <v>46413</v>
      </c>
      <c r="J132" s="6" t="s">
        <v>1453</v>
      </c>
      <c r="K132" s="2">
        <f>Table3[[#This Row],[Nominal (Rp)]]</f>
        <v>44400000</v>
      </c>
      <c r="M132" t="str">
        <f>IF(Table3[[#This Row],[Akun Jawaban]]="","",IF(Table3[[#This Row],[Akun Jawaban]]=Table4[[#This Row],[Akun]],"Benar","salah"))</f>
        <v>Benar</v>
      </c>
      <c r="N132" t="str">
        <f>IF(Table3[[#This Row],[Debit Jawaban]]="","",IF(Table3[[#This Row],[Debit Jawaban]]=Table4[[#This Row],[Debit (Rp)]],"Benar","salah"))</f>
        <v>Benar</v>
      </c>
      <c r="O132" t="str">
        <f>IF(Table3[[#This Row],[Kredit Jawaban]]="","",IF(Table3[[#This Row],[Kredit Jawaban]]=Table4[[#This Row],[Kredit (Rp)]],"Benar","salah"))</f>
        <v/>
      </c>
    </row>
    <row r="133" spans="1:15" ht="28.8" x14ac:dyDescent="0.3">
      <c r="G133" s="1" t="s">
        <v>510</v>
      </c>
      <c r="H133" s="3">
        <v>45</v>
      </c>
      <c r="I133" s="3">
        <v>46413</v>
      </c>
      <c r="J133" s="6" t="s">
        <v>1447</v>
      </c>
      <c r="L133" s="2">
        <f>K132</f>
        <v>44400000</v>
      </c>
      <c r="M133" t="str">
        <f>IF(Table3[[#This Row],[Akun Jawaban]]="","",IF(Table3[[#This Row],[Akun Jawaban]]=Table4[[#This Row],[Akun]],"Benar","salah"))</f>
        <v>Benar</v>
      </c>
      <c r="N133" t="str">
        <f>IF(Table3[[#This Row],[Debit Jawaban]]="","",IF(Table3[[#This Row],[Debit Jawaban]]=Table4[[#This Row],[Debit (Rp)]],"Benar","salah"))</f>
        <v/>
      </c>
      <c r="O133" t="str">
        <f>IF(Table3[[#This Row],[Kredit Jawaban]]="","",IF(Table3[[#This Row],[Kredit Jawaban]]=Table4[[#This Row],[Kredit (Rp)]],"Benar","salah"))</f>
        <v>Benar</v>
      </c>
    </row>
    <row r="134" spans="1:15" ht="57.6" x14ac:dyDescent="0.3">
      <c r="A134">
        <v>46</v>
      </c>
      <c r="B134">
        <v>46414</v>
      </c>
      <c r="C134" s="1" t="s">
        <v>638</v>
      </c>
      <c r="D134" s="1" t="s">
        <v>639</v>
      </c>
      <c r="E134" s="1" t="s">
        <v>640</v>
      </c>
      <c r="F134" s="2">
        <v>3000000</v>
      </c>
      <c r="G134" s="1" t="s">
        <v>641</v>
      </c>
      <c r="H134" s="3">
        <v>46</v>
      </c>
      <c r="I134" s="3">
        <v>46414</v>
      </c>
      <c r="J134" s="1" t="s">
        <v>301</v>
      </c>
      <c r="K134" s="2">
        <f>Table3[[#This Row],[Nominal (Rp)]]</f>
        <v>3000000</v>
      </c>
      <c r="M134" t="str">
        <f>IF(Table3[[#This Row],[Akun Jawaban]]="","",IF(Table3[[#This Row],[Akun Jawaban]]=Table4[[#This Row],[Akun]],"Benar","salah"))</f>
        <v>Benar</v>
      </c>
      <c r="N134" t="str">
        <f>IF(Table3[[#This Row],[Debit Jawaban]]="","",IF(Table3[[#This Row],[Debit Jawaban]]=Table4[[#This Row],[Debit (Rp)]],"Benar","salah"))</f>
        <v>Benar</v>
      </c>
      <c r="O134" t="str">
        <f>IF(Table3[[#This Row],[Kredit Jawaban]]="","",IF(Table3[[#This Row],[Kredit Jawaban]]=Table4[[#This Row],[Kredit (Rp)]],"Benar","salah"))</f>
        <v/>
      </c>
    </row>
    <row r="135" spans="1:15" ht="28.8" x14ac:dyDescent="0.3">
      <c r="G135" s="1" t="s">
        <v>641</v>
      </c>
      <c r="H135" s="3">
        <v>46</v>
      </c>
      <c r="I135" s="3">
        <v>46414</v>
      </c>
      <c r="J135" s="6" t="s">
        <v>1447</v>
      </c>
      <c r="L135" s="2">
        <f>K134</f>
        <v>3000000</v>
      </c>
      <c r="M135" t="str">
        <f>IF(Table3[[#This Row],[Akun Jawaban]]="","",IF(Table3[[#This Row],[Akun Jawaban]]=Table4[[#This Row],[Akun]],"Benar","salah"))</f>
        <v>Benar</v>
      </c>
      <c r="N135" t="str">
        <f>IF(Table3[[#This Row],[Debit Jawaban]]="","",IF(Table3[[#This Row],[Debit Jawaban]]=Table4[[#This Row],[Debit (Rp)]],"Benar","salah"))</f>
        <v/>
      </c>
      <c r="O135" t="str">
        <f>IF(Table3[[#This Row],[Kredit Jawaban]]="","",IF(Table3[[#This Row],[Kredit Jawaban]]=Table4[[#This Row],[Kredit (Rp)]],"Benar","salah"))</f>
        <v>Benar</v>
      </c>
    </row>
    <row r="136" spans="1:15" ht="57.6" x14ac:dyDescent="0.3">
      <c r="A136">
        <v>47</v>
      </c>
      <c r="B136">
        <v>46414</v>
      </c>
      <c r="C136" s="1" t="s">
        <v>642</v>
      </c>
      <c r="D136" s="1" t="s">
        <v>643</v>
      </c>
      <c r="E136" s="1" t="s">
        <v>644</v>
      </c>
      <c r="F136" s="2">
        <v>15000000</v>
      </c>
      <c r="G136" s="1" t="s">
        <v>645</v>
      </c>
      <c r="H136" s="3">
        <v>47</v>
      </c>
      <c r="I136" s="3">
        <v>46414</v>
      </c>
      <c r="J136" s="1" t="s">
        <v>177</v>
      </c>
      <c r="K136" s="2">
        <f>Table3[[#This Row],[Nominal (Rp)]]</f>
        <v>15000000</v>
      </c>
      <c r="M136" t="str">
        <f>IF(Table3[[#This Row],[Akun Jawaban]]="","",IF(Table3[[#This Row],[Akun Jawaban]]=Table4[[#This Row],[Akun]],"Benar","salah"))</f>
        <v>Benar</v>
      </c>
      <c r="N136" t="str">
        <f>IF(Table3[[#This Row],[Debit Jawaban]]="","",IF(Table3[[#This Row],[Debit Jawaban]]=Table4[[#This Row],[Debit (Rp)]],"Benar","salah"))</f>
        <v>Benar</v>
      </c>
      <c r="O136" t="str">
        <f>IF(Table3[[#This Row],[Kredit Jawaban]]="","",IF(Table3[[#This Row],[Kredit Jawaban]]=Table4[[#This Row],[Kredit (Rp)]],"Benar","salah"))</f>
        <v/>
      </c>
    </row>
    <row r="137" spans="1:15" ht="28.8" x14ac:dyDescent="0.3">
      <c r="G137" s="1" t="s">
        <v>645</v>
      </c>
      <c r="H137" s="3">
        <v>47</v>
      </c>
      <c r="I137" s="3">
        <v>46414</v>
      </c>
      <c r="J137" s="6" t="s">
        <v>1447</v>
      </c>
      <c r="L137" s="2">
        <f>K136</f>
        <v>15000000</v>
      </c>
      <c r="M137" t="str">
        <f>IF(Table3[[#This Row],[Akun Jawaban]]="","",IF(Table3[[#This Row],[Akun Jawaban]]=Table4[[#This Row],[Akun]],"Benar","salah"))</f>
        <v>Benar</v>
      </c>
      <c r="N137" t="str">
        <f>IF(Table3[[#This Row],[Debit Jawaban]]="","",IF(Table3[[#This Row],[Debit Jawaban]]=Table4[[#This Row],[Debit (Rp)]],"Benar","salah"))</f>
        <v/>
      </c>
      <c r="O137" t="str">
        <f>IF(Table3[[#This Row],[Kredit Jawaban]]="","",IF(Table3[[#This Row],[Kredit Jawaban]]=Table4[[#This Row],[Kredit (Rp)]],"Benar","salah"))</f>
        <v>Benar</v>
      </c>
    </row>
    <row r="138" spans="1:15" ht="57.6" x14ac:dyDescent="0.3">
      <c r="A138">
        <v>48</v>
      </c>
      <c r="B138">
        <v>46415</v>
      </c>
      <c r="C138" s="1" t="s">
        <v>646</v>
      </c>
      <c r="D138" s="1" t="s">
        <v>647</v>
      </c>
      <c r="E138" s="1" t="s">
        <v>648</v>
      </c>
      <c r="F138" s="2">
        <v>10000000</v>
      </c>
      <c r="G138" s="1" t="s">
        <v>649</v>
      </c>
      <c r="H138" s="3">
        <v>48</v>
      </c>
      <c r="I138" s="3">
        <v>46415</v>
      </c>
      <c r="J138" s="6" t="s">
        <v>1447</v>
      </c>
      <c r="K138" s="2">
        <f>SUM(L141,Table3[[#This Row],[Nominal (Rp)]])</f>
        <v>11100000</v>
      </c>
      <c r="L138" s="2">
        <v>0</v>
      </c>
      <c r="M138" t="str">
        <f>IF(Table3[[#This Row],[Akun Jawaban]]="","",IF(Table3[[#This Row],[Akun Jawaban]]=Table4[[#This Row],[Akun]],"Benar","salah"))</f>
        <v>Benar</v>
      </c>
      <c r="N138" t="str">
        <f>IF(Table3[[#This Row],[Debit Jawaban]]="","",IF(Table3[[#This Row],[Debit Jawaban]]=Table4[[#This Row],[Debit (Rp)]],"Benar","salah"))</f>
        <v>Benar</v>
      </c>
      <c r="O138" t="str">
        <f>IF(Table3[[#This Row],[Kredit Jawaban]]="","",IF(Table3[[#This Row],[Kredit Jawaban]]=Table4[[#This Row],[Kredit (Rp)]],"Benar","salah"))</f>
        <v>Benar</v>
      </c>
    </row>
    <row r="139" spans="1:15" ht="57.6" x14ac:dyDescent="0.3">
      <c r="G139" s="1" t="s">
        <v>649</v>
      </c>
      <c r="H139" s="3">
        <v>48</v>
      </c>
      <c r="I139" s="3">
        <v>46415</v>
      </c>
      <c r="J139" s="6" t="s">
        <v>1478</v>
      </c>
      <c r="K139" s="2">
        <v>12000000</v>
      </c>
      <c r="L139" s="2">
        <v>0</v>
      </c>
      <c r="M139" t="str">
        <f>IF(Table3[[#This Row],[Akun Jawaban]]="","",IF(Table3[[#This Row],[Akun Jawaban]]=Table4[[#This Row],[Akun]],"Benar","salah"))</f>
        <v>Benar</v>
      </c>
      <c r="N139" t="str">
        <f>IF(Table3[[#This Row],[Debit Jawaban]]="","",IF(Table3[[#This Row],[Debit Jawaban]]=Table4[[#This Row],[Debit (Rp)]],"Benar","salah"))</f>
        <v>Benar</v>
      </c>
      <c r="O139" t="str">
        <f>IF(Table3[[#This Row],[Kredit Jawaban]]="","",IF(Table3[[#This Row],[Kredit Jawaban]]=Table4[[#This Row],[Kredit (Rp)]],"Benar","salah"))</f>
        <v>Benar</v>
      </c>
    </row>
    <row r="140" spans="1:15" x14ac:dyDescent="0.3">
      <c r="H140" s="3">
        <v>48</v>
      </c>
      <c r="I140" s="3">
        <v>46415</v>
      </c>
      <c r="J140" s="6" t="s">
        <v>1452</v>
      </c>
      <c r="K140" s="2">
        <v>0</v>
      </c>
      <c r="L140" s="2">
        <v>20000000</v>
      </c>
      <c r="M140" t="str">
        <f>IF(Table3[[#This Row],[Akun Jawaban]]="","",IF(Table3[[#This Row],[Akun Jawaban]]=Table4[[#This Row],[Akun]],"Benar","salah"))</f>
        <v>Benar</v>
      </c>
      <c r="N140" t="str">
        <f>IF(Table3[[#This Row],[Debit Jawaban]]="","",IF(Table3[[#This Row],[Debit Jawaban]]=Table4[[#This Row],[Debit (Rp)]],"Benar","salah"))</f>
        <v>Benar</v>
      </c>
      <c r="O140" t="str">
        <f>IF(Table3[[#This Row],[Kredit Jawaban]]="","",IF(Table3[[#This Row],[Kredit Jawaban]]=Table4[[#This Row],[Kredit (Rp)]],"Benar","salah"))</f>
        <v>Benar</v>
      </c>
    </row>
    <row r="141" spans="1:15" x14ac:dyDescent="0.3">
      <c r="H141" s="3">
        <v>48</v>
      </c>
      <c r="I141" s="3">
        <v>46415</v>
      </c>
      <c r="J141" s="6" t="s">
        <v>1455</v>
      </c>
      <c r="K141" s="2">
        <v>0</v>
      </c>
      <c r="L141" s="2">
        <f>11%*F138</f>
        <v>1100000</v>
      </c>
      <c r="M141" t="str">
        <f>IF(Table3[[#This Row],[Akun Jawaban]]="","",IF(Table3[[#This Row],[Akun Jawaban]]=Table4[[#This Row],[Akun]],"Benar","salah"))</f>
        <v>Benar</v>
      </c>
      <c r="N141" t="str">
        <f>IF(Table3[[#This Row],[Debit Jawaban]]="","",IF(Table3[[#This Row],[Debit Jawaban]]=Table4[[#This Row],[Debit (Rp)]],"Benar","salah"))</f>
        <v>Benar</v>
      </c>
      <c r="O141" t="str">
        <f>IF(Table3[[#This Row],[Kredit Jawaban]]="","",IF(Table3[[#This Row],[Kredit Jawaban]]=Table4[[#This Row],[Kredit (Rp)]],"Benar","salah"))</f>
        <v>Benar</v>
      </c>
    </row>
    <row r="142" spans="1:15" x14ac:dyDescent="0.3">
      <c r="H142" s="3">
        <v>48</v>
      </c>
      <c r="I142" s="3">
        <v>46415</v>
      </c>
      <c r="J142" s="6" t="s">
        <v>1479</v>
      </c>
      <c r="K142" s="2">
        <v>0</v>
      </c>
      <c r="L142" s="2">
        <v>2000000</v>
      </c>
      <c r="M142" t="str">
        <f>IF(Table3[[#This Row],[Akun Jawaban]]="","",IF(Table3[[#This Row],[Akun Jawaban]]=Table4[[#This Row],[Akun]],"Benar","salah"))</f>
        <v>Benar</v>
      </c>
      <c r="N142" t="str">
        <f>IF(Table3[[#This Row],[Debit Jawaban]]="","",IF(Table3[[#This Row],[Debit Jawaban]]=Table4[[#This Row],[Debit (Rp)]],"Benar","salah"))</f>
        <v>Benar</v>
      </c>
      <c r="O142" t="str">
        <f>IF(Table3[[#This Row],[Kredit Jawaban]]="","",IF(Table3[[#This Row],[Kredit Jawaban]]=Table4[[#This Row],[Kredit (Rp)]],"Benar","salah"))</f>
        <v>Benar</v>
      </c>
    </row>
    <row r="143" spans="1:15" ht="43.2" x14ac:dyDescent="0.3">
      <c r="A143">
        <v>49</v>
      </c>
      <c r="B143">
        <v>46415</v>
      </c>
      <c r="C143" s="1" t="s">
        <v>650</v>
      </c>
      <c r="D143" s="1" t="s">
        <v>651</v>
      </c>
      <c r="E143" s="1" t="s">
        <v>652</v>
      </c>
      <c r="F143" s="2">
        <v>22000000</v>
      </c>
      <c r="G143" s="1" t="s">
        <v>653</v>
      </c>
      <c r="H143" s="3">
        <v>49</v>
      </c>
      <c r="I143" s="3">
        <v>46415</v>
      </c>
      <c r="J143" s="6" t="s">
        <v>1475</v>
      </c>
      <c r="K143" s="2">
        <v>20000000</v>
      </c>
      <c r="M143" t="str">
        <f>IF(Table3[[#This Row],[Akun Jawaban]]="","",IF(Table3[[#This Row],[Akun Jawaban]]=Table4[[#This Row],[Akun]],"Benar","salah"))</f>
        <v>Benar</v>
      </c>
      <c r="N143" t="str">
        <f>IF(Table3[[#This Row],[Debit Jawaban]]="","",IF(Table3[[#This Row],[Debit Jawaban]]=Table4[[#This Row],[Debit (Rp)]],"Benar","salah"))</f>
        <v>Benar</v>
      </c>
      <c r="O143" t="str">
        <f>IF(Table3[[#This Row],[Kredit Jawaban]]="","",IF(Table3[[#This Row],[Kredit Jawaban]]=Table4[[#This Row],[Kredit (Rp)]],"Benar","salah"))</f>
        <v/>
      </c>
    </row>
    <row r="144" spans="1:15" ht="28.8" x14ac:dyDescent="0.3">
      <c r="G144" s="1" t="s">
        <v>653</v>
      </c>
      <c r="H144" s="3">
        <v>49</v>
      </c>
      <c r="I144" s="3">
        <v>46415</v>
      </c>
      <c r="J144" s="6" t="s">
        <v>1472</v>
      </c>
      <c r="K144" s="2">
        <v>2000000</v>
      </c>
      <c r="M144" t="str">
        <f>IF(Table3[[#This Row],[Akun Jawaban]]="","",IF(Table3[[#This Row],[Akun Jawaban]]=Table4[[#This Row],[Akun]],"Benar","salah"))</f>
        <v>Benar</v>
      </c>
      <c r="N144" t="str">
        <f>IF(Table3[[#This Row],[Debit Jawaban]]="","",IF(Table3[[#This Row],[Debit Jawaban]]=Table4[[#This Row],[Debit (Rp)]],"Benar","salah"))</f>
        <v>Benar</v>
      </c>
      <c r="O144" t="str">
        <f>IF(Table3[[#This Row],[Kredit Jawaban]]="","",IF(Table3[[#This Row],[Kredit Jawaban]]=Table4[[#This Row],[Kredit (Rp)]],"Benar","salah"))</f>
        <v/>
      </c>
    </row>
    <row r="145" spans="1:15" x14ac:dyDescent="0.3">
      <c r="H145" s="3">
        <v>49</v>
      </c>
      <c r="I145" s="3">
        <v>46415</v>
      </c>
      <c r="J145" s="6" t="s">
        <v>1447</v>
      </c>
      <c r="L145" s="2">
        <v>22000000</v>
      </c>
      <c r="M145" t="str">
        <f>IF(Table3[[#This Row],[Akun Jawaban]]="","",IF(Table3[[#This Row],[Akun Jawaban]]=Table4[[#This Row],[Akun]],"Benar","salah"))</f>
        <v>Benar</v>
      </c>
      <c r="N145" t="str">
        <f>IF(Table3[[#This Row],[Debit Jawaban]]="","",IF(Table3[[#This Row],[Debit Jawaban]]=Table4[[#This Row],[Debit (Rp)]],"Benar","salah"))</f>
        <v/>
      </c>
      <c r="O145" t="str">
        <f>IF(Table3[[#This Row],[Kredit Jawaban]]="","",IF(Table3[[#This Row],[Kredit Jawaban]]=Table4[[#This Row],[Kredit (Rp)]],"Benar","salah"))</f>
        <v>Benar</v>
      </c>
    </row>
    <row r="146" spans="1:15" ht="43.2" x14ac:dyDescent="0.3">
      <c r="A146">
        <v>50</v>
      </c>
      <c r="B146">
        <v>46416</v>
      </c>
      <c r="C146" s="1" t="s">
        <v>654</v>
      </c>
      <c r="D146" s="1" t="s">
        <v>655</v>
      </c>
      <c r="E146" s="1" t="s">
        <v>656</v>
      </c>
      <c r="F146" s="2">
        <v>15000000</v>
      </c>
      <c r="G146" s="1" t="s">
        <v>657</v>
      </c>
      <c r="H146" s="3">
        <v>50</v>
      </c>
      <c r="I146" s="3">
        <v>46416</v>
      </c>
      <c r="J146" s="1" t="s">
        <v>1480</v>
      </c>
      <c r="K146" s="2">
        <v>15000000</v>
      </c>
      <c r="M146" t="str">
        <f>IF(Table3[[#This Row],[Akun Jawaban]]="","",IF(Table3[[#This Row],[Akun Jawaban]]=Table4[[#This Row],[Akun]],"Benar","salah"))</f>
        <v>Benar</v>
      </c>
      <c r="N146" t="str">
        <f>IF(Table3[[#This Row],[Debit Jawaban]]="","",IF(Table3[[#This Row],[Debit Jawaban]]=Table4[[#This Row],[Debit (Rp)]],"Benar","salah"))</f>
        <v>Benar</v>
      </c>
      <c r="O146" t="str">
        <f>IF(Table3[[#This Row],[Kredit Jawaban]]="","",IF(Table3[[#This Row],[Kredit Jawaban]]=Table4[[#This Row],[Kredit (Rp)]],"Benar","salah"))</f>
        <v/>
      </c>
    </row>
    <row r="147" spans="1:15" ht="28.8" x14ac:dyDescent="0.3">
      <c r="G147" s="1" t="s">
        <v>657</v>
      </c>
      <c r="H147" s="3">
        <v>50</v>
      </c>
      <c r="I147" s="3">
        <v>46416</v>
      </c>
      <c r="J147" s="1" t="s">
        <v>1481</v>
      </c>
      <c r="L147" s="2">
        <v>15000000</v>
      </c>
      <c r="M147" t="str">
        <f>IF(Table3[[#This Row],[Akun Jawaban]]="","",IF(Table3[[#This Row],[Akun Jawaban]]=Table4[[#This Row],[Akun]],"Benar","salah"))</f>
        <v>Benar</v>
      </c>
      <c r="N147" t="str">
        <f>IF(Table3[[#This Row],[Debit Jawaban]]="","",IF(Table3[[#This Row],[Debit Jawaban]]=Table4[[#This Row],[Debit (Rp)]],"Benar","salah"))</f>
        <v/>
      </c>
      <c r="O147" t="str">
        <f>IF(Table3[[#This Row],[Kredit Jawaban]]="","",IF(Table3[[#This Row],[Kredit Jawaban]]=Table4[[#This Row],[Kredit (Rp)]],"Benar","salah"))</f>
        <v>Benar</v>
      </c>
    </row>
    <row r="148" spans="1:15" ht="43.2" x14ac:dyDescent="0.3">
      <c r="A148">
        <v>51</v>
      </c>
      <c r="B148">
        <v>46416</v>
      </c>
      <c r="C148" s="1" t="s">
        <v>658</v>
      </c>
      <c r="D148" s="1" t="s">
        <v>659</v>
      </c>
      <c r="E148" s="1" t="s">
        <v>660</v>
      </c>
      <c r="F148" s="2">
        <v>15000000</v>
      </c>
      <c r="G148" s="1" t="s">
        <v>661</v>
      </c>
      <c r="H148" s="3">
        <v>51</v>
      </c>
      <c r="I148" s="3">
        <v>46416</v>
      </c>
      <c r="J148" s="1" t="s">
        <v>1481</v>
      </c>
      <c r="K148" s="2">
        <v>15000000</v>
      </c>
      <c r="M148" t="str">
        <f>IF(Table3[[#This Row],[Akun Jawaban]]="","",IF(Table3[[#This Row],[Akun Jawaban]]=Table4[[#This Row],[Akun]],"Benar","salah"))</f>
        <v>Benar</v>
      </c>
      <c r="N148" t="str">
        <f>IF(Table3[[#This Row],[Debit Jawaban]]="","",IF(Table3[[#This Row],[Debit Jawaban]]=Table4[[#This Row],[Debit (Rp)]],"Benar","salah"))</f>
        <v>Benar</v>
      </c>
      <c r="O148" t="str">
        <f>IF(Table3[[#This Row],[Kredit Jawaban]]="","",IF(Table3[[#This Row],[Kredit Jawaban]]=Table4[[#This Row],[Kredit (Rp)]],"Benar","salah"))</f>
        <v/>
      </c>
    </row>
    <row r="149" spans="1:15" ht="28.8" x14ac:dyDescent="0.3">
      <c r="G149" s="1" t="s">
        <v>661</v>
      </c>
      <c r="H149" s="3">
        <v>51</v>
      </c>
      <c r="I149" s="3">
        <v>46416</v>
      </c>
      <c r="J149" s="1" t="s">
        <v>1447</v>
      </c>
      <c r="L149" s="2">
        <v>15000000</v>
      </c>
      <c r="M149" t="str">
        <f>IF(Table3[[#This Row],[Akun Jawaban]]="","",IF(Table3[[#This Row],[Akun Jawaban]]=Table4[[#This Row],[Akun]],"Benar","salah"))</f>
        <v>Benar</v>
      </c>
      <c r="N149" t="str">
        <f>IF(Table3[[#This Row],[Debit Jawaban]]="","",IF(Table3[[#This Row],[Debit Jawaban]]=Table4[[#This Row],[Debit (Rp)]],"Benar","salah"))</f>
        <v/>
      </c>
      <c r="O149" t="str">
        <f>IF(Table3[[#This Row],[Kredit Jawaban]]="","",IF(Table3[[#This Row],[Kredit Jawaban]]=Table4[[#This Row],[Kredit (Rp)]],"Benar","salah"))</f>
        <v>Benar</v>
      </c>
    </row>
    <row r="150" spans="1:15" ht="28.8" x14ac:dyDescent="0.3">
      <c r="A150">
        <v>52</v>
      </c>
      <c r="B150">
        <v>46417</v>
      </c>
      <c r="C150" s="1" t="s">
        <v>662</v>
      </c>
      <c r="D150" s="1" t="s">
        <v>663</v>
      </c>
      <c r="E150" s="1" t="s">
        <v>664</v>
      </c>
      <c r="F150" s="2">
        <v>5000000</v>
      </c>
      <c r="G150" s="1" t="s">
        <v>665</v>
      </c>
      <c r="H150" s="3">
        <v>52</v>
      </c>
      <c r="I150" s="3">
        <v>46417</v>
      </c>
      <c r="J150" s="1" t="s">
        <v>1482</v>
      </c>
      <c r="K150" s="2">
        <v>5000000</v>
      </c>
      <c r="M150" t="str">
        <f>IF(Table3[[#This Row],[Akun Jawaban]]="","",IF(Table3[[#This Row],[Akun Jawaban]]=Table4[[#This Row],[Akun]],"Benar","salah"))</f>
        <v>Benar</v>
      </c>
      <c r="N150" t="str">
        <f>IF(Table3[[#This Row],[Debit Jawaban]]="","",IF(Table3[[#This Row],[Debit Jawaban]]=Table4[[#This Row],[Debit (Rp)]],"Benar","salah"))</f>
        <v>Benar</v>
      </c>
      <c r="O150" t="str">
        <f>IF(Table3[[#This Row],[Kredit Jawaban]]="","",IF(Table3[[#This Row],[Kredit Jawaban]]=Table4[[#This Row],[Kredit (Rp)]],"Benar","salah"))</f>
        <v/>
      </c>
    </row>
    <row r="151" spans="1:15" ht="28.8" x14ac:dyDescent="0.3">
      <c r="G151" s="1" t="s">
        <v>665</v>
      </c>
      <c r="H151" s="3">
        <v>52</v>
      </c>
      <c r="I151" s="3">
        <v>46417</v>
      </c>
      <c r="J151" s="1" t="s">
        <v>1447</v>
      </c>
      <c r="L151" s="2">
        <v>5000000</v>
      </c>
      <c r="M151" t="str">
        <f>IF(Table3[[#This Row],[Akun Jawaban]]="","",IF(Table3[[#This Row],[Akun Jawaban]]=Table4[[#This Row],[Akun]],"Benar","salah"))</f>
        <v>Benar</v>
      </c>
      <c r="N151" t="str">
        <f>IF(Table3[[#This Row],[Debit Jawaban]]="","",IF(Table3[[#This Row],[Debit Jawaban]]=Table4[[#This Row],[Debit (Rp)]],"Benar","salah"))</f>
        <v/>
      </c>
      <c r="O151" t="str">
        <f>IF(Table3[[#This Row],[Kredit Jawaban]]="","",IF(Table3[[#This Row],[Kredit Jawaban]]=Table4[[#This Row],[Kredit (Rp)]],"Benar","salah"))</f>
        <v>Benar</v>
      </c>
    </row>
    <row r="152" spans="1:15" ht="43.2" x14ac:dyDescent="0.3">
      <c r="A152">
        <v>53</v>
      </c>
      <c r="B152">
        <v>46417</v>
      </c>
      <c r="C152" s="1" t="s">
        <v>666</v>
      </c>
      <c r="D152" s="1" t="s">
        <v>667</v>
      </c>
      <c r="E152" s="1" t="s">
        <v>668</v>
      </c>
      <c r="F152" s="2">
        <v>2000000</v>
      </c>
      <c r="G152" s="1" t="s">
        <v>669</v>
      </c>
      <c r="H152" s="3">
        <v>53</v>
      </c>
      <c r="I152" s="3">
        <v>46417</v>
      </c>
      <c r="J152" s="1" t="s">
        <v>1447</v>
      </c>
      <c r="K152" s="2">
        <v>2000000</v>
      </c>
      <c r="M152" t="str">
        <f>IF(Table3[[#This Row],[Akun Jawaban]]="","",IF(Table3[[#This Row],[Akun Jawaban]]=Table4[[#This Row],[Akun]],"Benar","salah"))</f>
        <v>Benar</v>
      </c>
      <c r="N152" t="str">
        <f>IF(Table3[[#This Row],[Debit Jawaban]]="","",IF(Table3[[#This Row],[Debit Jawaban]]=Table4[[#This Row],[Debit (Rp)]],"Benar","salah"))</f>
        <v>Benar</v>
      </c>
      <c r="O152" t="str">
        <f>IF(Table3[[#This Row],[Kredit Jawaban]]="","",IF(Table3[[#This Row],[Kredit Jawaban]]=Table4[[#This Row],[Kredit (Rp)]],"Benar","salah"))</f>
        <v/>
      </c>
    </row>
    <row r="153" spans="1:15" ht="28.8" x14ac:dyDescent="0.3">
      <c r="G153" s="1" t="s">
        <v>669</v>
      </c>
      <c r="H153" s="3">
        <v>53</v>
      </c>
      <c r="I153" s="3">
        <v>46417</v>
      </c>
      <c r="J153" s="1" t="s">
        <v>1482</v>
      </c>
      <c r="L153" s="2">
        <v>2000000</v>
      </c>
      <c r="M153" t="str">
        <f>IF(Table3[[#This Row],[Akun Jawaban]]="","",IF(Table3[[#This Row],[Akun Jawaban]]=Table4[[#This Row],[Akun]],"Benar","salah"))</f>
        <v>Benar</v>
      </c>
      <c r="N153" t="str">
        <f>IF(Table3[[#This Row],[Debit Jawaban]]="","",IF(Table3[[#This Row],[Debit Jawaban]]=Table4[[#This Row],[Debit (Rp)]],"Benar","salah"))</f>
        <v/>
      </c>
      <c r="O153" t="str">
        <f>IF(Table3[[#This Row],[Kredit Jawaban]]="","",IF(Table3[[#This Row],[Kredit Jawaban]]=Table4[[#This Row],[Kredit (Rp)]],"Benar","salah"))</f>
        <v>Benar</v>
      </c>
    </row>
    <row r="154" spans="1:15" ht="28.8" x14ac:dyDescent="0.3">
      <c r="A154">
        <v>54</v>
      </c>
      <c r="B154">
        <v>46417</v>
      </c>
      <c r="C154" s="1" t="s">
        <v>670</v>
      </c>
      <c r="D154" s="1" t="s">
        <v>671</v>
      </c>
      <c r="E154" s="1" t="s">
        <v>672</v>
      </c>
      <c r="F154" s="2">
        <v>1800000</v>
      </c>
      <c r="G154" s="1" t="s">
        <v>673</v>
      </c>
      <c r="H154" s="3">
        <v>54</v>
      </c>
      <c r="I154" s="3">
        <v>46417</v>
      </c>
      <c r="J154" s="1" t="s">
        <v>1483</v>
      </c>
      <c r="K154" s="2">
        <v>1800000</v>
      </c>
      <c r="M154" t="str">
        <f>IF(Table3[[#This Row],[Akun Jawaban]]="","",IF(Table3[[#This Row],[Akun Jawaban]]=Table4[[#This Row],[Akun]],"Benar","salah"))</f>
        <v>Benar</v>
      </c>
      <c r="N154" t="str">
        <f>IF(Table3[[#This Row],[Debit Jawaban]]="","",IF(Table3[[#This Row],[Debit Jawaban]]=Table4[[#This Row],[Debit (Rp)]],"Benar","salah"))</f>
        <v>Benar</v>
      </c>
      <c r="O154" t="str">
        <f>IF(Table3[[#This Row],[Kredit Jawaban]]="","",IF(Table3[[#This Row],[Kredit Jawaban]]=Table4[[#This Row],[Kredit (Rp)]],"Benar","salah"))</f>
        <v/>
      </c>
    </row>
    <row r="155" spans="1:15" ht="28.8" x14ac:dyDescent="0.3">
      <c r="G155" s="1" t="s">
        <v>673</v>
      </c>
      <c r="H155" s="3">
        <v>54</v>
      </c>
      <c r="I155" s="3">
        <v>46417</v>
      </c>
      <c r="J155" s="1" t="s">
        <v>1447</v>
      </c>
      <c r="L155" s="2">
        <v>1800000</v>
      </c>
      <c r="M155" t="str">
        <f>IF(Table3[[#This Row],[Akun Jawaban]]="","",IF(Table3[[#This Row],[Akun Jawaban]]=Table4[[#This Row],[Akun]],"Benar","salah"))</f>
        <v>Benar</v>
      </c>
      <c r="N155" t="str">
        <f>IF(Table3[[#This Row],[Debit Jawaban]]="","",IF(Table3[[#This Row],[Debit Jawaban]]=Table4[[#This Row],[Debit (Rp)]],"Benar","salah"))</f>
        <v/>
      </c>
      <c r="O155" t="str">
        <f>IF(Table3[[#This Row],[Kredit Jawaban]]="","",IF(Table3[[#This Row],[Kredit Jawaban]]=Table4[[#This Row],[Kredit (Rp)]],"Benar","salah"))</f>
        <v>Benar</v>
      </c>
    </row>
    <row r="156" spans="1:15" ht="28.8" x14ac:dyDescent="0.3">
      <c r="A156">
        <v>55</v>
      </c>
      <c r="B156">
        <v>46417</v>
      </c>
      <c r="C156" s="1" t="s">
        <v>674</v>
      </c>
      <c r="D156" s="1" t="s">
        <v>675</v>
      </c>
      <c r="E156" s="1" t="s">
        <v>676</v>
      </c>
      <c r="F156" s="2">
        <v>800000</v>
      </c>
      <c r="G156" s="1" t="s">
        <v>677</v>
      </c>
      <c r="H156" s="3">
        <v>55</v>
      </c>
      <c r="I156" s="3">
        <v>46417</v>
      </c>
      <c r="J156" s="1" t="s">
        <v>1484</v>
      </c>
      <c r="K156" s="2">
        <v>800000</v>
      </c>
      <c r="M156" t="str">
        <f>IF(Table3[[#This Row],[Akun Jawaban]]="","",IF(Table3[[#This Row],[Akun Jawaban]]=Table4[[#This Row],[Akun]],"Benar","salah"))</f>
        <v>Benar</v>
      </c>
      <c r="N156" t="str">
        <f>IF(Table3[[#This Row],[Debit Jawaban]]="","",IF(Table3[[#This Row],[Debit Jawaban]]=Table4[[#This Row],[Debit (Rp)]],"Benar","salah"))</f>
        <v>Benar</v>
      </c>
      <c r="O156" t="str">
        <f>IF(Table3[[#This Row],[Kredit Jawaban]]="","",IF(Table3[[#This Row],[Kredit Jawaban]]=Table4[[#This Row],[Kredit (Rp)]],"Benar","salah"))</f>
        <v/>
      </c>
    </row>
    <row r="157" spans="1:15" ht="28.8" x14ac:dyDescent="0.3">
      <c r="G157" s="1" t="s">
        <v>677</v>
      </c>
      <c r="H157" s="3">
        <v>55</v>
      </c>
      <c r="I157" s="3">
        <v>46417</v>
      </c>
      <c r="J157" s="1" t="s">
        <v>1447</v>
      </c>
      <c r="L157" s="2">
        <v>800000</v>
      </c>
      <c r="M157" t="str">
        <f>IF(Table3[[#This Row],[Akun Jawaban]]="","",IF(Table3[[#This Row],[Akun Jawaban]]=Table4[[#This Row],[Akun]],"Benar","salah"))</f>
        <v>Benar</v>
      </c>
      <c r="N157" t="str">
        <f>IF(Table3[[#This Row],[Debit Jawaban]]="","",IF(Table3[[#This Row],[Debit Jawaban]]=Table4[[#This Row],[Debit (Rp)]],"Benar","salah"))</f>
        <v/>
      </c>
      <c r="O157" t="str">
        <f>IF(Table3[[#This Row],[Kredit Jawaban]]="","",IF(Table3[[#This Row],[Kredit Jawaban]]=Table4[[#This Row],[Kredit (Rp)]],"Benar","salah"))</f>
        <v>Benar</v>
      </c>
    </row>
    <row r="158" spans="1:15" ht="43.2" x14ac:dyDescent="0.3">
      <c r="A158">
        <v>56</v>
      </c>
      <c r="B158">
        <v>46417</v>
      </c>
      <c r="C158" s="1" t="s">
        <v>678</v>
      </c>
      <c r="D158" s="1" t="s">
        <v>679</v>
      </c>
      <c r="E158" s="1" t="s">
        <v>680</v>
      </c>
      <c r="F158" s="2">
        <v>4800000</v>
      </c>
      <c r="G158" s="1" t="s">
        <v>681</v>
      </c>
      <c r="H158" s="3">
        <v>56</v>
      </c>
      <c r="I158" s="3">
        <v>46417</v>
      </c>
      <c r="J158" s="1" t="s">
        <v>173</v>
      </c>
      <c r="K158" s="2">
        <v>4800000</v>
      </c>
      <c r="M158" t="str">
        <f>IF(Table3[[#This Row],[Akun Jawaban]]="","",IF(Table3[[#This Row],[Akun Jawaban]]=Table4[[#This Row],[Akun]],"Benar","salah"))</f>
        <v>Benar</v>
      </c>
      <c r="N158" t="str">
        <f>IF(Table3[[#This Row],[Debit Jawaban]]="","",IF(Table3[[#This Row],[Debit Jawaban]]=Table4[[#This Row],[Debit (Rp)]],"Benar","salah"))</f>
        <v>Benar</v>
      </c>
      <c r="O158" t="str">
        <f>IF(Table3[[#This Row],[Kredit Jawaban]]="","",IF(Table3[[#This Row],[Kredit Jawaban]]=Table4[[#This Row],[Kredit (Rp)]],"Benar","salah"))</f>
        <v/>
      </c>
    </row>
    <row r="159" spans="1:15" ht="28.8" x14ac:dyDescent="0.3">
      <c r="G159" s="1" t="s">
        <v>681</v>
      </c>
      <c r="H159" s="3">
        <v>56</v>
      </c>
      <c r="I159" s="3">
        <v>46417</v>
      </c>
      <c r="J159" s="1" t="s">
        <v>1447</v>
      </c>
      <c r="L159" s="2">
        <v>4800000</v>
      </c>
      <c r="M159" t="str">
        <f>IF(Table3[[#This Row],[Akun Jawaban]]="","",IF(Table3[[#This Row],[Akun Jawaban]]=Table4[[#This Row],[Akun]],"Benar","salah"))</f>
        <v>Benar</v>
      </c>
      <c r="N159" t="str">
        <f>IF(Table3[[#This Row],[Debit Jawaban]]="","",IF(Table3[[#This Row],[Debit Jawaban]]=Table4[[#This Row],[Debit (Rp)]],"Benar","salah"))</f>
        <v/>
      </c>
      <c r="O159" t="str">
        <f>IF(Table3[[#This Row],[Kredit Jawaban]]="","",IF(Table3[[#This Row],[Kredit Jawaban]]=Table4[[#This Row],[Kredit (Rp)]],"Benar","salah"))</f>
        <v>Benar</v>
      </c>
    </row>
    <row r="160" spans="1:15" ht="28.8" x14ac:dyDescent="0.3">
      <c r="A160">
        <v>57</v>
      </c>
      <c r="B160">
        <v>46417</v>
      </c>
      <c r="C160" s="1" t="s">
        <v>682</v>
      </c>
      <c r="D160" s="1" t="s">
        <v>683</v>
      </c>
      <c r="E160" s="1" t="s">
        <v>684</v>
      </c>
      <c r="F160" s="2">
        <v>2000000</v>
      </c>
      <c r="G160" s="1" t="s">
        <v>685</v>
      </c>
      <c r="H160" s="3">
        <v>57</v>
      </c>
      <c r="I160" s="3">
        <v>46417</v>
      </c>
      <c r="J160" s="1" t="s">
        <v>1486</v>
      </c>
      <c r="K160" s="2">
        <v>2000000</v>
      </c>
      <c r="M160" t="str">
        <f>IF(Table3[[#This Row],[Akun Jawaban]]="","",IF(Table3[[#This Row],[Akun Jawaban]]=Table4[[#This Row],[Akun]],"Benar","salah"))</f>
        <v>Benar</v>
      </c>
      <c r="N160" t="str">
        <f>IF(Table3[[#This Row],[Debit Jawaban]]="","",IF(Table3[[#This Row],[Debit Jawaban]]=Table4[[#This Row],[Debit (Rp)]],"Benar","salah"))</f>
        <v>Benar</v>
      </c>
      <c r="O160" t="str">
        <f>IF(Table3[[#This Row],[Kredit Jawaban]]="","",IF(Table3[[#This Row],[Kredit Jawaban]]=Table4[[#This Row],[Kredit (Rp)]],"Benar","salah"))</f>
        <v/>
      </c>
    </row>
    <row r="161" spans="1:15" ht="28.8" x14ac:dyDescent="0.3">
      <c r="G161" s="1" t="s">
        <v>685</v>
      </c>
      <c r="H161" s="3">
        <v>57</v>
      </c>
      <c r="I161" s="3">
        <v>46417</v>
      </c>
      <c r="J161" s="1" t="s">
        <v>1447</v>
      </c>
      <c r="L161" s="2">
        <v>2000000</v>
      </c>
      <c r="M161" t="str">
        <f>IF(Table3[[#This Row],[Akun Jawaban]]="","",IF(Table3[[#This Row],[Akun Jawaban]]=Table4[[#This Row],[Akun]],"Benar","salah"))</f>
        <v>Benar</v>
      </c>
      <c r="N161" t="str">
        <f>IF(Table3[[#This Row],[Debit Jawaban]]="","",IF(Table3[[#This Row],[Debit Jawaban]]=Table4[[#This Row],[Debit (Rp)]],"Benar","salah"))</f>
        <v/>
      </c>
      <c r="O161" t="str">
        <f>IF(Table3[[#This Row],[Kredit Jawaban]]="","",IF(Table3[[#This Row],[Kredit Jawaban]]=Table4[[#This Row],[Kredit (Rp)]],"Benar","salah"))</f>
        <v>Benar</v>
      </c>
    </row>
    <row r="162" spans="1:15" ht="43.2" x14ac:dyDescent="0.3">
      <c r="A162">
        <v>58</v>
      </c>
      <c r="B162">
        <v>46417</v>
      </c>
      <c r="C162" s="1" t="s">
        <v>686</v>
      </c>
      <c r="D162" s="1" t="s">
        <v>687</v>
      </c>
      <c r="E162" s="1" t="s">
        <v>688</v>
      </c>
      <c r="F162" s="2">
        <v>1500000</v>
      </c>
      <c r="G162" s="1" t="s">
        <v>689</v>
      </c>
      <c r="H162" s="3">
        <v>58</v>
      </c>
      <c r="I162" s="3">
        <v>46417</v>
      </c>
      <c r="J162" s="1" t="s">
        <v>1487</v>
      </c>
      <c r="K162" s="2">
        <f>Table3[[#This Row],[Nominal (Rp)]]</f>
        <v>1500000</v>
      </c>
      <c r="M162" t="str">
        <f>IF(Table3[[#This Row],[Akun Jawaban]]="","",IF(Table3[[#This Row],[Akun Jawaban]]=Table4[[#This Row],[Akun]],"Benar","salah"))</f>
        <v>Benar</v>
      </c>
      <c r="N162" t="str">
        <f>IF(Table3[[#This Row],[Debit Jawaban]]="","",IF(Table3[[#This Row],[Debit Jawaban]]=Table4[[#This Row],[Debit (Rp)]],"Benar","salah"))</f>
        <v>Benar</v>
      </c>
      <c r="O162" t="str">
        <f>IF(Table3[[#This Row],[Kredit Jawaban]]="","",IF(Table3[[#This Row],[Kredit Jawaban]]=Table4[[#This Row],[Kredit (Rp)]],"Benar","salah"))</f>
        <v/>
      </c>
    </row>
    <row r="163" spans="1:15" ht="43.2" x14ac:dyDescent="0.3">
      <c r="G163" s="1" t="s">
        <v>689</v>
      </c>
      <c r="H163" s="3">
        <v>58</v>
      </c>
      <c r="I163" s="3">
        <v>46417</v>
      </c>
      <c r="J163" s="1" t="s">
        <v>1451</v>
      </c>
      <c r="K163" s="2">
        <f>11%*F162</f>
        <v>165000</v>
      </c>
      <c r="M163" t="str">
        <f>IF(Table3[[#This Row],[Akun Jawaban]]="","",IF(Table3[[#This Row],[Akun Jawaban]]=Table4[[#This Row],[Akun]],"Benar","salah"))</f>
        <v>Benar</v>
      </c>
      <c r="N163" t="str">
        <f>IF(Table3[[#This Row],[Debit Jawaban]]="","",IF(Table3[[#This Row],[Debit Jawaban]]=Table4[[#This Row],[Debit (Rp)]],"Benar","salah"))</f>
        <v>Benar</v>
      </c>
      <c r="O163" t="str">
        <f>IF(Table3[[#This Row],[Kredit Jawaban]]="","",IF(Table3[[#This Row],[Kredit Jawaban]]=Table4[[#This Row],[Kredit (Rp)]],"Benar","salah"))</f>
        <v/>
      </c>
    </row>
    <row r="164" spans="1:15" x14ac:dyDescent="0.3">
      <c r="H164" s="3">
        <v>58</v>
      </c>
      <c r="I164" s="3">
        <v>46417</v>
      </c>
      <c r="J164" s="1" t="s">
        <v>217</v>
      </c>
      <c r="L164" s="2">
        <f>2%*F162</f>
        <v>30000</v>
      </c>
      <c r="M164" t="str">
        <f>IF(Table3[[#This Row],[Akun Jawaban]]="","",IF(Table3[[#This Row],[Akun Jawaban]]=Table4[[#This Row],[Akun]],"Benar","salah"))</f>
        <v>Benar</v>
      </c>
      <c r="N164" t="str">
        <f>IF(Table3[[#This Row],[Debit Jawaban]]="","",IF(Table3[[#This Row],[Debit Jawaban]]=Table4[[#This Row],[Debit (Rp)]],"Benar","salah"))</f>
        <v/>
      </c>
      <c r="O164" t="str">
        <f>IF(Table3[[#This Row],[Kredit Jawaban]]="","",IF(Table3[[#This Row],[Kredit Jawaban]]=Table4[[#This Row],[Kredit (Rp)]],"Benar","salah"))</f>
        <v>Benar</v>
      </c>
    </row>
    <row r="165" spans="1:15" x14ac:dyDescent="0.3">
      <c r="H165" s="3">
        <v>58</v>
      </c>
      <c r="I165" s="3">
        <v>46417</v>
      </c>
      <c r="J165" s="1" t="s">
        <v>1447</v>
      </c>
      <c r="L165" s="2">
        <f>K162+K163-L164</f>
        <v>1635000</v>
      </c>
      <c r="M165" t="str">
        <f>IF(Table3[[#This Row],[Akun Jawaban]]="","",IF(Table3[[#This Row],[Akun Jawaban]]=Table4[[#This Row],[Akun]],"Benar","salah"))</f>
        <v>Benar</v>
      </c>
      <c r="N165" t="str">
        <f>IF(Table3[[#This Row],[Debit Jawaban]]="","",IF(Table3[[#This Row],[Debit Jawaban]]=Table4[[#This Row],[Debit (Rp)]],"Benar","salah"))</f>
        <v/>
      </c>
      <c r="O165" t="str">
        <f>IF(Table3[[#This Row],[Kredit Jawaban]]="","",IF(Table3[[#This Row],[Kredit Jawaban]]=Table4[[#This Row],[Kredit (Rp)]],"Benar","salah"))</f>
        <v>Benar</v>
      </c>
    </row>
    <row r="166" spans="1:15" ht="28.8" x14ac:dyDescent="0.3">
      <c r="A166">
        <v>59</v>
      </c>
      <c r="B166">
        <v>46417</v>
      </c>
      <c r="C166" s="1" t="s">
        <v>690</v>
      </c>
      <c r="D166" s="1" t="s">
        <v>691</v>
      </c>
      <c r="E166" s="1" t="s">
        <v>692</v>
      </c>
      <c r="F166" s="2">
        <v>2400000</v>
      </c>
      <c r="G166" s="1" t="s">
        <v>545</v>
      </c>
      <c r="H166" s="3">
        <v>59</v>
      </c>
      <c r="I166" s="3">
        <v>46417</v>
      </c>
      <c r="J166" s="1" t="s">
        <v>295</v>
      </c>
      <c r="K166" s="2">
        <v>2400000</v>
      </c>
      <c r="M166" t="str">
        <f>IF(Table3[[#This Row],[Akun Jawaban]]="","",IF(Table3[[#This Row],[Akun Jawaban]]=Table4[[#This Row],[Akun]],"Benar","salah"))</f>
        <v>Benar</v>
      </c>
      <c r="N166" t="str">
        <f>IF(Table3[[#This Row],[Debit Jawaban]]="","",IF(Table3[[#This Row],[Debit Jawaban]]=Table4[[#This Row],[Debit (Rp)]],"Benar","salah"))</f>
        <v>Benar</v>
      </c>
      <c r="O166" t="str">
        <f>IF(Table3[[#This Row],[Kredit Jawaban]]="","",IF(Table3[[#This Row],[Kredit Jawaban]]=Table4[[#This Row],[Kredit (Rp)]],"Benar","salah"))</f>
        <v/>
      </c>
    </row>
    <row r="167" spans="1:15" ht="28.8" x14ac:dyDescent="0.3">
      <c r="G167" s="1" t="s">
        <v>545</v>
      </c>
      <c r="H167" s="3">
        <v>59</v>
      </c>
      <c r="I167" s="3">
        <v>46417</v>
      </c>
      <c r="J167" s="1" t="s">
        <v>1447</v>
      </c>
      <c r="L167" s="2">
        <v>2400000</v>
      </c>
      <c r="M167" t="str">
        <f>IF(Table3[[#This Row],[Akun Jawaban]]="","",IF(Table3[[#This Row],[Akun Jawaban]]=Table4[[#This Row],[Akun]],"Benar","salah"))</f>
        <v>Benar</v>
      </c>
      <c r="N167" t="str">
        <f>IF(Table3[[#This Row],[Debit Jawaban]]="","",IF(Table3[[#This Row],[Debit Jawaban]]=Table4[[#This Row],[Debit (Rp)]],"Benar","salah"))</f>
        <v/>
      </c>
      <c r="O167" t="str">
        <f>IF(Table3[[#This Row],[Kredit Jawaban]]="","",IF(Table3[[#This Row],[Kredit Jawaban]]=Table4[[#This Row],[Kredit (Rp)]],"Benar","salah"))</f>
        <v>Benar</v>
      </c>
    </row>
    <row r="168" spans="1:15" ht="43.2" x14ac:dyDescent="0.3">
      <c r="A168">
        <v>60</v>
      </c>
      <c r="B168">
        <v>46418</v>
      </c>
      <c r="C168" s="1" t="s">
        <v>693</v>
      </c>
      <c r="D168" s="1" t="s">
        <v>694</v>
      </c>
      <c r="E168" s="1" t="s">
        <v>695</v>
      </c>
      <c r="F168" s="2">
        <v>150000</v>
      </c>
      <c r="G168" s="1" t="s">
        <v>696</v>
      </c>
      <c r="H168" s="3">
        <v>60</v>
      </c>
      <c r="I168" s="3">
        <v>46418</v>
      </c>
      <c r="J168" s="1" t="s">
        <v>1449</v>
      </c>
      <c r="K168" s="2">
        <v>150000</v>
      </c>
      <c r="M168" t="str">
        <f>IF(Table3[[#This Row],[Akun Jawaban]]="","",IF(Table3[[#This Row],[Akun Jawaban]]=Table4[[#This Row],[Akun]],"Benar","salah"))</f>
        <v>Benar</v>
      </c>
      <c r="N168" t="str">
        <f>IF(Table3[[#This Row],[Debit Jawaban]]="","",IF(Table3[[#This Row],[Debit Jawaban]]=Table4[[#This Row],[Debit (Rp)]],"Benar","salah"))</f>
        <v>Benar</v>
      </c>
      <c r="O168" t="str">
        <f>IF(Table3[[#This Row],[Kredit Jawaban]]="","",IF(Table3[[#This Row],[Kredit Jawaban]]=Table4[[#This Row],[Kredit (Rp)]],"Benar","salah"))</f>
        <v/>
      </c>
    </row>
    <row r="169" spans="1:15" ht="28.8" x14ac:dyDescent="0.3">
      <c r="G169" s="1" t="s">
        <v>696</v>
      </c>
      <c r="H169" s="3">
        <v>60</v>
      </c>
      <c r="I169" s="3">
        <v>46418</v>
      </c>
      <c r="J169" s="1" t="s">
        <v>1488</v>
      </c>
      <c r="L169" s="2">
        <v>150000</v>
      </c>
      <c r="M169" t="str">
        <f>IF(Table3[[#This Row],[Akun Jawaban]]="","",IF(Table3[[#This Row],[Akun Jawaban]]=Table4[[#This Row],[Akun]],"Benar","salah"))</f>
        <v>Benar</v>
      </c>
      <c r="N169" t="str">
        <f>IF(Table3[[#This Row],[Debit Jawaban]]="","",IF(Table3[[#This Row],[Debit Jawaban]]=Table4[[#This Row],[Debit (Rp)]],"Benar","salah"))</f>
        <v/>
      </c>
      <c r="O169" t="str">
        <f>IF(Table3[[#This Row],[Kredit Jawaban]]="","",IF(Table3[[#This Row],[Kredit Jawaban]]=Table4[[#This Row],[Kredit (Rp)]],"Benar","salah"))</f>
        <v>Benar</v>
      </c>
    </row>
    <row r="170" spans="1:15" ht="57.6" x14ac:dyDescent="0.3">
      <c r="A170">
        <v>61</v>
      </c>
      <c r="B170">
        <v>46418</v>
      </c>
      <c r="C170" s="1" t="s">
        <v>697</v>
      </c>
      <c r="D170" s="1" t="s">
        <v>698</v>
      </c>
      <c r="E170" s="1" t="s">
        <v>699</v>
      </c>
      <c r="F170" s="2">
        <v>300000</v>
      </c>
      <c r="G170" s="1" t="s">
        <v>700</v>
      </c>
      <c r="H170" s="3">
        <v>61</v>
      </c>
      <c r="I170" s="3">
        <v>46418</v>
      </c>
      <c r="J170" s="1" t="s">
        <v>1489</v>
      </c>
      <c r="K170" s="2">
        <v>300000</v>
      </c>
      <c r="M170" t="str">
        <f>IF(Table3[[#This Row],[Akun Jawaban]]="","",IF(Table3[[#This Row],[Akun Jawaban]]=Table4[[#This Row],[Akun]],"Benar","salah"))</f>
        <v>Benar</v>
      </c>
      <c r="N170" t="str">
        <f>IF(Table3[[#This Row],[Debit Jawaban]]="","",IF(Table3[[#This Row],[Debit Jawaban]]=Table4[[#This Row],[Debit (Rp)]],"Benar","salah"))</f>
        <v>Benar</v>
      </c>
      <c r="O170" t="str">
        <f>IF(Table3[[#This Row],[Kredit Jawaban]]="","",IF(Table3[[#This Row],[Kredit Jawaban]]=Table4[[#This Row],[Kredit (Rp)]],"Benar","salah"))</f>
        <v/>
      </c>
    </row>
    <row r="171" spans="1:15" ht="28.8" x14ac:dyDescent="0.3">
      <c r="G171" s="1" t="s">
        <v>700</v>
      </c>
      <c r="H171" s="3">
        <v>61</v>
      </c>
      <c r="I171" s="3">
        <v>46418</v>
      </c>
      <c r="J171" s="1" t="s">
        <v>1449</v>
      </c>
      <c r="L171" s="2">
        <v>300000</v>
      </c>
      <c r="M171" t="str">
        <f>IF(Table3[[#This Row],[Akun Jawaban]]="","",IF(Table3[[#This Row],[Akun Jawaban]]=Table4[[#This Row],[Akun]],"Benar","salah"))</f>
        <v>Benar</v>
      </c>
      <c r="N171" t="str">
        <f>IF(Table3[[#This Row],[Debit Jawaban]]="","",IF(Table3[[#This Row],[Debit Jawaban]]=Table4[[#This Row],[Debit (Rp)]],"Benar","salah"))</f>
        <v/>
      </c>
      <c r="O171" t="str">
        <f>IF(Table3[[#This Row],[Kredit Jawaban]]="","",IF(Table3[[#This Row],[Kredit Jawaban]]=Table4[[#This Row],[Kredit (Rp)]],"Benar","salah"))</f>
        <v>Benar</v>
      </c>
    </row>
    <row r="172" spans="1:15" ht="43.2" x14ac:dyDescent="0.3">
      <c r="A172">
        <v>62</v>
      </c>
      <c r="B172">
        <v>46418</v>
      </c>
      <c r="C172" s="1" t="s">
        <v>701</v>
      </c>
      <c r="D172" s="1" t="s">
        <v>702</v>
      </c>
      <c r="E172" s="1" t="s">
        <v>703</v>
      </c>
      <c r="F172" s="2">
        <v>4000000</v>
      </c>
      <c r="G172" s="1" t="s">
        <v>704</v>
      </c>
      <c r="H172" s="3">
        <v>62</v>
      </c>
      <c r="I172" s="3">
        <v>46418</v>
      </c>
      <c r="J172" s="1" t="s">
        <v>1490</v>
      </c>
      <c r="K172" s="2">
        <v>4000000</v>
      </c>
      <c r="M172" t="str">
        <f>IF(Table3[[#This Row],[Akun Jawaban]]="","",IF(Table3[[#This Row],[Akun Jawaban]]=Table4[[#This Row],[Akun]],"Benar","salah"))</f>
        <v>Benar</v>
      </c>
      <c r="N172" t="str">
        <f>IF(Table3[[#This Row],[Debit Jawaban]]="","",IF(Table3[[#This Row],[Debit Jawaban]]=Table4[[#This Row],[Debit (Rp)]],"Benar","salah"))</f>
        <v>Benar</v>
      </c>
      <c r="O172" t="str">
        <f>IF(Table3[[#This Row],[Kredit Jawaban]]="","",IF(Table3[[#This Row],[Kredit Jawaban]]=Table4[[#This Row],[Kredit (Rp)]],"Benar","salah"))</f>
        <v/>
      </c>
    </row>
    <row r="173" spans="1:15" ht="43.2" x14ac:dyDescent="0.3">
      <c r="G173" s="1" t="s">
        <v>704</v>
      </c>
      <c r="H173" s="3">
        <v>62</v>
      </c>
      <c r="I173" s="3">
        <v>46418</v>
      </c>
      <c r="J173" s="1" t="s">
        <v>1454</v>
      </c>
      <c r="L173" s="2">
        <v>4000000</v>
      </c>
      <c r="M173" t="str">
        <f>IF(Table3[[#This Row],[Akun Jawaban]]="","",IF(Table3[[#This Row],[Akun Jawaban]]=Table4[[#This Row],[Akun]],"Benar","salah"))</f>
        <v>Benar</v>
      </c>
      <c r="N173" t="str">
        <f>IF(Table3[[#This Row],[Debit Jawaban]]="","",IF(Table3[[#This Row],[Debit Jawaban]]=Table4[[#This Row],[Debit (Rp)]],"Benar","salah"))</f>
        <v/>
      </c>
      <c r="O173" t="str">
        <f>IF(Table3[[#This Row],[Kredit Jawaban]]="","",IF(Table3[[#This Row],[Kredit Jawaban]]=Table4[[#This Row],[Kredit (Rp)]],"Benar","salah"))</f>
        <v>Benar</v>
      </c>
    </row>
    <row r="174" spans="1:15" ht="43.2" x14ac:dyDescent="0.3">
      <c r="A174">
        <v>63</v>
      </c>
      <c r="B174">
        <v>46418</v>
      </c>
      <c r="C174" s="1" t="s">
        <v>705</v>
      </c>
      <c r="D174" s="1" t="s">
        <v>706</v>
      </c>
      <c r="E174" s="1" t="s">
        <v>707</v>
      </c>
      <c r="F174" s="2">
        <v>3000000</v>
      </c>
      <c r="G174" s="1" t="s">
        <v>704</v>
      </c>
      <c r="H174" s="3">
        <v>63</v>
      </c>
      <c r="I174" s="3">
        <v>46418</v>
      </c>
      <c r="J174" s="1" t="s">
        <v>1490</v>
      </c>
      <c r="K174" s="2">
        <v>3000000</v>
      </c>
      <c r="M174" t="str">
        <f>IF(Table3[[#This Row],[Akun Jawaban]]="","",IF(Table3[[#This Row],[Akun Jawaban]]=Table4[[#This Row],[Akun]],"Benar","salah"))</f>
        <v>Benar</v>
      </c>
      <c r="N174" t="str">
        <f>IF(Table3[[#This Row],[Debit Jawaban]]="","",IF(Table3[[#This Row],[Debit Jawaban]]=Table4[[#This Row],[Debit (Rp)]],"Benar","salah"))</f>
        <v>Benar</v>
      </c>
      <c r="O174" t="str">
        <f>IF(Table3[[#This Row],[Kredit Jawaban]]="","",IF(Table3[[#This Row],[Kredit Jawaban]]=Table4[[#This Row],[Kredit (Rp)]],"Benar","salah"))</f>
        <v/>
      </c>
    </row>
    <row r="175" spans="1:15" ht="43.2" x14ac:dyDescent="0.3">
      <c r="G175" s="1" t="s">
        <v>704</v>
      </c>
      <c r="H175" s="3">
        <v>63</v>
      </c>
      <c r="I175" s="3">
        <v>46418</v>
      </c>
      <c r="J175" s="1" t="s">
        <v>1454</v>
      </c>
      <c r="L175" s="2">
        <v>3000000</v>
      </c>
      <c r="M175" t="str">
        <f>IF(Table3[[#This Row],[Akun Jawaban]]="","",IF(Table3[[#This Row],[Akun Jawaban]]=Table4[[#This Row],[Akun]],"Benar","salah"))</f>
        <v>Benar</v>
      </c>
      <c r="N175" t="str">
        <f>IF(Table3[[#This Row],[Debit Jawaban]]="","",IF(Table3[[#This Row],[Debit Jawaban]]=Table4[[#This Row],[Debit (Rp)]],"Benar","salah"))</f>
        <v/>
      </c>
      <c r="O175" t="str">
        <f>IF(Table3[[#This Row],[Kredit Jawaban]]="","",IF(Table3[[#This Row],[Kredit Jawaban]]=Table4[[#This Row],[Kredit (Rp)]],"Benar","salah"))</f>
        <v>Benar</v>
      </c>
    </row>
    <row r="176" spans="1:15" ht="43.2" x14ac:dyDescent="0.3">
      <c r="A176">
        <v>64</v>
      </c>
      <c r="B176">
        <v>46418</v>
      </c>
      <c r="C176" s="1" t="s">
        <v>708</v>
      </c>
      <c r="D176" s="1" t="s">
        <v>709</v>
      </c>
      <c r="E176" s="1" t="s">
        <v>710</v>
      </c>
      <c r="F176" s="2">
        <v>6000000</v>
      </c>
      <c r="G176" s="1" t="s">
        <v>711</v>
      </c>
      <c r="H176" s="3">
        <v>64</v>
      </c>
      <c r="I176" s="3">
        <v>46418</v>
      </c>
      <c r="J176" s="1" t="s">
        <v>1447</v>
      </c>
      <c r="K176" s="2">
        <v>6000000</v>
      </c>
      <c r="M176" t="str">
        <f>IF(Table3[[#This Row],[Akun Jawaban]]="","",IF(Table3[[#This Row],[Akun Jawaban]]=Table4[[#This Row],[Akun]],"Benar","salah"))</f>
        <v>Benar</v>
      </c>
      <c r="N176" t="str">
        <f>IF(Table3[[#This Row],[Debit Jawaban]]="","",IF(Table3[[#This Row],[Debit Jawaban]]=Table4[[#This Row],[Debit (Rp)]],"Benar","salah"))</f>
        <v>Benar</v>
      </c>
      <c r="O176" t="str">
        <f>IF(Table3[[#This Row],[Kredit Jawaban]]="","",IF(Table3[[#This Row],[Kredit Jawaban]]=Table4[[#This Row],[Kredit (Rp)]],"Benar","salah"))</f>
        <v/>
      </c>
    </row>
    <row r="177" spans="1:15" ht="28.8" x14ac:dyDescent="0.3">
      <c r="G177" s="1" t="s">
        <v>711</v>
      </c>
      <c r="H177" s="3">
        <v>64</v>
      </c>
      <c r="I177" s="3">
        <v>46418</v>
      </c>
      <c r="J177" s="1" t="s">
        <v>1454</v>
      </c>
      <c r="L177" s="2">
        <v>6000000</v>
      </c>
      <c r="M177" t="str">
        <f>IF(Table3[[#This Row],[Akun Jawaban]]="","",IF(Table3[[#This Row],[Akun Jawaban]]=Table4[[#This Row],[Akun]],"Benar","salah"))</f>
        <v>Benar</v>
      </c>
      <c r="N177" t="str">
        <f>IF(Table3[[#This Row],[Debit Jawaban]]="","",IF(Table3[[#This Row],[Debit Jawaban]]=Table4[[#This Row],[Debit (Rp)]],"Benar","salah"))</f>
        <v/>
      </c>
      <c r="O177" t="str">
        <f>IF(Table3[[#This Row],[Kredit Jawaban]]="","",IF(Table3[[#This Row],[Kredit Jawaban]]=Table4[[#This Row],[Kredit (Rp)]],"Benar","salah"))</f>
        <v>Benar</v>
      </c>
    </row>
    <row r="178" spans="1:15" ht="57.6" x14ac:dyDescent="0.3">
      <c r="A178">
        <v>65</v>
      </c>
      <c r="B178">
        <v>46418</v>
      </c>
      <c r="C178" s="1" t="s">
        <v>712</v>
      </c>
      <c r="D178" s="1" t="s">
        <v>713</v>
      </c>
      <c r="E178" s="1" t="s">
        <v>714</v>
      </c>
      <c r="F178" s="2">
        <v>4000000</v>
      </c>
      <c r="G178" s="1" t="s">
        <v>715</v>
      </c>
      <c r="H178" s="3">
        <v>65</v>
      </c>
      <c r="I178" s="3">
        <v>46418</v>
      </c>
      <c r="J178" s="1" t="s">
        <v>1491</v>
      </c>
      <c r="K178" s="2">
        <v>4000000</v>
      </c>
      <c r="M178" t="str">
        <f>IF(Table3[[#This Row],[Akun Jawaban]]="","",IF(Table3[[#This Row],[Akun Jawaban]]=Table4[[#This Row],[Akun]],"Benar","salah"))</f>
        <v>Benar</v>
      </c>
      <c r="N178" t="str">
        <f>IF(Table3[[#This Row],[Debit Jawaban]]="","",IF(Table3[[#This Row],[Debit Jawaban]]=Table4[[#This Row],[Debit (Rp)]],"Benar","salah"))</f>
        <v>Benar</v>
      </c>
      <c r="O178" t="str">
        <f>IF(Table3[[#This Row],[Kredit Jawaban]]="","",IF(Table3[[#This Row],[Kredit Jawaban]]=Table4[[#This Row],[Kredit (Rp)]],"Benar","salah"))</f>
        <v/>
      </c>
    </row>
    <row r="179" spans="1:15" ht="43.2" x14ac:dyDescent="0.3">
      <c r="G179" s="1" t="s">
        <v>715</v>
      </c>
      <c r="H179" s="3">
        <v>65</v>
      </c>
      <c r="I179" s="3">
        <v>46418</v>
      </c>
      <c r="J179" s="1" t="s">
        <v>1455</v>
      </c>
      <c r="K179" s="2">
        <f>11%*K178</f>
        <v>440000</v>
      </c>
      <c r="M179" t="str">
        <f>IF(Table3[[#This Row],[Akun Jawaban]]="","",IF(Table3[[#This Row],[Akun Jawaban]]=Table4[[#This Row],[Akun]],"Benar","salah"))</f>
        <v>Benar</v>
      </c>
      <c r="N179" t="str">
        <f>IF(Table3[[#This Row],[Debit Jawaban]]="","",IF(Table3[[#This Row],[Debit Jawaban]]=Table4[[#This Row],[Debit (Rp)]],"Benar","salah"))</f>
        <v>Benar</v>
      </c>
      <c r="O179" t="str">
        <f>IF(Table3[[#This Row],[Kredit Jawaban]]="","",IF(Table3[[#This Row],[Kredit Jawaban]]=Table4[[#This Row],[Kredit (Rp)]],"Benar","salah"))</f>
        <v/>
      </c>
    </row>
    <row r="180" spans="1:15" x14ac:dyDescent="0.3">
      <c r="H180" s="3">
        <v>65</v>
      </c>
      <c r="I180" s="3">
        <v>46418</v>
      </c>
      <c r="J180" s="1" t="s">
        <v>1458</v>
      </c>
      <c r="L180" s="2">
        <f>SUM(K178:K179)</f>
        <v>4440000</v>
      </c>
      <c r="M180" t="str">
        <f>IF(Table3[[#This Row],[Akun Jawaban]]="","",IF(Table3[[#This Row],[Akun Jawaban]]=Table4[[#This Row],[Akun]],"Benar","salah"))</f>
        <v>Benar</v>
      </c>
      <c r="N180" t="str">
        <f>IF(Table3[[#This Row],[Debit Jawaban]]="","",IF(Table3[[#This Row],[Debit Jawaban]]=Table4[[#This Row],[Debit (Rp)]],"Benar","salah"))</f>
        <v/>
      </c>
      <c r="O180" t="str">
        <f>IF(Table3[[#This Row],[Kredit Jawaban]]="","",IF(Table3[[#This Row],[Kredit Jawaban]]=Table4[[#This Row],[Kredit (Rp)]],"Benar","salah"))</f>
        <v>Benar</v>
      </c>
    </row>
    <row r="181" spans="1:15" ht="43.2" x14ac:dyDescent="0.3">
      <c r="A181">
        <v>66</v>
      </c>
      <c r="B181">
        <v>46418</v>
      </c>
      <c r="C181" s="1" t="s">
        <v>716</v>
      </c>
      <c r="D181" s="1" t="s">
        <v>717</v>
      </c>
      <c r="E181" s="1" t="s">
        <v>718</v>
      </c>
      <c r="F181" s="2">
        <v>90000000</v>
      </c>
      <c r="G181" s="1" t="s">
        <v>506</v>
      </c>
      <c r="H181" s="3">
        <v>66</v>
      </c>
      <c r="I181" s="3">
        <v>46418</v>
      </c>
      <c r="J181" s="1" t="s">
        <v>1447</v>
      </c>
      <c r="K181" s="2">
        <v>90000000</v>
      </c>
      <c r="M181" t="str">
        <f>IF(Table3[[#This Row],[Akun Jawaban]]="","",IF(Table3[[#This Row],[Akun Jawaban]]=Table4[[#This Row],[Akun]],"Benar","salah"))</f>
        <v>Benar</v>
      </c>
      <c r="N181" t="str">
        <f>IF(Table3[[#This Row],[Debit Jawaban]]="","",IF(Table3[[#This Row],[Debit Jawaban]]=Table4[[#This Row],[Debit (Rp)]],"Benar","salah"))</f>
        <v>Benar</v>
      </c>
      <c r="O181" t="str">
        <f>IF(Table3[[#This Row],[Kredit Jawaban]]="","",IF(Table3[[#This Row],[Kredit Jawaban]]=Table4[[#This Row],[Kredit (Rp)]],"Benar","salah"))</f>
        <v/>
      </c>
    </row>
    <row r="182" spans="1:15" ht="28.8" x14ac:dyDescent="0.3">
      <c r="G182" s="1" t="s">
        <v>506</v>
      </c>
      <c r="H182" s="3">
        <v>66</v>
      </c>
      <c r="I182" s="3">
        <v>46418</v>
      </c>
      <c r="J182" s="1" t="s">
        <v>1458</v>
      </c>
      <c r="L182" s="2">
        <v>90000000</v>
      </c>
      <c r="M182" t="str">
        <f>IF(Table3[[#This Row],[Akun Jawaban]]="","",IF(Table3[[#This Row],[Akun Jawaban]]=Table4[[#This Row],[Akun]],"Benar","salah"))</f>
        <v>Benar</v>
      </c>
      <c r="N182" t="str">
        <f>IF(Table3[[#This Row],[Debit Jawaban]]="","",IF(Table3[[#This Row],[Debit Jawaban]]=Table4[[#This Row],[Debit (Rp)]],"Benar","salah"))</f>
        <v/>
      </c>
      <c r="O182" t="str">
        <f>IF(Table3[[#This Row],[Kredit Jawaban]]="","",IF(Table3[[#This Row],[Kredit Jawaban]]=Table4[[#This Row],[Kredit (Rp)]],"Benar","salah"))</f>
        <v>Benar</v>
      </c>
    </row>
    <row r="183" spans="1:15" ht="57.6" x14ac:dyDescent="0.3">
      <c r="A183">
        <v>67</v>
      </c>
      <c r="B183">
        <v>46418</v>
      </c>
      <c r="C183" s="1" t="s">
        <v>719</v>
      </c>
      <c r="D183" s="1" t="s">
        <v>720</v>
      </c>
      <c r="E183" s="1" t="s">
        <v>721</v>
      </c>
      <c r="F183" s="2">
        <v>30000000</v>
      </c>
      <c r="G183" s="1" t="s">
        <v>722</v>
      </c>
      <c r="H183" s="3">
        <v>67</v>
      </c>
      <c r="I183" s="3">
        <v>46418</v>
      </c>
      <c r="J183" s="1" t="s">
        <v>1454</v>
      </c>
      <c r="K183" s="2">
        <f>Table3[[#This Row],[Nominal (Rp)]]</f>
        <v>30000000</v>
      </c>
      <c r="M183" t="str">
        <f>IF(Table3[[#This Row],[Akun Jawaban]]="","",IF(Table3[[#This Row],[Akun Jawaban]]=Table4[[#This Row],[Akun]],"Benar","salah"))</f>
        <v>Benar</v>
      </c>
      <c r="N183" t="str">
        <f>IF(Table3[[#This Row],[Debit Jawaban]]="","",IF(Table3[[#This Row],[Debit Jawaban]]=Table4[[#This Row],[Debit (Rp)]],"Benar","salah"))</f>
        <v>Benar</v>
      </c>
      <c r="O183" t="str">
        <f>IF(Table3[[#This Row],[Kredit Jawaban]]="","",IF(Table3[[#This Row],[Kredit Jawaban]]=Table4[[#This Row],[Kredit (Rp)]],"Benar","salah"))</f>
        <v/>
      </c>
    </row>
    <row r="184" spans="1:15" ht="57.6" x14ac:dyDescent="0.3">
      <c r="G184" s="1" t="s">
        <v>722</v>
      </c>
      <c r="H184" s="3">
        <v>67</v>
      </c>
      <c r="I184" s="3">
        <v>46418</v>
      </c>
      <c r="J184" s="1" t="s">
        <v>1451</v>
      </c>
      <c r="K184" s="2">
        <f>11%*K183</f>
        <v>3300000</v>
      </c>
      <c r="M184" t="str">
        <f>IF(Table3[[#This Row],[Akun Jawaban]]="","",IF(Table3[[#This Row],[Akun Jawaban]]=Table4[[#This Row],[Akun]],"Benar","salah"))</f>
        <v>Benar</v>
      </c>
      <c r="N184" t="str">
        <f>IF(Table3[[#This Row],[Debit Jawaban]]="","",IF(Table3[[#This Row],[Debit Jawaban]]=Table4[[#This Row],[Debit (Rp)]],"Benar","salah"))</f>
        <v>Benar</v>
      </c>
      <c r="O184" t="str">
        <f>IF(Table3[[#This Row],[Kredit Jawaban]]="","",IF(Table3[[#This Row],[Kredit Jawaban]]=Table4[[#This Row],[Kredit (Rp)]],"Benar","salah"))</f>
        <v/>
      </c>
    </row>
    <row r="185" spans="1:15" x14ac:dyDescent="0.3">
      <c r="H185" s="3">
        <v>67</v>
      </c>
      <c r="I185" s="3">
        <v>46418</v>
      </c>
      <c r="J185" s="1" t="s">
        <v>1447</v>
      </c>
      <c r="L185" s="2">
        <f>K183+K184-L186-L187</f>
        <v>32301000</v>
      </c>
      <c r="M185" t="str">
        <f>IF(Table3[[#This Row],[Akun Jawaban]]="","",IF(Table3[[#This Row],[Akun Jawaban]]=Table4[[#This Row],[Akun]],"Benar","salah"))</f>
        <v>Benar</v>
      </c>
      <c r="N185" t="str">
        <f>IF(Table3[[#This Row],[Debit Jawaban]]="","",IF(Table3[[#This Row],[Debit Jawaban]]=Table4[[#This Row],[Debit (Rp)]],"Benar","salah"))</f>
        <v/>
      </c>
      <c r="O185" t="str">
        <f>IF(Table3[[#This Row],[Kredit Jawaban]]="","",IF(Table3[[#This Row],[Kredit Jawaban]]=Table4[[#This Row],[Kredit (Rp)]],"Benar","salah"))</f>
        <v>Benar</v>
      </c>
    </row>
    <row r="186" spans="1:15" x14ac:dyDescent="0.3">
      <c r="H186" s="3">
        <v>67</v>
      </c>
      <c r="I186" s="3">
        <v>46418</v>
      </c>
      <c r="J186" s="1" t="s">
        <v>1454</v>
      </c>
      <c r="L186" s="2">
        <v>900000</v>
      </c>
      <c r="M186" t="str">
        <f>IF(Table3[[#This Row],[Akun Jawaban]]="","",IF(Table3[[#This Row],[Akun Jawaban]]=Table4[[#This Row],[Akun]],"Benar","salah"))</f>
        <v>Benar</v>
      </c>
      <c r="N186" t="str">
        <f>IF(Table3[[#This Row],[Debit Jawaban]]="","",IF(Table3[[#This Row],[Debit Jawaban]]=Table4[[#This Row],[Debit (Rp)]],"Benar","salah"))</f>
        <v/>
      </c>
      <c r="O186" t="str">
        <f>IF(Table3[[#This Row],[Kredit Jawaban]]="","",IF(Table3[[#This Row],[Kredit Jawaban]]=Table4[[#This Row],[Kredit (Rp)]],"Benar","salah"))</f>
        <v>Benar</v>
      </c>
    </row>
    <row r="187" spans="1:15" x14ac:dyDescent="0.3">
      <c r="H187" s="3">
        <v>67</v>
      </c>
      <c r="I187" s="3">
        <v>46418</v>
      </c>
      <c r="J187" s="1" t="s">
        <v>1451</v>
      </c>
      <c r="L187" s="2">
        <v>99000</v>
      </c>
      <c r="M187" t="str">
        <f>IF(Table3[[#This Row],[Akun Jawaban]]="","",IF(Table3[[#This Row],[Akun Jawaban]]=Table4[[#This Row],[Akun]],"Benar","salah"))</f>
        <v>Benar</v>
      </c>
      <c r="N187" t="str">
        <f>IF(Table3[[#This Row],[Debit Jawaban]]="","",IF(Table3[[#This Row],[Debit Jawaban]]=Table4[[#This Row],[Debit (Rp)]],"Benar","salah"))</f>
        <v/>
      </c>
      <c r="O187" t="str">
        <f>IF(Table3[[#This Row],[Kredit Jawaban]]="","",IF(Table3[[#This Row],[Kredit Jawaban]]=Table4[[#This Row],[Kredit (Rp)]],"Benar","salah"))</f>
        <v>Benar</v>
      </c>
    </row>
    <row r="188" spans="1:15" ht="57.6" x14ac:dyDescent="0.3">
      <c r="A188">
        <v>68</v>
      </c>
      <c r="B188">
        <v>46418</v>
      </c>
      <c r="C188" s="1" t="s">
        <v>723</v>
      </c>
      <c r="D188" s="1" t="s">
        <v>724</v>
      </c>
      <c r="E188" s="1" t="s">
        <v>725</v>
      </c>
      <c r="F188" s="2">
        <v>30000000</v>
      </c>
      <c r="G188" s="1" t="s">
        <v>726</v>
      </c>
      <c r="H188" s="3">
        <v>68</v>
      </c>
      <c r="I188" s="3">
        <v>46418</v>
      </c>
      <c r="J188" s="1" t="s">
        <v>1447</v>
      </c>
      <c r="K188" s="2">
        <v>32634000</v>
      </c>
      <c r="M188" t="str">
        <f>IF(Table3[[#This Row],[Akun Jawaban]]="","",IF(Table3[[#This Row],[Akun Jawaban]]=Table4[[#This Row],[Akun]],"Benar","salah"))</f>
        <v>Benar</v>
      </c>
      <c r="N188" t="str">
        <f>IF(Table3[[#This Row],[Debit Jawaban]]="","",IF(Table3[[#This Row],[Debit Jawaban]]=Table4[[#This Row],[Debit (Rp)]],"Benar","salah"))</f>
        <v>Benar</v>
      </c>
      <c r="O188" t="str">
        <f>IF(Table3[[#This Row],[Kredit Jawaban]]="","",IF(Table3[[#This Row],[Kredit Jawaban]]=Table4[[#This Row],[Kredit (Rp)]],"Benar","salah"))</f>
        <v/>
      </c>
    </row>
    <row r="189" spans="1:15" ht="43.2" x14ac:dyDescent="0.3">
      <c r="G189" s="1" t="s">
        <v>726</v>
      </c>
      <c r="H189" s="3">
        <v>68</v>
      </c>
      <c r="I189" s="3">
        <v>46418</v>
      </c>
      <c r="J189" s="1" t="s">
        <v>1491</v>
      </c>
      <c r="K189" s="2">
        <v>600000</v>
      </c>
      <c r="M189" t="str">
        <f>IF(Table3[[#This Row],[Akun Jawaban]]="","",IF(Table3[[#This Row],[Akun Jawaban]]=Table4[[#This Row],[Akun]],"Benar","salah"))</f>
        <v>Benar</v>
      </c>
      <c r="N189" t="str">
        <f>IF(Table3[[#This Row],[Debit Jawaban]]="","",IF(Table3[[#This Row],[Debit Jawaban]]=Table4[[#This Row],[Debit (Rp)]],"Benar","salah"))</f>
        <v>Benar</v>
      </c>
      <c r="O189" t="str">
        <f>IF(Table3[[#This Row],[Kredit Jawaban]]="","",IF(Table3[[#This Row],[Kredit Jawaban]]=Table4[[#This Row],[Kredit (Rp)]],"Benar","salah"))</f>
        <v/>
      </c>
    </row>
    <row r="190" spans="1:15" x14ac:dyDescent="0.3">
      <c r="H190" s="3">
        <v>68</v>
      </c>
      <c r="I190" s="3">
        <v>46418</v>
      </c>
      <c r="J190" s="1" t="s">
        <v>1455</v>
      </c>
      <c r="K190" s="2">
        <f>11%*K189</f>
        <v>66000</v>
      </c>
      <c r="M190" t="str">
        <f>IF(Table3[[#This Row],[Akun Jawaban]]="","",IF(Table3[[#This Row],[Akun Jawaban]]=Table4[[#This Row],[Akun]],"Benar","salah"))</f>
        <v>Benar</v>
      </c>
      <c r="N190" t="str">
        <f>IF(Table3[[#This Row],[Debit Jawaban]]="","",IF(Table3[[#This Row],[Debit Jawaban]]=Table4[[#This Row],[Debit (Rp)]],"Benar","salah"))</f>
        <v>Benar</v>
      </c>
      <c r="O190" t="str">
        <f>IF(Table3[[#This Row],[Kredit Jawaban]]="","",IF(Table3[[#This Row],[Kredit Jawaban]]=Table4[[#This Row],[Kredit (Rp)]],"Benar","salah"))</f>
        <v/>
      </c>
    </row>
    <row r="191" spans="1:15" x14ac:dyDescent="0.3">
      <c r="H191" s="3">
        <v>68</v>
      </c>
      <c r="I191" s="3">
        <v>46418</v>
      </c>
      <c r="J191" s="1" t="s">
        <v>1458</v>
      </c>
      <c r="L191" s="2">
        <f>SUM(K188:K190)</f>
        <v>33300000</v>
      </c>
      <c r="M191" t="str">
        <f>IF(Table3[[#This Row],[Akun Jawaban]]="","",IF(Table3[[#This Row],[Akun Jawaban]]=Table4[[#This Row],[Akun]],"Benar","salah"))</f>
        <v>Benar</v>
      </c>
      <c r="N191" t="str">
        <f>IF(Table3[[#This Row],[Debit Jawaban]]="","",IF(Table3[[#This Row],[Debit Jawaban]]=Table4[[#This Row],[Debit (Rp)]],"Benar","salah"))</f>
        <v/>
      </c>
      <c r="O191" t="str">
        <f>IF(Table3[[#This Row],[Kredit Jawaban]]="","",IF(Table3[[#This Row],[Kredit Jawaban]]=Table4[[#This Row],[Kredit (Rp)]],"Benar","salah"))</f>
        <v>Benar</v>
      </c>
    </row>
    <row r="192" spans="1:15" ht="43.2" x14ac:dyDescent="0.3">
      <c r="A192">
        <v>69</v>
      </c>
      <c r="B192">
        <v>46418</v>
      </c>
      <c r="C192" s="1" t="s">
        <v>727</v>
      </c>
      <c r="D192" s="1" t="s">
        <v>728</v>
      </c>
      <c r="E192" s="1" t="s">
        <v>729</v>
      </c>
      <c r="F192" s="2">
        <v>1000000</v>
      </c>
      <c r="G192" s="1" t="s">
        <v>730</v>
      </c>
      <c r="H192" s="3">
        <v>69</v>
      </c>
      <c r="I192" s="3">
        <v>46418</v>
      </c>
      <c r="J192" s="1" t="s">
        <v>1447</v>
      </c>
      <c r="K192" s="2">
        <f>Table3[[#This Row],[Nominal (Rp)]]</f>
        <v>1000000</v>
      </c>
      <c r="M192" t="str">
        <f>IF(Table3[[#This Row],[Akun Jawaban]]="","",IF(Table3[[#This Row],[Akun Jawaban]]=Table4[[#This Row],[Akun]],"Benar","salah"))</f>
        <v>Benar</v>
      </c>
      <c r="N192" t="str">
        <f>IF(Table3[[#This Row],[Debit Jawaban]]="","",IF(Table3[[#This Row],[Debit Jawaban]]=Table4[[#This Row],[Debit (Rp)]],"Benar","salah"))</f>
        <v>Benar</v>
      </c>
      <c r="O192" t="str">
        <f>IF(Table3[[#This Row],[Kredit Jawaban]]="","",IF(Table3[[#This Row],[Kredit Jawaban]]=Table4[[#This Row],[Kredit (Rp)]],"Benar","salah"))</f>
        <v/>
      </c>
    </row>
    <row r="193" spans="1:15" ht="28.8" x14ac:dyDescent="0.3">
      <c r="G193" s="1" t="s">
        <v>730</v>
      </c>
      <c r="H193" s="3">
        <v>69</v>
      </c>
      <c r="I193" s="3">
        <v>46418</v>
      </c>
      <c r="J193" s="1" t="s">
        <v>1454</v>
      </c>
      <c r="L193" s="2">
        <f>K192</f>
        <v>1000000</v>
      </c>
      <c r="M193" t="str">
        <f>IF(Table3[[#This Row],[Akun Jawaban]]="","",IF(Table3[[#This Row],[Akun Jawaban]]=Table4[[#This Row],[Akun]],"Benar","salah"))</f>
        <v>Benar</v>
      </c>
      <c r="N193" t="str">
        <f>IF(Table3[[#This Row],[Debit Jawaban]]="","",IF(Table3[[#This Row],[Debit Jawaban]]=Table4[[#This Row],[Debit (Rp)]],"Benar","salah"))</f>
        <v/>
      </c>
      <c r="O193" t="str">
        <f>IF(Table3[[#This Row],[Kredit Jawaban]]="","",IF(Table3[[#This Row],[Kredit Jawaban]]=Table4[[#This Row],[Kredit (Rp)]],"Benar","salah"))</f>
        <v>Benar</v>
      </c>
    </row>
    <row r="194" spans="1:15" ht="43.2" x14ac:dyDescent="0.3">
      <c r="A194">
        <v>70</v>
      </c>
      <c r="B194">
        <v>46418</v>
      </c>
      <c r="C194" s="1" t="s">
        <v>731</v>
      </c>
      <c r="D194" s="1" t="s">
        <v>732</v>
      </c>
      <c r="E194" s="1" t="s">
        <v>733</v>
      </c>
      <c r="F194" s="2">
        <v>3000000</v>
      </c>
      <c r="G194" s="1" t="s">
        <v>734</v>
      </c>
      <c r="H194" s="3">
        <v>70</v>
      </c>
      <c r="I194" s="3">
        <v>46418</v>
      </c>
      <c r="J194" s="1" t="s">
        <v>1464</v>
      </c>
      <c r="K194" s="2">
        <v>3000000</v>
      </c>
      <c r="M194" t="str">
        <f>IF(Table3[[#This Row],[Akun Jawaban]]="","",IF(Table3[[#This Row],[Akun Jawaban]]=Table4[[#This Row],[Akun]],"Benar","salah"))</f>
        <v>Benar</v>
      </c>
      <c r="N194" t="str">
        <f>IF(Table3[[#This Row],[Debit Jawaban]]="","",IF(Table3[[#This Row],[Debit Jawaban]]=Table4[[#This Row],[Debit (Rp)]],"Benar","salah"))</f>
        <v>Benar</v>
      </c>
      <c r="O194" t="str">
        <f>IF(Table3[[#This Row],[Kredit Jawaban]]="","",IF(Table3[[#This Row],[Kredit Jawaban]]=Table4[[#This Row],[Kredit (Rp)]],"Benar","salah"))</f>
        <v/>
      </c>
    </row>
    <row r="195" spans="1:15" ht="43.2" x14ac:dyDescent="0.3">
      <c r="G195" s="1" t="s">
        <v>734</v>
      </c>
      <c r="H195" s="3">
        <v>70</v>
      </c>
      <c r="I195" s="3">
        <v>46418</v>
      </c>
      <c r="J195" s="1" t="s">
        <v>1451</v>
      </c>
      <c r="K195" s="2">
        <f>11%*3000000</f>
        <v>330000</v>
      </c>
      <c r="M195" t="str">
        <f>IF(Table3[[#This Row],[Akun Jawaban]]="","",IF(Table3[[#This Row],[Akun Jawaban]]=Table4[[#This Row],[Akun]],"Benar","salah"))</f>
        <v>Benar</v>
      </c>
      <c r="N195" t="str">
        <f>IF(Table3[[#This Row],[Debit Jawaban]]="","",IF(Table3[[#This Row],[Debit Jawaban]]=Table4[[#This Row],[Debit (Rp)]],"Benar","salah"))</f>
        <v>Benar</v>
      </c>
      <c r="O195" t="str">
        <f>IF(Table3[[#This Row],[Kredit Jawaban]]="","",IF(Table3[[#This Row],[Kredit Jawaban]]=Table4[[#This Row],[Kredit (Rp)]],"Benar","salah"))</f>
        <v/>
      </c>
    </row>
    <row r="196" spans="1:15" x14ac:dyDescent="0.3">
      <c r="H196" s="3">
        <v>70</v>
      </c>
      <c r="I196" s="3">
        <v>46418</v>
      </c>
      <c r="J196" s="1" t="s">
        <v>1453</v>
      </c>
      <c r="L196" s="2">
        <f>SUM(K194:K195)</f>
        <v>3330000</v>
      </c>
      <c r="M196" t="str">
        <f>IF(Table3[[#This Row],[Akun Jawaban]]="","",IF(Table3[[#This Row],[Akun Jawaban]]=Table4[[#This Row],[Akun]],"Benar","salah"))</f>
        <v>Benar</v>
      </c>
      <c r="N196" t="str">
        <f>IF(Table3[[#This Row],[Debit Jawaban]]="","",IF(Table3[[#This Row],[Debit Jawaban]]=Table4[[#This Row],[Debit (Rp)]],"Benar","salah"))</f>
        <v/>
      </c>
      <c r="O196" t="str">
        <f>IF(Table3[[#This Row],[Kredit Jawaban]]="","",IF(Table3[[#This Row],[Kredit Jawaban]]=Table4[[#This Row],[Kredit (Rp)]],"Benar","salah"))</f>
        <v>Benar</v>
      </c>
    </row>
    <row r="197" spans="1:15" ht="28.8" x14ac:dyDescent="0.3">
      <c r="A197">
        <v>71</v>
      </c>
      <c r="B197">
        <v>46418</v>
      </c>
      <c r="C197" s="1" t="s">
        <v>735</v>
      </c>
      <c r="D197" s="1" t="s">
        <v>736</v>
      </c>
      <c r="E197" s="1" t="s">
        <v>615</v>
      </c>
      <c r="F197" s="2">
        <v>3330000</v>
      </c>
      <c r="G197" s="1" t="s">
        <v>510</v>
      </c>
      <c r="H197" s="3">
        <v>71</v>
      </c>
      <c r="I197" s="3">
        <v>46418</v>
      </c>
      <c r="J197" s="1" t="s">
        <v>1453</v>
      </c>
      <c r="K197" s="2">
        <v>3330000</v>
      </c>
      <c r="M197" t="str">
        <f>IF(Table3[[#This Row],[Akun Jawaban]]="","",IF(Table3[[#This Row],[Akun Jawaban]]=Table4[[#This Row],[Akun]],"Benar","salah"))</f>
        <v>Benar</v>
      </c>
      <c r="N197" t="str">
        <f>IF(Table3[[#This Row],[Debit Jawaban]]="","",IF(Table3[[#This Row],[Debit Jawaban]]=Table4[[#This Row],[Debit (Rp)]],"Benar","salah"))</f>
        <v>Benar</v>
      </c>
      <c r="O197" t="str">
        <f>IF(Table3[[#This Row],[Kredit Jawaban]]="","",IF(Table3[[#This Row],[Kredit Jawaban]]=Table4[[#This Row],[Kredit (Rp)]],"Benar","salah"))</f>
        <v/>
      </c>
    </row>
    <row r="198" spans="1:15" ht="28.8" x14ac:dyDescent="0.3">
      <c r="G198" s="1" t="s">
        <v>510</v>
      </c>
      <c r="H198" s="3">
        <v>71</v>
      </c>
      <c r="I198" s="3">
        <v>46418</v>
      </c>
      <c r="J198" s="1" t="s">
        <v>1447</v>
      </c>
      <c r="L198" s="2">
        <v>3330000</v>
      </c>
      <c r="M198" t="str">
        <f>IF(Table3[[#This Row],[Akun Jawaban]]="","",IF(Table3[[#This Row],[Akun Jawaban]]=Table4[[#This Row],[Akun]],"Benar","salah"))</f>
        <v>Benar</v>
      </c>
      <c r="N198" t="str">
        <f>IF(Table3[[#This Row],[Debit Jawaban]]="","",IF(Table3[[#This Row],[Debit Jawaban]]=Table4[[#This Row],[Debit (Rp)]],"Benar","salah"))</f>
        <v/>
      </c>
      <c r="O198" t="str">
        <f>IF(Table3[[#This Row],[Kredit Jawaban]]="","",IF(Table3[[#This Row],[Kredit Jawaban]]=Table4[[#This Row],[Kredit (Rp)]],"Benar","salah"))</f>
        <v>Benar</v>
      </c>
    </row>
    <row r="199" spans="1:15" ht="43.2" x14ac:dyDescent="0.3">
      <c r="A199">
        <v>72</v>
      </c>
      <c r="B199">
        <v>46418</v>
      </c>
      <c r="C199" s="1" t="s">
        <v>737</v>
      </c>
      <c r="D199" s="1" t="s">
        <v>738</v>
      </c>
      <c r="E199" s="1" t="s">
        <v>739</v>
      </c>
      <c r="F199" s="2">
        <v>50000000</v>
      </c>
      <c r="G199" s="1" t="s">
        <v>740</v>
      </c>
      <c r="H199" s="3">
        <v>72</v>
      </c>
      <c r="I199" s="3">
        <v>46418</v>
      </c>
      <c r="J199" s="1" t="s">
        <v>1447</v>
      </c>
      <c r="K199" s="2">
        <v>50000000</v>
      </c>
      <c r="M199" t="str">
        <f>IF(Table3[[#This Row],[Akun Jawaban]]="","",IF(Table3[[#This Row],[Akun Jawaban]]=Table4[[#This Row],[Akun]],"Benar","salah"))</f>
        <v>Benar</v>
      </c>
      <c r="N199" t="str">
        <f>IF(Table3[[#This Row],[Debit Jawaban]]="","",IF(Table3[[#This Row],[Debit Jawaban]]=Table4[[#This Row],[Debit (Rp)]],"Benar","salah"))</f>
        <v>Benar</v>
      </c>
      <c r="O199" t="str">
        <f>IF(Table3[[#This Row],[Kredit Jawaban]]="","",IF(Table3[[#This Row],[Kredit Jawaban]]=Table4[[#This Row],[Kredit (Rp)]],"Benar","salah"))</f>
        <v/>
      </c>
    </row>
    <row r="200" spans="1:15" ht="28.8" x14ac:dyDescent="0.3">
      <c r="G200" s="1" t="s">
        <v>740</v>
      </c>
      <c r="H200" s="3">
        <v>72</v>
      </c>
      <c r="I200" s="3">
        <v>46418</v>
      </c>
      <c r="J200" s="1" t="s">
        <v>225</v>
      </c>
      <c r="L200" s="2">
        <v>50000000</v>
      </c>
      <c r="M200" t="str">
        <f>IF(Table3[[#This Row],[Akun Jawaban]]="","",IF(Table3[[#This Row],[Akun Jawaban]]=Table4[[#This Row],[Akun]],"Benar","salah"))</f>
        <v>Benar</v>
      </c>
      <c r="N200" t="str">
        <f>IF(Table3[[#This Row],[Debit Jawaban]]="","",IF(Table3[[#This Row],[Debit Jawaban]]=Table4[[#This Row],[Debit (Rp)]],"Benar","salah"))</f>
        <v/>
      </c>
      <c r="O200" t="str">
        <f>IF(Table3[[#This Row],[Kredit Jawaban]]="","",IF(Table3[[#This Row],[Kredit Jawaban]]=Table4[[#This Row],[Kredit (Rp)]],"Benar","salah"))</f>
        <v>Benar</v>
      </c>
    </row>
    <row r="201" spans="1:15" ht="43.2" x14ac:dyDescent="0.3">
      <c r="A201">
        <v>73</v>
      </c>
      <c r="B201">
        <v>46418</v>
      </c>
      <c r="C201" s="1" t="s">
        <v>741</v>
      </c>
      <c r="D201" s="1" t="s">
        <v>742</v>
      </c>
      <c r="E201" s="1" t="s">
        <v>652</v>
      </c>
      <c r="F201" s="2">
        <v>11000000</v>
      </c>
      <c r="G201" s="1" t="s">
        <v>743</v>
      </c>
      <c r="H201" s="3">
        <v>73</v>
      </c>
      <c r="I201" s="3">
        <v>46418</v>
      </c>
      <c r="J201" s="1" t="s">
        <v>1492</v>
      </c>
      <c r="K201" s="2">
        <v>10000000</v>
      </c>
      <c r="M201" t="str">
        <f>IF(Table3[[#This Row],[Akun Jawaban]]="","",IF(Table3[[#This Row],[Akun Jawaban]]=Table4[[#This Row],[Akun]],"Benar","salah"))</f>
        <v>Benar</v>
      </c>
      <c r="N201" t="str">
        <f>IF(Table3[[#This Row],[Debit Jawaban]]="","",IF(Table3[[#This Row],[Debit Jawaban]]=Table4[[#This Row],[Debit (Rp)]],"Benar","salah"))</f>
        <v>Benar</v>
      </c>
      <c r="O201" t="str">
        <f>IF(Table3[[#This Row],[Kredit Jawaban]]="","",IF(Table3[[#This Row],[Kredit Jawaban]]=Table4[[#This Row],[Kredit (Rp)]],"Benar","salah"))</f>
        <v/>
      </c>
    </row>
    <row r="202" spans="1:15" ht="43.2" x14ac:dyDescent="0.3">
      <c r="G202" s="1" t="s">
        <v>743</v>
      </c>
      <c r="H202" s="3">
        <v>73</v>
      </c>
      <c r="I202" s="3">
        <v>46418</v>
      </c>
      <c r="J202" s="1" t="s">
        <v>1472</v>
      </c>
      <c r="K202" s="2">
        <v>1000000</v>
      </c>
      <c r="M202" t="str">
        <f>IF(Table3[[#This Row],[Akun Jawaban]]="","",IF(Table3[[#This Row],[Akun Jawaban]]=Table4[[#This Row],[Akun]],"Benar","salah"))</f>
        <v>Benar</v>
      </c>
      <c r="N202" t="str">
        <f>IF(Table3[[#This Row],[Debit Jawaban]]="","",IF(Table3[[#This Row],[Debit Jawaban]]=Table4[[#This Row],[Debit (Rp)]],"Benar","salah"))</f>
        <v>Benar</v>
      </c>
      <c r="O202" t="str">
        <f>IF(Table3[[#This Row],[Kredit Jawaban]]="","",IF(Table3[[#This Row],[Kredit Jawaban]]=Table4[[#This Row],[Kredit (Rp)]],"Benar","salah"))</f>
        <v/>
      </c>
    </row>
    <row r="203" spans="1:15" x14ac:dyDescent="0.3">
      <c r="H203" s="3">
        <v>73</v>
      </c>
      <c r="I203" s="3">
        <v>46418</v>
      </c>
      <c r="J203" s="1" t="s">
        <v>1447</v>
      </c>
      <c r="L203" s="2">
        <f>SUM(K201:K202)</f>
        <v>11000000</v>
      </c>
      <c r="M203" t="str">
        <f>IF(Table3[[#This Row],[Akun Jawaban]]="","",IF(Table3[[#This Row],[Akun Jawaban]]=Table4[[#This Row],[Akun]],"Benar","salah"))</f>
        <v>Benar</v>
      </c>
      <c r="N203" t="str">
        <f>IF(Table3[[#This Row],[Debit Jawaban]]="","",IF(Table3[[#This Row],[Debit Jawaban]]=Table4[[#This Row],[Debit (Rp)]],"Benar","salah"))</f>
        <v/>
      </c>
      <c r="O203" t="str">
        <f>IF(Table3[[#This Row],[Kredit Jawaban]]="","",IF(Table3[[#This Row],[Kredit Jawaban]]=Table4[[#This Row],[Kredit (Rp)]],"Benar","salah"))</f>
        <v>Benar</v>
      </c>
    </row>
    <row r="204" spans="1:15" ht="43.2" x14ac:dyDescent="0.3">
      <c r="A204">
        <v>74</v>
      </c>
      <c r="B204">
        <v>46418</v>
      </c>
      <c r="C204" s="1" t="s">
        <v>744</v>
      </c>
      <c r="D204" s="1" t="s">
        <v>745</v>
      </c>
      <c r="E204" s="1" t="s">
        <v>746</v>
      </c>
      <c r="F204" s="2">
        <v>3190000</v>
      </c>
      <c r="G204" s="1" t="s">
        <v>747</v>
      </c>
      <c r="H204" s="3">
        <v>74</v>
      </c>
      <c r="I204" s="3">
        <v>46418</v>
      </c>
      <c r="J204" s="1" t="s">
        <v>1469</v>
      </c>
      <c r="K204" s="2">
        <v>1000000</v>
      </c>
      <c r="M204" t="str">
        <f>IF(Table3[[#This Row],[Akun Jawaban]]="","",IF(Table3[[#This Row],[Akun Jawaban]]=Table4[[#This Row],[Akun]],"Benar","salah"))</f>
        <v>Benar</v>
      </c>
      <c r="N204" t="str">
        <f>IF(Table3[[#This Row],[Debit Jawaban]]="","",IF(Table3[[#This Row],[Debit Jawaban]]=Table4[[#This Row],[Debit (Rp)]],"Benar","salah"))</f>
        <v>Benar</v>
      </c>
      <c r="O204" t="str">
        <f>IF(Table3[[#This Row],[Kredit Jawaban]]="","",IF(Table3[[#This Row],[Kredit Jawaban]]=Table4[[#This Row],[Kredit (Rp)]],"Benar","salah"))</f>
        <v/>
      </c>
    </row>
    <row r="205" spans="1:15" ht="28.8" x14ac:dyDescent="0.3">
      <c r="G205" s="1" t="s">
        <v>747</v>
      </c>
      <c r="H205" s="3">
        <v>74</v>
      </c>
      <c r="I205" s="3">
        <v>46418</v>
      </c>
      <c r="J205" s="1" t="s">
        <v>1466</v>
      </c>
      <c r="K205" s="2">
        <v>190000</v>
      </c>
      <c r="M205" t="str">
        <f>IF(Table3[[#This Row],[Akun Jawaban]]="","",IF(Table3[[#This Row],[Akun Jawaban]]=Table4[[#This Row],[Akun]],"Benar","salah"))</f>
        <v>Benar</v>
      </c>
      <c r="N205" t="str">
        <f>IF(Table3[[#This Row],[Debit Jawaban]]="","",IF(Table3[[#This Row],[Debit Jawaban]]=Table4[[#This Row],[Debit (Rp)]],"Benar","salah"))</f>
        <v>Benar</v>
      </c>
      <c r="O205" t="str">
        <f>IF(Table3[[#This Row],[Kredit Jawaban]]="","",IF(Table3[[#This Row],[Kredit Jawaban]]=Table4[[#This Row],[Kredit (Rp)]],"Benar","salah"))</f>
        <v/>
      </c>
    </row>
    <row r="206" spans="1:15" x14ac:dyDescent="0.3">
      <c r="H206" s="3">
        <v>74</v>
      </c>
      <c r="I206" s="3">
        <v>46418</v>
      </c>
      <c r="J206" s="1" t="s">
        <v>219</v>
      </c>
      <c r="K206" s="2">
        <v>2000000</v>
      </c>
      <c r="M206" t="str">
        <f>IF(Table3[[#This Row],[Akun Jawaban]]="","",IF(Table3[[#This Row],[Akun Jawaban]]=Table4[[#This Row],[Akun]],"Benar","salah"))</f>
        <v>Benar</v>
      </c>
      <c r="N206" t="str">
        <f>IF(Table3[[#This Row],[Debit Jawaban]]="","",IF(Table3[[#This Row],[Debit Jawaban]]=Table4[[#This Row],[Debit (Rp)]],"Benar","salah"))</f>
        <v>Benar</v>
      </c>
      <c r="O206" t="str">
        <f>IF(Table3[[#This Row],[Kredit Jawaban]]="","",IF(Table3[[#This Row],[Kredit Jawaban]]=Table4[[#This Row],[Kredit (Rp)]],"Benar","salah"))</f>
        <v/>
      </c>
    </row>
    <row r="207" spans="1:15" x14ac:dyDescent="0.3">
      <c r="H207" s="3">
        <v>74</v>
      </c>
      <c r="I207" s="3">
        <v>46418</v>
      </c>
      <c r="J207" s="1" t="s">
        <v>1447</v>
      </c>
      <c r="L207" s="2">
        <f>SUM(K204:K206)</f>
        <v>3190000</v>
      </c>
      <c r="M207" t="str">
        <f>IF(Table3[[#This Row],[Akun Jawaban]]="","",IF(Table3[[#This Row],[Akun Jawaban]]=Table4[[#This Row],[Akun]],"Benar","salah"))</f>
        <v>Benar</v>
      </c>
      <c r="N207" t="str">
        <f>IF(Table3[[#This Row],[Debit Jawaban]]="","",IF(Table3[[#This Row],[Debit Jawaban]]=Table4[[#This Row],[Debit (Rp)]],"Benar","salah"))</f>
        <v/>
      </c>
      <c r="O207" t="str">
        <f>IF(Table3[[#This Row],[Kredit Jawaban]]="","",IF(Table3[[#This Row],[Kredit Jawaban]]=Table4[[#This Row],[Kredit (Rp)]],"Benar","salah"))</f>
        <v>Benar</v>
      </c>
    </row>
    <row r="208" spans="1:15" ht="43.2" x14ac:dyDescent="0.3">
      <c r="A208">
        <v>75</v>
      </c>
      <c r="B208">
        <v>46418</v>
      </c>
      <c r="C208" s="1" t="s">
        <v>748</v>
      </c>
      <c r="D208" s="1" t="s">
        <v>749</v>
      </c>
      <c r="E208" s="1" t="s">
        <v>750</v>
      </c>
      <c r="F208" s="2">
        <v>2500000</v>
      </c>
      <c r="G208" s="1" t="s">
        <v>751</v>
      </c>
      <c r="H208" s="3">
        <v>75</v>
      </c>
      <c r="I208" s="3">
        <v>46418</v>
      </c>
      <c r="J208" s="1" t="s">
        <v>1470</v>
      </c>
      <c r="K208" s="2">
        <f>Table3[[#This Row],[Nominal (Rp)]]</f>
        <v>2500000</v>
      </c>
      <c r="M208" t="str">
        <f>IF(Table3[[#This Row],[Akun Jawaban]]="","",IF(Table3[[#This Row],[Akun Jawaban]]=Table4[[#This Row],[Akun]],"Benar","salah"))</f>
        <v>Benar</v>
      </c>
      <c r="N208" t="str">
        <f>IF(Table3[[#This Row],[Debit Jawaban]]="","",IF(Table3[[#This Row],[Debit Jawaban]]=Table4[[#This Row],[Debit (Rp)]],"Benar","salah"))</f>
        <v>Benar</v>
      </c>
      <c r="O208" t="str">
        <f>IF(Table3[[#This Row],[Kredit Jawaban]]="","",IF(Table3[[#This Row],[Kredit Jawaban]]=Table4[[#This Row],[Kredit (Rp)]],"Benar","salah"))</f>
        <v/>
      </c>
    </row>
    <row r="209" spans="1:15" ht="28.8" x14ac:dyDescent="0.3">
      <c r="G209" s="1" t="s">
        <v>751</v>
      </c>
      <c r="H209" s="3">
        <v>75</v>
      </c>
      <c r="I209" s="3">
        <v>46418</v>
      </c>
      <c r="J209" s="1" t="s">
        <v>1447</v>
      </c>
      <c r="L209" s="2">
        <f>K208</f>
        <v>2500000</v>
      </c>
      <c r="M209" t="str">
        <f>IF(Table3[[#This Row],[Akun Jawaban]]="","",IF(Table3[[#This Row],[Akun Jawaban]]=Table4[[#This Row],[Akun]],"Benar","salah"))</f>
        <v>Benar</v>
      </c>
      <c r="N209" t="str">
        <f>IF(Table3[[#This Row],[Debit Jawaban]]="","",IF(Table3[[#This Row],[Debit Jawaban]]=Table4[[#This Row],[Debit (Rp)]],"Benar","salah"))</f>
        <v/>
      </c>
      <c r="O209" t="str">
        <f>IF(Table3[[#This Row],[Kredit Jawaban]]="","",IF(Table3[[#This Row],[Kredit Jawaban]]=Table4[[#This Row],[Kredit (Rp)]],"Benar","salah"))</f>
        <v>Benar</v>
      </c>
    </row>
    <row r="210" spans="1:15" ht="43.2" x14ac:dyDescent="0.3">
      <c r="A210">
        <v>76</v>
      </c>
      <c r="B210">
        <v>46418</v>
      </c>
      <c r="C210" s="1" t="s">
        <v>752</v>
      </c>
      <c r="D210" s="1" t="s">
        <v>753</v>
      </c>
      <c r="E210" s="1" t="s">
        <v>754</v>
      </c>
      <c r="F210" s="2">
        <v>12000000</v>
      </c>
      <c r="G210" s="1" t="s">
        <v>538</v>
      </c>
      <c r="H210" s="3">
        <v>76</v>
      </c>
      <c r="I210" s="3">
        <v>46418</v>
      </c>
      <c r="J210" s="1" t="s">
        <v>1462</v>
      </c>
      <c r="K210" s="2">
        <v>12000000</v>
      </c>
      <c r="M210" t="str">
        <f>IF(Table3[[#This Row],[Akun Jawaban]]="","",IF(Table3[[#This Row],[Akun Jawaban]]=Table4[[#This Row],[Akun]],"Benar","salah"))</f>
        <v>Benar</v>
      </c>
      <c r="N210" t="str">
        <f>IF(Table3[[#This Row],[Debit Jawaban]]="","",IF(Table3[[#This Row],[Debit Jawaban]]=Table4[[#This Row],[Debit (Rp)]],"Benar","salah"))</f>
        <v>Benar</v>
      </c>
      <c r="O210" t="str">
        <f>IF(Table3[[#This Row],[Kredit Jawaban]]="","",IF(Table3[[#This Row],[Kredit Jawaban]]=Table4[[#This Row],[Kredit (Rp)]],"Benar","salah"))</f>
        <v/>
      </c>
    </row>
    <row r="211" spans="1:15" ht="28.8" x14ac:dyDescent="0.3">
      <c r="G211" s="1" t="s">
        <v>538</v>
      </c>
      <c r="H211" s="3">
        <v>76</v>
      </c>
      <c r="I211" s="3">
        <v>46418</v>
      </c>
      <c r="J211" s="1" t="s">
        <v>1447</v>
      </c>
      <c r="L211" s="2">
        <v>12000000</v>
      </c>
      <c r="M211" t="str">
        <f>IF(Table3[[#This Row],[Akun Jawaban]]="","",IF(Table3[[#This Row],[Akun Jawaban]]=Table4[[#This Row],[Akun]],"Benar","salah"))</f>
        <v>Benar</v>
      </c>
      <c r="N211" t="str">
        <f>IF(Table3[[#This Row],[Debit Jawaban]]="","",IF(Table3[[#This Row],[Debit Jawaban]]=Table4[[#This Row],[Debit (Rp)]],"Benar","salah"))</f>
        <v/>
      </c>
      <c r="O211" t="str">
        <f>IF(Table3[[#This Row],[Kredit Jawaban]]="","",IF(Table3[[#This Row],[Kredit Jawaban]]=Table4[[#This Row],[Kredit (Rp)]],"Benar","salah"))</f>
        <v>Benar</v>
      </c>
    </row>
    <row r="212" spans="1:15" ht="43.2" x14ac:dyDescent="0.3">
      <c r="A212">
        <v>77</v>
      </c>
      <c r="B212">
        <v>46418</v>
      </c>
      <c r="C212" s="1" t="s">
        <v>755</v>
      </c>
      <c r="D212" s="1" t="s">
        <v>756</v>
      </c>
      <c r="E212" s="1" t="s">
        <v>757</v>
      </c>
      <c r="F212" s="2">
        <v>12000000</v>
      </c>
      <c r="G212" s="1" t="s">
        <v>758</v>
      </c>
      <c r="H212" s="3">
        <v>77</v>
      </c>
      <c r="I212" s="3">
        <v>46418</v>
      </c>
      <c r="J212" s="1" t="s">
        <v>1485</v>
      </c>
      <c r="K212" s="2">
        <v>12000000</v>
      </c>
      <c r="M212" t="str">
        <f>IF(Table3[[#This Row],[Akun Jawaban]]="","",IF(Table3[[#This Row],[Akun Jawaban]]=Table4[[#This Row],[Akun]],"Benar","salah"))</f>
        <v>Benar</v>
      </c>
      <c r="N212" t="str">
        <f>IF(Table3[[#This Row],[Debit Jawaban]]="","",IF(Table3[[#This Row],[Debit Jawaban]]=Table4[[#This Row],[Debit (Rp)]],"Benar","salah"))</f>
        <v>Benar</v>
      </c>
      <c r="O212" t="str">
        <f>IF(Table3[[#This Row],[Kredit Jawaban]]="","",IF(Table3[[#This Row],[Kredit Jawaban]]=Table4[[#This Row],[Kredit (Rp)]],"Benar","salah"))</f>
        <v/>
      </c>
    </row>
    <row r="213" spans="1:15" ht="28.8" x14ac:dyDescent="0.3">
      <c r="G213" s="1" t="s">
        <v>758</v>
      </c>
      <c r="H213" s="3">
        <v>77</v>
      </c>
      <c r="I213" s="3">
        <v>46418</v>
      </c>
      <c r="J213" s="1" t="s">
        <v>1447</v>
      </c>
      <c r="L213" s="2">
        <v>12000000</v>
      </c>
      <c r="M213" t="str">
        <f>IF(Table3[[#This Row],[Akun Jawaban]]="","",IF(Table3[[#This Row],[Akun Jawaban]]=Table4[[#This Row],[Akun]],"Benar","salah"))</f>
        <v>Benar</v>
      </c>
      <c r="N213" t="str">
        <f>IF(Table3[[#This Row],[Debit Jawaban]]="","",IF(Table3[[#This Row],[Debit Jawaban]]=Table4[[#This Row],[Debit (Rp)]],"Benar","salah"))</f>
        <v/>
      </c>
      <c r="O213" t="str">
        <f>IF(Table3[[#This Row],[Kredit Jawaban]]="","",IF(Table3[[#This Row],[Kredit Jawaban]]=Table4[[#This Row],[Kredit (Rp)]],"Benar","salah"))</f>
        <v>Benar</v>
      </c>
    </row>
    <row r="214" spans="1:15" ht="57.6" x14ac:dyDescent="0.3">
      <c r="A214">
        <v>78</v>
      </c>
      <c r="B214">
        <v>46418</v>
      </c>
      <c r="C214" s="1" t="s">
        <v>759</v>
      </c>
      <c r="D214" s="1" t="s">
        <v>760</v>
      </c>
      <c r="E214" s="1" t="s">
        <v>761</v>
      </c>
      <c r="F214" s="2">
        <v>2000000</v>
      </c>
      <c r="G214" s="1" t="s">
        <v>762</v>
      </c>
      <c r="H214" s="3">
        <v>78</v>
      </c>
      <c r="I214" s="3">
        <v>46418</v>
      </c>
      <c r="J214" s="1" t="s">
        <v>1447</v>
      </c>
      <c r="K214" s="2">
        <f>SUM(Table3[[#This Row],[Nominal (Rp)]],L218)</f>
        <v>2220000</v>
      </c>
      <c r="M214" t="str">
        <f>IF(Table3[[#This Row],[Akun Jawaban]]="","",IF(Table3[[#This Row],[Akun Jawaban]]=Table4[[#This Row],[Akun]],"Benar","salah"))</f>
        <v>Benar</v>
      </c>
      <c r="N214" t="str">
        <f>IF(Table3[[#This Row],[Debit Jawaban]]="","",IF(Table3[[#This Row],[Debit Jawaban]]=Table4[[#This Row],[Debit (Rp)]],"Benar","salah"))</f>
        <v>Benar</v>
      </c>
      <c r="O214" t="str">
        <f>IF(Table3[[#This Row],[Kredit Jawaban]]="","",IF(Table3[[#This Row],[Kredit Jawaban]]=Table4[[#This Row],[Kredit (Rp)]],"Benar","salah"))</f>
        <v/>
      </c>
    </row>
    <row r="215" spans="1:15" ht="57.6" x14ac:dyDescent="0.3">
      <c r="G215" s="1" t="s">
        <v>762</v>
      </c>
      <c r="H215" s="3">
        <v>78</v>
      </c>
      <c r="I215" s="3">
        <v>46418</v>
      </c>
      <c r="J215" s="1" t="s">
        <v>186</v>
      </c>
      <c r="K215" s="2">
        <v>7000000</v>
      </c>
      <c r="M215" t="str">
        <f>IF(Table3[[#This Row],[Akun Jawaban]]="","",IF(Table3[[#This Row],[Akun Jawaban]]=Table4[[#This Row],[Akun]],"Benar","salah"))</f>
        <v>Benar</v>
      </c>
      <c r="N215" t="str">
        <f>IF(Table3[[#This Row],[Debit Jawaban]]="","",IF(Table3[[#This Row],[Debit Jawaban]]=Table4[[#This Row],[Debit (Rp)]],"Benar","salah"))</f>
        <v>Benar</v>
      </c>
      <c r="O215" t="str">
        <f>IF(Table3[[#This Row],[Kredit Jawaban]]="","",IF(Table3[[#This Row],[Kredit Jawaban]]=Table4[[#This Row],[Kredit (Rp)]],"Benar","salah"))</f>
        <v/>
      </c>
    </row>
    <row r="216" spans="1:15" x14ac:dyDescent="0.3">
      <c r="H216" s="3">
        <v>78</v>
      </c>
      <c r="I216" s="3">
        <v>46418</v>
      </c>
      <c r="J216" s="1" t="s">
        <v>330</v>
      </c>
      <c r="K216" s="2">
        <v>1000000</v>
      </c>
      <c r="M216" t="str">
        <f>IF(Table3[[#This Row],[Akun Jawaban]]="","",IF(Table3[[#This Row],[Akun Jawaban]]=Table4[[#This Row],[Akun]],"Benar","salah"))</f>
        <v>Benar</v>
      </c>
      <c r="N216" t="str">
        <f>IF(Table3[[#This Row],[Debit Jawaban]]="","",IF(Table3[[#This Row],[Debit Jawaban]]=Table4[[#This Row],[Debit (Rp)]],"Benar","salah"))</f>
        <v>Benar</v>
      </c>
      <c r="O216" t="str">
        <f>IF(Table3[[#This Row],[Kredit Jawaban]]="","",IF(Table3[[#This Row],[Kredit Jawaban]]=Table4[[#This Row],[Kredit (Rp)]],"Benar","salah"))</f>
        <v/>
      </c>
    </row>
    <row r="217" spans="1:15" x14ac:dyDescent="0.3">
      <c r="H217" s="3">
        <v>78</v>
      </c>
      <c r="I217" s="3">
        <v>46418</v>
      </c>
      <c r="J217" s="1" t="s">
        <v>177</v>
      </c>
      <c r="L217" s="2">
        <v>10000000</v>
      </c>
      <c r="M217" t="str">
        <f>IF(Table3[[#This Row],[Akun Jawaban]]="","",IF(Table3[[#This Row],[Akun Jawaban]]=Table4[[#This Row],[Akun]],"Benar","salah"))</f>
        <v>Benar</v>
      </c>
      <c r="N217" t="str">
        <f>IF(Table3[[#This Row],[Debit Jawaban]]="","",IF(Table3[[#This Row],[Debit Jawaban]]=Table4[[#This Row],[Debit (Rp)]],"Benar","salah"))</f>
        <v/>
      </c>
      <c r="O217" t="str">
        <f>IF(Table3[[#This Row],[Kredit Jawaban]]="","",IF(Table3[[#This Row],[Kredit Jawaban]]=Table4[[#This Row],[Kredit (Rp)]],"Benar","salah"))</f>
        <v>Benar</v>
      </c>
    </row>
    <row r="218" spans="1:15" x14ac:dyDescent="0.3">
      <c r="H218" s="3">
        <v>78</v>
      </c>
      <c r="I218" s="3">
        <v>46418</v>
      </c>
      <c r="J218" s="1" t="s">
        <v>1455</v>
      </c>
      <c r="L218" s="2">
        <f>11%*F214</f>
        <v>220000</v>
      </c>
      <c r="M218" t="str">
        <f>IF(Table3[[#This Row],[Akun Jawaban]]="","",IF(Table3[[#This Row],[Akun Jawaban]]=Table4[[#This Row],[Akun]],"Benar","salah"))</f>
        <v>Benar</v>
      </c>
      <c r="N218" t="str">
        <f>IF(Table3[[#This Row],[Debit Jawaban]]="","",IF(Table3[[#This Row],[Debit Jawaban]]=Table4[[#This Row],[Debit (Rp)]],"Benar","salah"))</f>
        <v/>
      </c>
      <c r="O218" t="str">
        <f>IF(Table3[[#This Row],[Kredit Jawaban]]="","",IF(Table3[[#This Row],[Kredit Jawaban]]=Table4[[#This Row],[Kredit (Rp)]],"Benar","salah"))</f>
        <v>Benar</v>
      </c>
    </row>
    <row r="219" spans="1:15" ht="72" x14ac:dyDescent="0.3">
      <c r="A219">
        <v>79</v>
      </c>
      <c r="B219">
        <v>46418</v>
      </c>
      <c r="C219" s="1" t="s">
        <v>763</v>
      </c>
      <c r="D219" s="1" t="s">
        <v>764</v>
      </c>
      <c r="E219" s="1" t="s">
        <v>1495</v>
      </c>
      <c r="F219" s="2">
        <v>90000000</v>
      </c>
      <c r="G219" s="1" t="s">
        <v>765</v>
      </c>
      <c r="H219" s="3">
        <v>79</v>
      </c>
      <c r="I219" s="3">
        <v>46418</v>
      </c>
      <c r="J219" s="1" t="s">
        <v>1447</v>
      </c>
      <c r="K219" s="2">
        <v>29970000</v>
      </c>
      <c r="M219" t="str">
        <f>IF(Table3[[#This Row],[Akun Jawaban]]="","",IF(Table3[[#This Row],[Akun Jawaban]]=Table4[[#This Row],[Akun]],"Benar","salah"))</f>
        <v>Benar</v>
      </c>
      <c r="N219" t="str">
        <f>IF(Table3[[#This Row],[Debit Jawaban]]="","",IF(Table3[[#This Row],[Debit Jawaban]]=Table4[[#This Row],[Debit (Rp)]],"Benar","salah"))</f>
        <v>Benar</v>
      </c>
      <c r="O219" t="str">
        <f>IF(Table3[[#This Row],[Kredit Jawaban]]="","",IF(Table3[[#This Row],[Kredit Jawaban]]=Table4[[#This Row],[Kredit (Rp)]],"Benar","salah"))</f>
        <v/>
      </c>
    </row>
    <row r="220" spans="1:15" ht="57.6" x14ac:dyDescent="0.3">
      <c r="G220" s="1" t="s">
        <v>1493</v>
      </c>
      <c r="H220" s="3">
        <v>79</v>
      </c>
      <c r="I220" s="3">
        <v>46418</v>
      </c>
      <c r="J220" s="1" t="s">
        <v>1458</v>
      </c>
      <c r="K220" s="2">
        <v>69930000</v>
      </c>
      <c r="M220" t="str">
        <f>IF(Table3[[#This Row],[Akun Jawaban]]="","",IF(Table3[[#This Row],[Akun Jawaban]]=Table4[[#This Row],[Akun]],"Benar","salah"))</f>
        <v>Benar</v>
      </c>
      <c r="N220" t="str">
        <f>IF(Table3[[#This Row],[Debit Jawaban]]="","",IF(Table3[[#This Row],[Debit Jawaban]]=Table4[[#This Row],[Debit (Rp)]],"Benar","salah"))</f>
        <v>Benar</v>
      </c>
      <c r="O220" t="str">
        <f>IF(Table3[[#This Row],[Kredit Jawaban]]="","",IF(Table3[[#This Row],[Kredit Jawaban]]=Table4[[#This Row],[Kredit (Rp)]],"Benar","salah"))</f>
        <v/>
      </c>
    </row>
    <row r="221" spans="1:15" ht="48" customHeight="1" x14ac:dyDescent="0.3">
      <c r="G221" s="1" t="s">
        <v>1494</v>
      </c>
      <c r="H221" s="3">
        <v>79</v>
      </c>
      <c r="I221" s="3">
        <v>46418</v>
      </c>
      <c r="J221" s="1" t="s">
        <v>1457</v>
      </c>
      <c r="L221" s="2">
        <v>90000000</v>
      </c>
      <c r="M221" t="str">
        <f>IF(Table3[[#This Row],[Akun Jawaban]]="","",IF(Table3[[#This Row],[Akun Jawaban]]=Table4[[#This Row],[Akun]],"Benar","salah"))</f>
        <v>Benar</v>
      </c>
      <c r="N221" t="str">
        <f>IF(Table3[[#This Row],[Debit Jawaban]]="","",IF(Table3[[#This Row],[Debit Jawaban]]=Table4[[#This Row],[Debit (Rp)]],"Benar","salah"))</f>
        <v/>
      </c>
      <c r="O221" t="str">
        <f>IF(Table3[[#This Row],[Kredit Jawaban]]="","",IF(Table3[[#This Row],[Kredit Jawaban]]=Table4[[#This Row],[Kredit (Rp)]],"Benar","salah"))</f>
        <v>Benar</v>
      </c>
    </row>
    <row r="222" spans="1:15" x14ac:dyDescent="0.3">
      <c r="H222" s="3">
        <v>79</v>
      </c>
      <c r="I222" s="3">
        <v>46418</v>
      </c>
      <c r="J222" s="1" t="s">
        <v>1455</v>
      </c>
      <c r="L222" s="2">
        <f>11%*L221</f>
        <v>9900000</v>
      </c>
      <c r="M222" t="str">
        <f>IF(Table3[[#This Row],[Akun Jawaban]]="","",IF(Table3[[#This Row],[Akun Jawaban]]=Table4[[#This Row],[Akun]],"Benar","salah"))</f>
        <v>Benar</v>
      </c>
      <c r="N222" t="str">
        <f>IF(Table3[[#This Row],[Debit Jawaban]]="","",IF(Table3[[#This Row],[Debit Jawaban]]=Table4[[#This Row],[Debit (Rp)]],"Benar","salah"))</f>
        <v/>
      </c>
      <c r="O222" t="str">
        <f>IF(Table3[[#This Row],[Kredit Jawaban]]="","",IF(Table3[[#This Row],[Kredit Jawaban]]=Table4[[#This Row],[Kredit (Rp)]],"Benar","salah"))</f>
        <v>Benar</v>
      </c>
    </row>
    <row r="223" spans="1:15" x14ac:dyDescent="0.3">
      <c r="H223" s="3">
        <v>79</v>
      </c>
      <c r="I223" s="3">
        <v>46418</v>
      </c>
      <c r="J223" s="1" t="s">
        <v>1456</v>
      </c>
      <c r="K223" s="2">
        <v>50000000</v>
      </c>
      <c r="M223" t="str">
        <f>IF(Table3[[#This Row],[Akun Jawaban]]="","",IF(Table3[[#This Row],[Akun Jawaban]]=Table4[[#This Row],[Akun]],"Benar","salah"))</f>
        <v>Benar</v>
      </c>
      <c r="N223" t="str">
        <f>IF(Table3[[#This Row],[Debit Jawaban]]="","",IF(Table3[[#This Row],[Debit Jawaban]]=Table4[[#This Row],[Debit (Rp)]],"Benar","salah"))</f>
        <v>Benar</v>
      </c>
      <c r="O223" t="str">
        <f>IF(Table3[[#This Row],[Kredit Jawaban]]="","",IF(Table3[[#This Row],[Kredit Jawaban]]=Table4[[#This Row],[Kredit (Rp)]],"Benar","salah"))</f>
        <v/>
      </c>
    </row>
    <row r="224" spans="1:15" x14ac:dyDescent="0.3">
      <c r="H224" s="3">
        <v>79</v>
      </c>
      <c r="I224" s="3">
        <v>46418</v>
      </c>
      <c r="J224" s="1" t="s">
        <v>1454</v>
      </c>
      <c r="L224" s="2">
        <f>K223</f>
        <v>50000000</v>
      </c>
      <c r="M224" t="str">
        <f>IF(Table3[[#This Row],[Akun Jawaban]]="","",IF(Table3[[#This Row],[Akun Jawaban]]=Table4[[#This Row],[Akun]],"Benar","salah"))</f>
        <v>Benar</v>
      </c>
      <c r="N224" t="str">
        <f>IF(Table3[[#This Row],[Debit Jawaban]]="","",IF(Table3[[#This Row],[Debit Jawaban]]=Table4[[#This Row],[Debit (Rp)]],"Benar","salah"))</f>
        <v/>
      </c>
      <c r="O224" t="str">
        <f>IF(Table3[[#This Row],[Kredit Jawaban]]="","",IF(Table3[[#This Row],[Kredit Jawaban]]=Table4[[#This Row],[Kredit (Rp)]],"Benar","salah"))</f>
        <v>Benar</v>
      </c>
    </row>
    <row r="225" spans="1:15" ht="72" x14ac:dyDescent="0.3">
      <c r="A225">
        <v>80</v>
      </c>
      <c r="B225">
        <v>46418</v>
      </c>
      <c r="C225" s="1" t="s">
        <v>766</v>
      </c>
      <c r="D225" s="1" t="s">
        <v>767</v>
      </c>
      <c r="E225" s="1" t="s">
        <v>768</v>
      </c>
      <c r="F225" s="2">
        <v>66000000</v>
      </c>
      <c r="G225" s="1" t="s">
        <v>769</v>
      </c>
      <c r="H225" s="3">
        <v>80</v>
      </c>
      <c r="I225" s="3">
        <v>46418</v>
      </c>
      <c r="J225" s="1" t="s">
        <v>1453</v>
      </c>
      <c r="K225" s="2">
        <v>25000000</v>
      </c>
      <c r="M225" t="str">
        <f>IF(Table3[[#This Row],[Akun Jawaban]]="","",IF(Table3[[#This Row],[Akun Jawaban]]=Table4[[#This Row],[Akun]],"Benar","salah"))</f>
        <v>Benar</v>
      </c>
      <c r="N225" t="str">
        <f>IF(Table3[[#This Row],[Debit Jawaban]]="","",IF(Table3[[#This Row],[Debit Jawaban]]=Table4[[#This Row],[Debit (Rp)]],"Benar","salah"))</f>
        <v>Benar</v>
      </c>
      <c r="O225" t="str">
        <f>IF(Table3[[#This Row],[Kredit Jawaban]]="","",IF(Table3[[#This Row],[Kredit Jawaban]]=Table4[[#This Row],[Kredit (Rp)]],"Benar","salah"))</f>
        <v/>
      </c>
    </row>
    <row r="226" spans="1:15" ht="43.2" x14ac:dyDescent="0.3">
      <c r="G226" s="1" t="s">
        <v>769</v>
      </c>
      <c r="H226" s="3">
        <v>80</v>
      </c>
      <c r="I226" s="3">
        <v>46418</v>
      </c>
      <c r="J226" s="1" t="s">
        <v>1447</v>
      </c>
      <c r="L226" s="2">
        <f>K225</f>
        <v>25000000</v>
      </c>
      <c r="M226" t="str">
        <f>IF(Table3[[#This Row],[Akun Jawaban]]="","",IF(Table3[[#This Row],[Akun Jawaban]]=Table4[[#This Row],[Akun]],"Benar","salah"))</f>
        <v>Benar</v>
      </c>
      <c r="N226" t="str">
        <f>IF(Table3[[#This Row],[Debit Jawaban]]="","",IF(Table3[[#This Row],[Debit Jawaban]]=Table4[[#This Row],[Debit (Rp)]],"Benar","salah"))</f>
        <v/>
      </c>
      <c r="O226" t="str">
        <f>IF(Table3[[#This Row],[Kredit Jawaban]]="","",IF(Table3[[#This Row],[Kredit Jawaban]]=Table4[[#This Row],[Kredit (Rp)]],"Benar","salah"))</f>
        <v>Benar</v>
      </c>
    </row>
    <row r="227" spans="1:15" x14ac:dyDescent="0.3">
      <c r="H227" s="3">
        <v>80</v>
      </c>
      <c r="I227" s="3">
        <v>46418</v>
      </c>
      <c r="J227" s="1" t="s">
        <v>1447</v>
      </c>
      <c r="K227" s="2">
        <v>40000000</v>
      </c>
      <c r="M227" t="str">
        <f>IF(Table3[[#This Row],[Akun Jawaban]]="","",IF(Table3[[#This Row],[Akun Jawaban]]=Table4[[#This Row],[Akun]],"Benar","salah"))</f>
        <v>Benar</v>
      </c>
      <c r="N227" t="str">
        <f>IF(Table3[[#This Row],[Debit Jawaban]]="","",IF(Table3[[#This Row],[Debit Jawaban]]=Table4[[#This Row],[Debit (Rp)]],"Benar","salah"))</f>
        <v>Benar</v>
      </c>
      <c r="O227" t="str">
        <f>IF(Table3[[#This Row],[Kredit Jawaban]]="","",IF(Table3[[#This Row],[Kredit Jawaban]]=Table4[[#This Row],[Kredit (Rp)]],"Benar","salah"))</f>
        <v/>
      </c>
    </row>
    <row r="228" spans="1:15" x14ac:dyDescent="0.3">
      <c r="H228" s="3">
        <v>80</v>
      </c>
      <c r="I228" s="3">
        <v>46418</v>
      </c>
      <c r="J228" s="1" t="s">
        <v>1458</v>
      </c>
      <c r="L228" s="2">
        <f>K227</f>
        <v>40000000</v>
      </c>
      <c r="M228" t="str">
        <f>IF(Table3[[#This Row],[Akun Jawaban]]="","",IF(Table3[[#This Row],[Akun Jawaban]]=Table4[[#This Row],[Akun]],"Benar","salah"))</f>
        <v>Benar</v>
      </c>
      <c r="N228" t="str">
        <f>IF(Table3[[#This Row],[Debit Jawaban]]="","",IF(Table3[[#This Row],[Debit Jawaban]]=Table4[[#This Row],[Debit (Rp)]],"Benar","salah"))</f>
        <v/>
      </c>
      <c r="O228" t="str">
        <f>IF(Table3[[#This Row],[Kredit Jawaban]]="","",IF(Table3[[#This Row],[Kredit Jawaban]]=Table4[[#This Row],[Kredit (Rp)]],"Benar","salah"))</f>
        <v>Benar</v>
      </c>
    </row>
    <row r="229" spans="1:15" x14ac:dyDescent="0.3">
      <c r="H229" s="3">
        <v>80</v>
      </c>
      <c r="I229" s="3">
        <v>46418</v>
      </c>
      <c r="J229" s="1" t="s">
        <v>1459</v>
      </c>
      <c r="K229" s="2">
        <v>1000000</v>
      </c>
      <c r="M229" t="str">
        <f>IF(Table3[[#This Row],[Akun Jawaban]]="","",IF(Table3[[#This Row],[Akun Jawaban]]=Table4[[#This Row],[Akun]],"Benar","salah"))</f>
        <v>Benar</v>
      </c>
      <c r="N229" t="str">
        <f>IF(Table3[[#This Row],[Debit Jawaban]]="","",IF(Table3[[#This Row],[Debit Jawaban]]=Table4[[#This Row],[Debit (Rp)]],"Benar","salah"))</f>
        <v>Benar</v>
      </c>
      <c r="O229" t="str">
        <f>IF(Table3[[#This Row],[Kredit Jawaban]]="","",IF(Table3[[#This Row],[Kredit Jawaban]]=Table4[[#This Row],[Kredit (Rp)]],"Benar","salah"))</f>
        <v/>
      </c>
    </row>
    <row r="230" spans="1:15" x14ac:dyDescent="0.3">
      <c r="H230" s="3">
        <v>80</v>
      </c>
      <c r="I230" s="3">
        <v>46418</v>
      </c>
      <c r="J230" s="1" t="s">
        <v>1447</v>
      </c>
      <c r="L230" s="2">
        <f>K229</f>
        <v>1000000</v>
      </c>
      <c r="M230" t="str">
        <f>IF(Table3[[#This Row],[Akun Jawaban]]="","",IF(Table3[[#This Row],[Akun Jawaban]]=Table4[[#This Row],[Akun]],"Benar","salah"))</f>
        <v>Benar</v>
      </c>
      <c r="N230" t="str">
        <f>IF(Table3[[#This Row],[Debit Jawaban]]="","",IF(Table3[[#This Row],[Debit Jawaban]]=Table4[[#This Row],[Debit (Rp)]],"Benar","salah"))</f>
        <v/>
      </c>
      <c r="O230" t="str">
        <f>IF(Table3[[#This Row],[Kredit Jawaban]]="","",IF(Table3[[#This Row],[Kredit Jawaban]]=Table4[[#This Row],[Kredit (Rp)]],"Benar","salah"))</f>
        <v>Benar</v>
      </c>
    </row>
    <row r="231" spans="1:15" x14ac:dyDescent="0.3">
      <c r="J231" s="1"/>
      <c r="M231" t="str">
        <f>IF(Table3[[#This Row],[Akun Jawaban]]="","",IF(Table3[[#This Row],[Akun Jawaban]]=Table4[[#This Row],[Akun]],"Benar","salah"))</f>
        <v/>
      </c>
      <c r="N231" t="str">
        <f>IF(Table3[[#This Row],[Debit Jawaban]]="","",IF(Table3[[#This Row],[Debit Jawaban]]=Table4[[#This Row],[Debit (Rp)]],"Benar","salah"))</f>
        <v/>
      </c>
      <c r="O231" t="str">
        <f>IF(Table3[[#This Row],[Kredit Jawaban]]="","",IF(Table3[[#This Row],[Kredit Jawaban]]=Table4[[#This Row],[Kredit (Rp)]],"Benar","salah"))</f>
        <v/>
      </c>
    </row>
    <row r="232" spans="1:15" x14ac:dyDescent="0.3">
      <c r="F232" s="7"/>
      <c r="J232" s="1"/>
      <c r="K232" s="7">
        <f>SUM(Table3[Debit Jawaban])</f>
        <v>5183570000</v>
      </c>
      <c r="L232" s="7">
        <f>SUM(Table3[Kredit Jawaban])</f>
        <v>5183570000</v>
      </c>
    </row>
    <row r="233" spans="1:15" x14ac:dyDescent="0.3">
      <c r="L233" s="2" t="str">
        <f>IF(Table3[[#Totals],[Debit Jawaban]]=Table3[[#Totals],[Kredit Jawaban]],"balance","selisih")</f>
        <v>balance</v>
      </c>
    </row>
  </sheetData>
  <conditionalFormatting sqref="M1:O1048576">
    <cfRule type="cellIs" dxfId="2" priority="1" operator="equal">
      <formula>"belum diisi"</formula>
    </cfRule>
    <cfRule type="cellIs" dxfId="1" priority="2" operator="equal">
      <formula>"salah"</formula>
    </cfRule>
    <cfRule type="cellIs" dxfId="0" priority="3" operator="equal">
      <formula>"benar"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A05A22-D784-4429-BDE4-51329931426A}">
          <x14:formula1>
            <xm:f>COA!$B$5:$B$92</xm:f>
          </x14:formula1>
          <xm:sqref>J4:J188 J191:J231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0"/>
  <sheetViews>
    <sheetView topLeftCell="A157" workbookViewId="0">
      <selection activeCell="F219" sqref="F219:F220"/>
    </sheetView>
  </sheetViews>
  <sheetFormatPr defaultRowHeight="14.4" x14ac:dyDescent="0.3"/>
  <cols>
    <col min="1" max="1" width="5.33203125" customWidth="1"/>
    <col min="2" max="2" width="9.44140625" customWidth="1"/>
    <col min="3" max="3" width="46.33203125" bestFit="1" customWidth="1"/>
    <col min="4" max="4" width="20.21875" bestFit="1" customWidth="1"/>
    <col min="5" max="5" width="33.77734375" bestFit="1" customWidth="1"/>
    <col min="6" max="6" width="13.88671875" customWidth="1"/>
    <col min="7" max="7" width="15.109375" customWidth="1"/>
    <col min="8" max="8" width="10" bestFit="1" customWidth="1"/>
    <col min="9" max="9" width="9.6640625" bestFit="1" customWidth="1"/>
    <col min="10" max="10" width="18" bestFit="1" customWidth="1"/>
    <col min="11" max="11" width="9.44140625" customWidth="1"/>
  </cols>
  <sheetData>
    <row r="1" spans="1:11" x14ac:dyDescent="0.3">
      <c r="A1" t="s">
        <v>770</v>
      </c>
    </row>
    <row r="2" spans="1:11" x14ac:dyDescent="0.3">
      <c r="A2" t="s">
        <v>771</v>
      </c>
    </row>
    <row r="3" spans="1:11" x14ac:dyDescent="0.3">
      <c r="A3" t="s">
        <v>453</v>
      </c>
      <c r="B3" t="s">
        <v>454</v>
      </c>
      <c r="C3" t="s">
        <v>455</v>
      </c>
      <c r="D3" t="s">
        <v>772</v>
      </c>
      <c r="E3" t="s">
        <v>773</v>
      </c>
      <c r="F3" t="s">
        <v>774</v>
      </c>
      <c r="G3" t="s">
        <v>775</v>
      </c>
      <c r="H3" t="s">
        <v>776</v>
      </c>
      <c r="I3" t="s">
        <v>777</v>
      </c>
      <c r="J3" t="s">
        <v>778</v>
      </c>
      <c r="K3" t="s">
        <v>84</v>
      </c>
    </row>
    <row r="4" spans="1:11" x14ac:dyDescent="0.3">
      <c r="A4">
        <v>1</v>
      </c>
      <c r="B4">
        <v>46388</v>
      </c>
      <c r="C4" t="s">
        <v>468</v>
      </c>
      <c r="D4" t="s">
        <v>779</v>
      </c>
      <c r="E4" t="s">
        <v>138</v>
      </c>
      <c r="F4" s="2">
        <v>1500000000</v>
      </c>
      <c r="G4" s="2">
        <v>0</v>
      </c>
      <c r="H4" t="s">
        <v>780</v>
      </c>
      <c r="I4" t="s">
        <v>781</v>
      </c>
      <c r="J4" t="s">
        <v>782</v>
      </c>
    </row>
    <row r="5" spans="1:11" x14ac:dyDescent="0.3">
      <c r="A5">
        <v>1</v>
      </c>
      <c r="B5">
        <v>46388</v>
      </c>
      <c r="C5" t="s">
        <v>468</v>
      </c>
      <c r="D5" t="s">
        <v>779</v>
      </c>
      <c r="E5" t="s">
        <v>238</v>
      </c>
      <c r="F5" s="2">
        <v>0</v>
      </c>
      <c r="G5" s="2">
        <v>1500000000</v>
      </c>
      <c r="I5" t="s">
        <v>781</v>
      </c>
      <c r="J5" t="s">
        <v>782</v>
      </c>
    </row>
    <row r="6" spans="1:11" x14ac:dyDescent="0.3">
      <c r="A6">
        <v>2</v>
      </c>
      <c r="B6">
        <v>46388</v>
      </c>
      <c r="C6" t="s">
        <v>472</v>
      </c>
      <c r="D6" t="s">
        <v>783</v>
      </c>
      <c r="E6" t="s">
        <v>143</v>
      </c>
      <c r="F6" s="2">
        <v>20000000</v>
      </c>
      <c r="G6" s="2">
        <v>0</v>
      </c>
      <c r="H6" t="s">
        <v>784</v>
      </c>
      <c r="I6" t="s">
        <v>781</v>
      </c>
      <c r="J6" t="s">
        <v>785</v>
      </c>
    </row>
    <row r="7" spans="1:11" x14ac:dyDescent="0.3">
      <c r="A7">
        <v>2</v>
      </c>
      <c r="B7">
        <v>46388</v>
      </c>
      <c r="C7" t="s">
        <v>472</v>
      </c>
      <c r="D7" t="s">
        <v>783</v>
      </c>
      <c r="E7" t="s">
        <v>138</v>
      </c>
      <c r="F7" s="2">
        <v>0</v>
      </c>
      <c r="G7" s="2">
        <v>20000000</v>
      </c>
      <c r="H7" t="s">
        <v>784</v>
      </c>
      <c r="I7" t="s">
        <v>781</v>
      </c>
      <c r="J7" t="s">
        <v>785</v>
      </c>
    </row>
    <row r="8" spans="1:11" x14ac:dyDescent="0.3">
      <c r="A8">
        <v>3</v>
      </c>
      <c r="B8">
        <v>46389</v>
      </c>
      <c r="C8" t="s">
        <v>476</v>
      </c>
      <c r="D8" t="s">
        <v>366</v>
      </c>
      <c r="E8" t="s">
        <v>177</v>
      </c>
      <c r="F8" s="2">
        <v>60000000</v>
      </c>
      <c r="G8" s="2">
        <v>0</v>
      </c>
      <c r="H8" t="s">
        <v>784</v>
      </c>
      <c r="I8" t="s">
        <v>781</v>
      </c>
      <c r="J8" t="s">
        <v>786</v>
      </c>
    </row>
    <row r="9" spans="1:11" x14ac:dyDescent="0.3">
      <c r="A9">
        <v>3</v>
      </c>
      <c r="B9">
        <v>46389</v>
      </c>
      <c r="C9" t="s">
        <v>476</v>
      </c>
      <c r="D9" t="s">
        <v>366</v>
      </c>
      <c r="E9" t="s">
        <v>155</v>
      </c>
      <c r="F9" s="2">
        <v>6600000</v>
      </c>
      <c r="G9" s="2">
        <v>0</v>
      </c>
      <c r="H9" t="s">
        <v>787</v>
      </c>
      <c r="I9" t="s">
        <v>781</v>
      </c>
      <c r="J9" t="s">
        <v>788</v>
      </c>
    </row>
    <row r="10" spans="1:11" x14ac:dyDescent="0.3">
      <c r="A10">
        <v>3</v>
      </c>
      <c r="B10">
        <v>46389</v>
      </c>
      <c r="C10" t="s">
        <v>476</v>
      </c>
      <c r="D10" t="s">
        <v>366</v>
      </c>
      <c r="E10" t="s">
        <v>138</v>
      </c>
      <c r="F10" s="2">
        <v>0</v>
      </c>
      <c r="G10" s="2">
        <v>66600000</v>
      </c>
      <c r="H10" t="s">
        <v>784</v>
      </c>
      <c r="I10" t="s">
        <v>781</v>
      </c>
      <c r="J10" t="s">
        <v>789</v>
      </c>
    </row>
    <row r="11" spans="1:11" x14ac:dyDescent="0.3">
      <c r="A11">
        <v>4</v>
      </c>
      <c r="B11">
        <v>46390</v>
      </c>
      <c r="C11" t="s">
        <v>480</v>
      </c>
      <c r="D11" t="s">
        <v>374</v>
      </c>
      <c r="E11" t="s">
        <v>180</v>
      </c>
      <c r="F11" s="2">
        <v>40000000</v>
      </c>
      <c r="G11" s="2">
        <v>0</v>
      </c>
      <c r="H11" t="s">
        <v>784</v>
      </c>
      <c r="I11" t="s">
        <v>781</v>
      </c>
      <c r="J11" t="s">
        <v>790</v>
      </c>
    </row>
    <row r="12" spans="1:11" x14ac:dyDescent="0.3">
      <c r="A12">
        <v>4</v>
      </c>
      <c r="B12">
        <v>46390</v>
      </c>
      <c r="C12" t="s">
        <v>480</v>
      </c>
      <c r="D12" t="s">
        <v>374</v>
      </c>
      <c r="E12" t="s">
        <v>155</v>
      </c>
      <c r="F12" s="2">
        <v>4400000</v>
      </c>
      <c r="G12" s="2">
        <v>0</v>
      </c>
      <c r="H12" t="s">
        <v>787</v>
      </c>
      <c r="I12" t="s">
        <v>781</v>
      </c>
      <c r="J12" t="s">
        <v>788</v>
      </c>
    </row>
    <row r="13" spans="1:11" x14ac:dyDescent="0.3">
      <c r="A13">
        <v>4</v>
      </c>
      <c r="B13">
        <v>46390</v>
      </c>
      <c r="C13" t="s">
        <v>480</v>
      </c>
      <c r="D13" t="s">
        <v>374</v>
      </c>
      <c r="E13" t="s">
        <v>197</v>
      </c>
      <c r="F13" s="2">
        <v>0</v>
      </c>
      <c r="G13" s="2">
        <v>44400000</v>
      </c>
      <c r="H13" t="s">
        <v>787</v>
      </c>
      <c r="I13" t="s">
        <v>781</v>
      </c>
      <c r="J13" t="s">
        <v>790</v>
      </c>
    </row>
    <row r="14" spans="1:11" x14ac:dyDescent="0.3">
      <c r="A14">
        <v>5</v>
      </c>
      <c r="B14">
        <v>46390</v>
      </c>
      <c r="C14" t="s">
        <v>484</v>
      </c>
      <c r="D14" t="s">
        <v>350</v>
      </c>
      <c r="E14" t="s">
        <v>153</v>
      </c>
      <c r="F14" s="2">
        <v>250000000</v>
      </c>
      <c r="G14" s="2">
        <v>0</v>
      </c>
      <c r="H14" t="s">
        <v>787</v>
      </c>
      <c r="I14" t="s">
        <v>781</v>
      </c>
      <c r="J14" t="s">
        <v>791</v>
      </c>
    </row>
    <row r="15" spans="1:11" x14ac:dyDescent="0.3">
      <c r="A15">
        <v>5</v>
      </c>
      <c r="B15">
        <v>46390</v>
      </c>
      <c r="C15" t="s">
        <v>484</v>
      </c>
      <c r="D15" t="s">
        <v>350</v>
      </c>
      <c r="E15" t="s">
        <v>155</v>
      </c>
      <c r="F15" s="2">
        <v>27500000</v>
      </c>
      <c r="G15" s="2">
        <v>0</v>
      </c>
      <c r="H15" t="s">
        <v>787</v>
      </c>
      <c r="I15" t="s">
        <v>781</v>
      </c>
      <c r="J15" t="s">
        <v>788</v>
      </c>
    </row>
    <row r="16" spans="1:11" x14ac:dyDescent="0.3">
      <c r="A16">
        <v>5</v>
      </c>
      <c r="B16">
        <v>46390</v>
      </c>
      <c r="C16" t="s">
        <v>484</v>
      </c>
      <c r="D16" t="s">
        <v>350</v>
      </c>
      <c r="E16" t="s">
        <v>197</v>
      </c>
      <c r="F16" s="2">
        <v>0</v>
      </c>
      <c r="G16" s="2">
        <v>277500000</v>
      </c>
      <c r="H16" t="s">
        <v>787</v>
      </c>
      <c r="I16" t="s">
        <v>781</v>
      </c>
      <c r="J16" t="s">
        <v>791</v>
      </c>
    </row>
    <row r="17" spans="1:10" x14ac:dyDescent="0.3">
      <c r="A17">
        <v>6</v>
      </c>
      <c r="B17">
        <v>46391</v>
      </c>
      <c r="C17" t="s">
        <v>488</v>
      </c>
      <c r="D17" t="s">
        <v>358</v>
      </c>
      <c r="E17" t="s">
        <v>153</v>
      </c>
      <c r="F17" s="2">
        <v>100000000</v>
      </c>
      <c r="G17" s="2">
        <v>0</v>
      </c>
      <c r="H17" t="s">
        <v>787</v>
      </c>
      <c r="I17" t="s">
        <v>781</v>
      </c>
      <c r="J17" t="s">
        <v>792</v>
      </c>
    </row>
    <row r="18" spans="1:10" x14ac:dyDescent="0.3">
      <c r="A18">
        <v>6</v>
      </c>
      <c r="B18">
        <v>46391</v>
      </c>
      <c r="C18" t="s">
        <v>488</v>
      </c>
      <c r="D18" t="s">
        <v>358</v>
      </c>
      <c r="E18" t="s">
        <v>155</v>
      </c>
      <c r="F18" s="2">
        <v>11000000</v>
      </c>
      <c r="G18" s="2">
        <v>0</v>
      </c>
      <c r="H18" t="s">
        <v>787</v>
      </c>
      <c r="I18" t="s">
        <v>781</v>
      </c>
      <c r="J18" t="s">
        <v>788</v>
      </c>
    </row>
    <row r="19" spans="1:10" x14ac:dyDescent="0.3">
      <c r="A19">
        <v>6</v>
      </c>
      <c r="B19">
        <v>46391</v>
      </c>
      <c r="C19" t="s">
        <v>488</v>
      </c>
      <c r="D19" t="s">
        <v>358</v>
      </c>
      <c r="E19" t="s">
        <v>197</v>
      </c>
      <c r="F19" s="2">
        <v>0</v>
      </c>
      <c r="G19" s="2">
        <v>111000000</v>
      </c>
      <c r="H19" t="s">
        <v>787</v>
      </c>
      <c r="I19" t="s">
        <v>781</v>
      </c>
      <c r="J19" t="s">
        <v>792</v>
      </c>
    </row>
    <row r="20" spans="1:10" x14ac:dyDescent="0.3">
      <c r="A20">
        <v>7</v>
      </c>
      <c r="B20">
        <v>46391</v>
      </c>
      <c r="C20" t="s">
        <v>491</v>
      </c>
      <c r="D20" t="s">
        <v>793</v>
      </c>
      <c r="E20" t="s">
        <v>153</v>
      </c>
      <c r="F20" s="2">
        <v>4000000</v>
      </c>
      <c r="G20" s="2">
        <v>0</v>
      </c>
      <c r="H20" t="s">
        <v>787</v>
      </c>
      <c r="I20" t="s">
        <v>781</v>
      </c>
      <c r="J20" t="s">
        <v>794</v>
      </c>
    </row>
    <row r="21" spans="1:10" x14ac:dyDescent="0.3">
      <c r="A21">
        <v>7</v>
      </c>
      <c r="B21">
        <v>46391</v>
      </c>
      <c r="C21" t="s">
        <v>491</v>
      </c>
      <c r="D21" t="s">
        <v>793</v>
      </c>
      <c r="E21" t="s">
        <v>138</v>
      </c>
      <c r="F21" s="2">
        <v>0</v>
      </c>
      <c r="G21" s="2">
        <v>4000000</v>
      </c>
      <c r="H21" t="s">
        <v>787</v>
      </c>
      <c r="I21" t="s">
        <v>781</v>
      </c>
      <c r="J21" t="s">
        <v>789</v>
      </c>
    </row>
    <row r="22" spans="1:10" x14ac:dyDescent="0.3">
      <c r="A22">
        <v>8</v>
      </c>
      <c r="B22">
        <v>46392</v>
      </c>
      <c r="C22" t="s">
        <v>495</v>
      </c>
      <c r="D22" t="s">
        <v>392</v>
      </c>
      <c r="E22" t="s">
        <v>138</v>
      </c>
      <c r="F22" s="2">
        <v>133200000</v>
      </c>
      <c r="G22" s="2">
        <v>0</v>
      </c>
      <c r="H22" t="s">
        <v>787</v>
      </c>
      <c r="I22" t="s">
        <v>781</v>
      </c>
      <c r="J22" t="s">
        <v>795</v>
      </c>
    </row>
    <row r="23" spans="1:10" x14ac:dyDescent="0.3">
      <c r="A23">
        <v>8</v>
      </c>
      <c r="B23">
        <v>46392</v>
      </c>
      <c r="C23" t="s">
        <v>495</v>
      </c>
      <c r="D23" t="s">
        <v>392</v>
      </c>
      <c r="E23" t="s">
        <v>252</v>
      </c>
      <c r="F23" s="2">
        <v>0</v>
      </c>
      <c r="G23" s="2">
        <v>120000000</v>
      </c>
      <c r="H23" t="s">
        <v>787</v>
      </c>
      <c r="I23" t="s">
        <v>781</v>
      </c>
      <c r="J23" t="s">
        <v>796</v>
      </c>
    </row>
    <row r="24" spans="1:10" x14ac:dyDescent="0.3">
      <c r="A24">
        <v>8</v>
      </c>
      <c r="B24">
        <v>46392</v>
      </c>
      <c r="C24" t="s">
        <v>495</v>
      </c>
      <c r="D24" t="s">
        <v>392</v>
      </c>
      <c r="E24" t="s">
        <v>337</v>
      </c>
      <c r="F24" s="2">
        <v>0</v>
      </c>
      <c r="G24" s="2">
        <v>13200000</v>
      </c>
      <c r="H24" t="s">
        <v>787</v>
      </c>
      <c r="I24" t="s">
        <v>781</v>
      </c>
      <c r="J24" t="s">
        <v>788</v>
      </c>
    </row>
    <row r="25" spans="1:10" x14ac:dyDescent="0.3">
      <c r="A25">
        <v>8</v>
      </c>
      <c r="B25">
        <v>46392</v>
      </c>
      <c r="C25" t="s">
        <v>495</v>
      </c>
      <c r="D25" t="s">
        <v>392</v>
      </c>
      <c r="E25" t="s">
        <v>16</v>
      </c>
      <c r="F25" s="2">
        <v>70000000</v>
      </c>
      <c r="G25" s="2">
        <v>0</v>
      </c>
      <c r="H25" t="s">
        <v>787</v>
      </c>
      <c r="I25" t="s">
        <v>781</v>
      </c>
      <c r="J25" t="s">
        <v>797</v>
      </c>
    </row>
    <row r="26" spans="1:10" x14ac:dyDescent="0.3">
      <c r="A26">
        <v>8</v>
      </c>
      <c r="B26">
        <v>46392</v>
      </c>
      <c r="C26" t="s">
        <v>495</v>
      </c>
      <c r="D26" t="s">
        <v>392</v>
      </c>
      <c r="E26" t="s">
        <v>153</v>
      </c>
      <c r="F26" s="2">
        <v>0</v>
      </c>
      <c r="G26" s="2">
        <v>70000000</v>
      </c>
      <c r="H26" t="s">
        <v>787</v>
      </c>
      <c r="I26" t="s">
        <v>781</v>
      </c>
      <c r="J26" t="s">
        <v>798</v>
      </c>
    </row>
    <row r="27" spans="1:10" x14ac:dyDescent="0.3">
      <c r="A27">
        <v>9</v>
      </c>
      <c r="B27">
        <v>46393</v>
      </c>
      <c r="C27" t="s">
        <v>499</v>
      </c>
      <c r="D27" t="s">
        <v>355</v>
      </c>
      <c r="E27" t="s">
        <v>145</v>
      </c>
      <c r="F27" s="2">
        <v>177600000</v>
      </c>
      <c r="G27" s="2">
        <v>0</v>
      </c>
      <c r="H27" t="s">
        <v>787</v>
      </c>
      <c r="I27" t="s">
        <v>781</v>
      </c>
      <c r="J27" t="s">
        <v>799</v>
      </c>
    </row>
    <row r="28" spans="1:10" x14ac:dyDescent="0.3">
      <c r="A28">
        <v>9</v>
      </c>
      <c r="B28">
        <v>46393</v>
      </c>
      <c r="C28" t="s">
        <v>499</v>
      </c>
      <c r="D28" t="s">
        <v>355</v>
      </c>
      <c r="E28" t="s">
        <v>252</v>
      </c>
      <c r="F28" s="2">
        <v>0</v>
      </c>
      <c r="G28" s="2">
        <v>160000000</v>
      </c>
      <c r="H28" t="s">
        <v>787</v>
      </c>
      <c r="I28" t="s">
        <v>781</v>
      </c>
      <c r="J28" t="s">
        <v>799</v>
      </c>
    </row>
    <row r="29" spans="1:10" x14ac:dyDescent="0.3">
      <c r="A29">
        <v>9</v>
      </c>
      <c r="B29">
        <v>46393</v>
      </c>
      <c r="C29" t="s">
        <v>499</v>
      </c>
      <c r="D29" t="s">
        <v>355</v>
      </c>
      <c r="E29" t="s">
        <v>337</v>
      </c>
      <c r="F29" s="2">
        <v>0</v>
      </c>
      <c r="G29" s="2">
        <v>17600000</v>
      </c>
      <c r="H29" t="s">
        <v>787</v>
      </c>
      <c r="I29" t="s">
        <v>781</v>
      </c>
      <c r="J29" t="s">
        <v>788</v>
      </c>
    </row>
    <row r="30" spans="1:10" x14ac:dyDescent="0.3">
      <c r="A30">
        <v>9</v>
      </c>
      <c r="B30">
        <v>46393</v>
      </c>
      <c r="C30" t="s">
        <v>499</v>
      </c>
      <c r="D30" t="s">
        <v>355</v>
      </c>
      <c r="E30" t="s">
        <v>16</v>
      </c>
      <c r="F30" s="2">
        <v>95000000</v>
      </c>
      <c r="G30" s="2">
        <v>0</v>
      </c>
      <c r="H30" t="s">
        <v>787</v>
      </c>
      <c r="I30" t="s">
        <v>781</v>
      </c>
      <c r="J30" t="s">
        <v>798</v>
      </c>
    </row>
    <row r="31" spans="1:10" x14ac:dyDescent="0.3">
      <c r="A31">
        <v>9</v>
      </c>
      <c r="B31">
        <v>46393</v>
      </c>
      <c r="C31" t="s">
        <v>499</v>
      </c>
      <c r="D31" t="s">
        <v>355</v>
      </c>
      <c r="E31" t="s">
        <v>153</v>
      </c>
      <c r="F31" s="2">
        <v>0</v>
      </c>
      <c r="G31" s="2">
        <v>95000000</v>
      </c>
      <c r="H31" t="s">
        <v>787</v>
      </c>
      <c r="I31" t="s">
        <v>781</v>
      </c>
      <c r="J31" t="s">
        <v>798</v>
      </c>
    </row>
    <row r="32" spans="1:10" x14ac:dyDescent="0.3">
      <c r="A32">
        <v>10</v>
      </c>
      <c r="B32">
        <v>46394</v>
      </c>
      <c r="C32" t="s">
        <v>503</v>
      </c>
      <c r="D32" t="s">
        <v>355</v>
      </c>
      <c r="E32" t="s">
        <v>138</v>
      </c>
      <c r="F32" s="2">
        <v>80000000</v>
      </c>
      <c r="G32" s="2">
        <v>0</v>
      </c>
      <c r="H32" t="s">
        <v>787</v>
      </c>
      <c r="I32" t="s">
        <v>781</v>
      </c>
      <c r="J32" t="s">
        <v>785</v>
      </c>
    </row>
    <row r="33" spans="1:10" x14ac:dyDescent="0.3">
      <c r="A33">
        <v>10</v>
      </c>
      <c r="B33">
        <v>46394</v>
      </c>
      <c r="C33" t="s">
        <v>503</v>
      </c>
      <c r="D33" t="s">
        <v>355</v>
      </c>
      <c r="E33" t="s">
        <v>145</v>
      </c>
      <c r="F33" s="2">
        <v>0</v>
      </c>
      <c r="G33" s="2">
        <v>80000000</v>
      </c>
      <c r="H33" t="s">
        <v>787</v>
      </c>
      <c r="I33" t="s">
        <v>781</v>
      </c>
      <c r="J33" t="s">
        <v>785</v>
      </c>
    </row>
    <row r="34" spans="1:10" x14ac:dyDescent="0.3">
      <c r="A34">
        <v>11</v>
      </c>
      <c r="B34">
        <v>46395</v>
      </c>
      <c r="C34" t="s">
        <v>507</v>
      </c>
      <c r="D34" t="s">
        <v>350</v>
      </c>
      <c r="E34" t="s">
        <v>197</v>
      </c>
      <c r="F34" s="2">
        <v>100000000</v>
      </c>
      <c r="G34" s="2">
        <v>0</v>
      </c>
      <c r="H34" t="s">
        <v>787</v>
      </c>
      <c r="I34" t="s">
        <v>781</v>
      </c>
      <c r="J34" t="s">
        <v>789</v>
      </c>
    </row>
    <row r="35" spans="1:10" x14ac:dyDescent="0.3">
      <c r="A35">
        <v>11</v>
      </c>
      <c r="B35">
        <v>46395</v>
      </c>
      <c r="C35" t="s">
        <v>507</v>
      </c>
      <c r="D35" t="s">
        <v>350</v>
      </c>
      <c r="E35" t="s">
        <v>138</v>
      </c>
      <c r="F35" s="2">
        <v>0</v>
      </c>
      <c r="G35" s="2">
        <v>100000000</v>
      </c>
      <c r="H35" t="s">
        <v>787</v>
      </c>
      <c r="I35" t="s">
        <v>781</v>
      </c>
      <c r="J35" t="s">
        <v>789</v>
      </c>
    </row>
    <row r="36" spans="1:10" x14ac:dyDescent="0.3">
      <c r="A36">
        <v>12</v>
      </c>
      <c r="B36">
        <v>46395</v>
      </c>
      <c r="C36" t="s">
        <v>511</v>
      </c>
      <c r="D36" t="s">
        <v>362</v>
      </c>
      <c r="E36" t="s">
        <v>138</v>
      </c>
      <c r="F36" s="2">
        <v>44440000</v>
      </c>
      <c r="G36" s="2">
        <v>0</v>
      </c>
      <c r="H36" t="s">
        <v>787</v>
      </c>
      <c r="I36" t="s">
        <v>781</v>
      </c>
      <c r="J36" t="s">
        <v>800</v>
      </c>
    </row>
    <row r="37" spans="1:10" x14ac:dyDescent="0.3">
      <c r="A37">
        <v>12</v>
      </c>
      <c r="B37">
        <v>46395</v>
      </c>
      <c r="C37" t="s">
        <v>511</v>
      </c>
      <c r="D37" t="s">
        <v>362</v>
      </c>
      <c r="E37" t="s">
        <v>230</v>
      </c>
      <c r="F37" s="2">
        <v>0</v>
      </c>
      <c r="G37" s="2">
        <v>44440000</v>
      </c>
      <c r="I37" t="s">
        <v>781</v>
      </c>
      <c r="J37" t="s">
        <v>800</v>
      </c>
    </row>
    <row r="38" spans="1:10" x14ac:dyDescent="0.3">
      <c r="A38">
        <v>13</v>
      </c>
      <c r="B38">
        <v>46396</v>
      </c>
      <c r="C38" t="s">
        <v>515</v>
      </c>
      <c r="D38" t="s">
        <v>350</v>
      </c>
      <c r="E38" t="s">
        <v>197</v>
      </c>
      <c r="F38" s="2">
        <v>16650000</v>
      </c>
      <c r="G38" s="2">
        <v>0</v>
      </c>
      <c r="H38" t="s">
        <v>787</v>
      </c>
      <c r="I38" t="s">
        <v>781</v>
      </c>
      <c r="J38" t="s">
        <v>801</v>
      </c>
    </row>
    <row r="39" spans="1:10" x14ac:dyDescent="0.3">
      <c r="A39">
        <v>13</v>
      </c>
      <c r="B39">
        <v>46396</v>
      </c>
      <c r="C39" t="s">
        <v>515</v>
      </c>
      <c r="D39" t="s">
        <v>350</v>
      </c>
      <c r="E39" t="s">
        <v>153</v>
      </c>
      <c r="F39" s="2">
        <v>0</v>
      </c>
      <c r="G39" s="2">
        <v>15000000</v>
      </c>
      <c r="H39" t="s">
        <v>787</v>
      </c>
      <c r="I39" t="s">
        <v>781</v>
      </c>
      <c r="J39" t="s">
        <v>802</v>
      </c>
    </row>
    <row r="40" spans="1:10" x14ac:dyDescent="0.3">
      <c r="A40">
        <v>13</v>
      </c>
      <c r="B40">
        <v>46396</v>
      </c>
      <c r="C40" t="s">
        <v>515</v>
      </c>
      <c r="D40" t="s">
        <v>350</v>
      </c>
      <c r="E40" t="s">
        <v>155</v>
      </c>
      <c r="F40" s="2">
        <v>0</v>
      </c>
      <c r="G40" s="2">
        <v>1650000</v>
      </c>
      <c r="H40" t="s">
        <v>787</v>
      </c>
      <c r="I40" t="s">
        <v>781</v>
      </c>
      <c r="J40" t="s">
        <v>802</v>
      </c>
    </row>
    <row r="41" spans="1:10" x14ac:dyDescent="0.3">
      <c r="A41">
        <v>14</v>
      </c>
      <c r="B41">
        <v>46397</v>
      </c>
      <c r="C41" t="s">
        <v>519</v>
      </c>
      <c r="D41" t="s">
        <v>355</v>
      </c>
      <c r="E41" t="s">
        <v>256</v>
      </c>
      <c r="F41" s="2">
        <v>10000000</v>
      </c>
      <c r="G41" s="2">
        <v>0</v>
      </c>
      <c r="H41" t="s">
        <v>787</v>
      </c>
      <c r="I41" t="s">
        <v>781</v>
      </c>
      <c r="J41" t="s">
        <v>803</v>
      </c>
    </row>
    <row r="42" spans="1:10" x14ac:dyDescent="0.3">
      <c r="A42">
        <v>14</v>
      </c>
      <c r="B42">
        <v>46397</v>
      </c>
      <c r="C42" t="s">
        <v>519</v>
      </c>
      <c r="D42" t="s">
        <v>355</v>
      </c>
      <c r="E42" t="s">
        <v>337</v>
      </c>
      <c r="F42" s="2">
        <v>1100000</v>
      </c>
      <c r="G42" s="2">
        <v>0</v>
      </c>
      <c r="H42" t="s">
        <v>787</v>
      </c>
      <c r="I42" t="s">
        <v>781</v>
      </c>
      <c r="J42" t="s">
        <v>802</v>
      </c>
    </row>
    <row r="43" spans="1:10" x14ac:dyDescent="0.3">
      <c r="A43">
        <v>14</v>
      </c>
      <c r="B43">
        <v>46397</v>
      </c>
      <c r="C43" t="s">
        <v>519</v>
      </c>
      <c r="D43" t="s">
        <v>355</v>
      </c>
      <c r="E43" t="s">
        <v>145</v>
      </c>
      <c r="F43" s="2">
        <v>0</v>
      </c>
      <c r="G43" s="2">
        <v>11100000</v>
      </c>
      <c r="H43" t="s">
        <v>787</v>
      </c>
      <c r="I43" t="s">
        <v>781</v>
      </c>
      <c r="J43" t="s">
        <v>802</v>
      </c>
    </row>
    <row r="44" spans="1:10" x14ac:dyDescent="0.3">
      <c r="A44">
        <v>14</v>
      </c>
      <c r="B44">
        <v>46397</v>
      </c>
      <c r="C44" t="s">
        <v>519</v>
      </c>
      <c r="D44" t="s">
        <v>355</v>
      </c>
      <c r="E44" t="s">
        <v>153</v>
      </c>
      <c r="F44" s="2">
        <v>6000000</v>
      </c>
      <c r="G44" s="2">
        <v>0</v>
      </c>
      <c r="H44" t="s">
        <v>787</v>
      </c>
      <c r="I44" t="s">
        <v>781</v>
      </c>
      <c r="J44" t="s">
        <v>798</v>
      </c>
    </row>
    <row r="45" spans="1:10" x14ac:dyDescent="0.3">
      <c r="A45">
        <v>14</v>
      </c>
      <c r="B45">
        <v>46397</v>
      </c>
      <c r="C45" t="s">
        <v>519</v>
      </c>
      <c r="D45" t="s">
        <v>355</v>
      </c>
      <c r="E45" t="s">
        <v>16</v>
      </c>
      <c r="F45" s="2">
        <v>0</v>
      </c>
      <c r="G45" s="2">
        <v>6000000</v>
      </c>
      <c r="H45" t="s">
        <v>787</v>
      </c>
      <c r="I45" t="s">
        <v>781</v>
      </c>
      <c r="J45" t="s">
        <v>798</v>
      </c>
    </row>
    <row r="46" spans="1:10" x14ac:dyDescent="0.3">
      <c r="A46">
        <v>15</v>
      </c>
      <c r="B46">
        <v>46397</v>
      </c>
      <c r="C46" t="s">
        <v>523</v>
      </c>
      <c r="D46" t="s">
        <v>804</v>
      </c>
      <c r="E46" t="s">
        <v>297</v>
      </c>
      <c r="F46" s="2">
        <v>2500000</v>
      </c>
      <c r="G46" s="2">
        <v>0</v>
      </c>
      <c r="H46" t="s">
        <v>787</v>
      </c>
      <c r="I46" t="s">
        <v>781</v>
      </c>
      <c r="J46" t="s">
        <v>805</v>
      </c>
    </row>
    <row r="47" spans="1:10" x14ac:dyDescent="0.3">
      <c r="A47">
        <v>15</v>
      </c>
      <c r="B47">
        <v>46397</v>
      </c>
      <c r="C47" t="s">
        <v>523</v>
      </c>
      <c r="D47" t="s">
        <v>804</v>
      </c>
      <c r="E47" t="s">
        <v>138</v>
      </c>
      <c r="F47" s="2">
        <v>0</v>
      </c>
      <c r="G47" s="2">
        <v>2500000</v>
      </c>
      <c r="H47" t="s">
        <v>787</v>
      </c>
      <c r="I47" t="s">
        <v>781</v>
      </c>
      <c r="J47" t="s">
        <v>789</v>
      </c>
    </row>
    <row r="48" spans="1:10" x14ac:dyDescent="0.3">
      <c r="A48">
        <v>16</v>
      </c>
      <c r="B48">
        <v>46398</v>
      </c>
      <c r="C48" t="s">
        <v>527</v>
      </c>
      <c r="D48" t="s">
        <v>806</v>
      </c>
      <c r="E48" t="s">
        <v>167</v>
      </c>
      <c r="F48" s="2">
        <v>12000000</v>
      </c>
      <c r="G48" s="2">
        <v>0</v>
      </c>
      <c r="H48" t="s">
        <v>787</v>
      </c>
      <c r="I48" t="s">
        <v>781</v>
      </c>
      <c r="J48" t="s">
        <v>807</v>
      </c>
    </row>
    <row r="49" spans="1:10" x14ac:dyDescent="0.3">
      <c r="A49">
        <v>16</v>
      </c>
      <c r="B49">
        <v>46398</v>
      </c>
      <c r="C49" t="s">
        <v>527</v>
      </c>
      <c r="D49" t="s">
        <v>806</v>
      </c>
      <c r="E49" t="s">
        <v>138</v>
      </c>
      <c r="F49" s="2">
        <v>0</v>
      </c>
      <c r="G49" s="2">
        <v>12000000</v>
      </c>
      <c r="H49" t="s">
        <v>787</v>
      </c>
      <c r="I49" t="s">
        <v>781</v>
      </c>
      <c r="J49" t="s">
        <v>789</v>
      </c>
    </row>
    <row r="50" spans="1:10" x14ac:dyDescent="0.3">
      <c r="A50">
        <v>17</v>
      </c>
      <c r="B50">
        <v>46398</v>
      </c>
      <c r="C50" t="s">
        <v>531</v>
      </c>
      <c r="D50" t="s">
        <v>808</v>
      </c>
      <c r="E50" t="s">
        <v>163</v>
      </c>
      <c r="F50" s="2">
        <v>18000000</v>
      </c>
      <c r="G50" s="2">
        <v>0</v>
      </c>
      <c r="H50" t="s">
        <v>787</v>
      </c>
      <c r="I50" t="s">
        <v>781</v>
      </c>
      <c r="J50" t="s">
        <v>809</v>
      </c>
    </row>
    <row r="51" spans="1:10" x14ac:dyDescent="0.3">
      <c r="A51">
        <v>17</v>
      </c>
      <c r="B51">
        <v>46398</v>
      </c>
      <c r="C51" t="s">
        <v>531</v>
      </c>
      <c r="D51" t="s">
        <v>808</v>
      </c>
      <c r="E51" t="s">
        <v>138</v>
      </c>
      <c r="F51" s="2">
        <v>0</v>
      </c>
      <c r="G51" s="2">
        <v>18000000</v>
      </c>
      <c r="H51" t="s">
        <v>787</v>
      </c>
      <c r="I51" t="s">
        <v>781</v>
      </c>
      <c r="J51" t="s">
        <v>789</v>
      </c>
    </row>
    <row r="52" spans="1:10" x14ac:dyDescent="0.3">
      <c r="A52">
        <v>18</v>
      </c>
      <c r="B52">
        <v>46399</v>
      </c>
      <c r="C52" t="s">
        <v>535</v>
      </c>
      <c r="D52" t="s">
        <v>810</v>
      </c>
      <c r="E52" t="s">
        <v>165</v>
      </c>
      <c r="F52" s="2">
        <v>6000000</v>
      </c>
      <c r="G52" s="2">
        <v>0</v>
      </c>
      <c r="H52" t="s">
        <v>787</v>
      </c>
      <c r="I52" t="s">
        <v>781</v>
      </c>
      <c r="J52" t="s">
        <v>811</v>
      </c>
    </row>
    <row r="53" spans="1:10" x14ac:dyDescent="0.3">
      <c r="A53">
        <v>18</v>
      </c>
      <c r="B53">
        <v>46399</v>
      </c>
      <c r="C53" t="s">
        <v>535</v>
      </c>
      <c r="D53" t="s">
        <v>810</v>
      </c>
      <c r="E53" t="s">
        <v>138</v>
      </c>
      <c r="F53" s="2">
        <v>0</v>
      </c>
      <c r="G53" s="2">
        <v>6000000</v>
      </c>
      <c r="H53" t="s">
        <v>787</v>
      </c>
      <c r="I53" t="s">
        <v>781</v>
      </c>
      <c r="J53" t="s">
        <v>789</v>
      </c>
    </row>
    <row r="54" spans="1:10" x14ac:dyDescent="0.3">
      <c r="A54">
        <v>19</v>
      </c>
      <c r="B54">
        <v>46399</v>
      </c>
      <c r="C54" t="s">
        <v>539</v>
      </c>
      <c r="D54" t="s">
        <v>783</v>
      </c>
      <c r="E54" t="s">
        <v>143</v>
      </c>
      <c r="F54" s="2">
        <v>10000000</v>
      </c>
      <c r="G54" s="2">
        <v>0</v>
      </c>
      <c r="H54" t="s">
        <v>787</v>
      </c>
      <c r="I54" t="s">
        <v>781</v>
      </c>
      <c r="J54" t="s">
        <v>785</v>
      </c>
    </row>
    <row r="55" spans="1:10" x14ac:dyDescent="0.3">
      <c r="A55">
        <v>19</v>
      </c>
      <c r="B55">
        <v>46399</v>
      </c>
      <c r="C55" t="s">
        <v>539</v>
      </c>
      <c r="D55" t="s">
        <v>783</v>
      </c>
      <c r="E55" t="s">
        <v>138</v>
      </c>
      <c r="F55" s="2">
        <v>0</v>
      </c>
      <c r="G55" s="2">
        <v>10000000</v>
      </c>
      <c r="H55" t="s">
        <v>787</v>
      </c>
      <c r="I55" t="s">
        <v>781</v>
      </c>
      <c r="J55" t="s">
        <v>785</v>
      </c>
    </row>
    <row r="56" spans="1:10" x14ac:dyDescent="0.3">
      <c r="A56">
        <v>20</v>
      </c>
      <c r="B56">
        <v>46400</v>
      </c>
      <c r="C56" t="s">
        <v>542</v>
      </c>
      <c r="D56" t="s">
        <v>812</v>
      </c>
      <c r="E56" t="s">
        <v>295</v>
      </c>
      <c r="F56" s="2">
        <v>3200000</v>
      </c>
      <c r="G56" s="2">
        <v>0</v>
      </c>
      <c r="H56" t="s">
        <v>787</v>
      </c>
      <c r="I56" t="s">
        <v>781</v>
      </c>
      <c r="J56" t="s">
        <v>813</v>
      </c>
    </row>
    <row r="57" spans="1:10" x14ac:dyDescent="0.3">
      <c r="A57">
        <v>20</v>
      </c>
      <c r="B57">
        <v>46400</v>
      </c>
      <c r="C57" t="s">
        <v>542</v>
      </c>
      <c r="D57" t="s">
        <v>812</v>
      </c>
      <c r="E57" t="s">
        <v>138</v>
      </c>
      <c r="F57" s="2">
        <v>0</v>
      </c>
      <c r="G57" s="2">
        <v>3200000</v>
      </c>
      <c r="H57" t="s">
        <v>787</v>
      </c>
      <c r="I57" t="s">
        <v>781</v>
      </c>
      <c r="J57" t="s">
        <v>789</v>
      </c>
    </row>
    <row r="58" spans="1:10" x14ac:dyDescent="0.3">
      <c r="A58">
        <v>21</v>
      </c>
      <c r="B58">
        <v>46400</v>
      </c>
      <c r="C58" t="s">
        <v>546</v>
      </c>
      <c r="D58" t="s">
        <v>814</v>
      </c>
      <c r="E58" t="s">
        <v>169</v>
      </c>
      <c r="F58" s="2">
        <v>2000000</v>
      </c>
      <c r="G58" s="2">
        <v>0</v>
      </c>
      <c r="H58" t="s">
        <v>787</v>
      </c>
      <c r="I58" t="s">
        <v>781</v>
      </c>
      <c r="J58" t="s">
        <v>815</v>
      </c>
    </row>
    <row r="59" spans="1:10" x14ac:dyDescent="0.3">
      <c r="A59">
        <v>21</v>
      </c>
      <c r="B59">
        <v>46400</v>
      </c>
      <c r="C59" t="s">
        <v>546</v>
      </c>
      <c r="D59" t="s">
        <v>814</v>
      </c>
      <c r="E59" t="s">
        <v>143</v>
      </c>
      <c r="F59" s="2">
        <v>0</v>
      </c>
      <c r="G59" s="2">
        <v>2000000</v>
      </c>
      <c r="H59" t="s">
        <v>787</v>
      </c>
      <c r="I59" t="s">
        <v>781</v>
      </c>
      <c r="J59" t="s">
        <v>816</v>
      </c>
    </row>
    <row r="60" spans="1:10" x14ac:dyDescent="0.3">
      <c r="A60">
        <v>22</v>
      </c>
      <c r="B60">
        <v>46401</v>
      </c>
      <c r="C60" t="s">
        <v>550</v>
      </c>
      <c r="D60" t="s">
        <v>413</v>
      </c>
      <c r="E60" t="s">
        <v>299</v>
      </c>
      <c r="F60" s="2">
        <v>8000000</v>
      </c>
      <c r="G60" s="2">
        <v>0</v>
      </c>
      <c r="H60" t="s">
        <v>787</v>
      </c>
      <c r="I60" t="s">
        <v>817</v>
      </c>
      <c r="J60" t="s">
        <v>818</v>
      </c>
    </row>
    <row r="61" spans="1:10" x14ac:dyDescent="0.3">
      <c r="A61">
        <v>22</v>
      </c>
      <c r="B61">
        <v>46401</v>
      </c>
      <c r="C61" t="s">
        <v>550</v>
      </c>
      <c r="D61" t="s">
        <v>413</v>
      </c>
      <c r="E61" t="s">
        <v>155</v>
      </c>
      <c r="F61" s="2">
        <v>880000</v>
      </c>
      <c r="G61" s="2">
        <v>0</v>
      </c>
      <c r="H61" t="s">
        <v>787</v>
      </c>
      <c r="I61" t="s">
        <v>817</v>
      </c>
      <c r="J61" t="s">
        <v>788</v>
      </c>
    </row>
    <row r="62" spans="1:10" x14ac:dyDescent="0.3">
      <c r="A62">
        <v>22</v>
      </c>
      <c r="B62">
        <v>46401</v>
      </c>
      <c r="C62" t="s">
        <v>550</v>
      </c>
      <c r="D62" t="s">
        <v>413</v>
      </c>
      <c r="E62" t="s">
        <v>217</v>
      </c>
      <c r="F62" s="2">
        <v>0</v>
      </c>
      <c r="G62" s="2">
        <v>160000</v>
      </c>
      <c r="H62" t="s">
        <v>787</v>
      </c>
      <c r="I62" t="s">
        <v>817</v>
      </c>
      <c r="J62" t="s">
        <v>819</v>
      </c>
    </row>
    <row r="63" spans="1:10" x14ac:dyDescent="0.3">
      <c r="A63">
        <v>22</v>
      </c>
      <c r="B63">
        <v>46401</v>
      </c>
      <c r="C63" t="s">
        <v>550</v>
      </c>
      <c r="D63" t="s">
        <v>413</v>
      </c>
      <c r="E63" t="s">
        <v>138</v>
      </c>
      <c r="F63" s="2">
        <v>0</v>
      </c>
      <c r="G63" s="2">
        <v>8720000</v>
      </c>
      <c r="H63" t="s">
        <v>787</v>
      </c>
      <c r="I63" t="s">
        <v>817</v>
      </c>
      <c r="J63" t="s">
        <v>789</v>
      </c>
    </row>
    <row r="64" spans="1:10" x14ac:dyDescent="0.3">
      <c r="A64">
        <v>23</v>
      </c>
      <c r="B64">
        <v>46401</v>
      </c>
      <c r="C64" t="s">
        <v>554</v>
      </c>
      <c r="D64" t="s">
        <v>408</v>
      </c>
      <c r="E64" t="s">
        <v>279</v>
      </c>
      <c r="F64" s="2">
        <v>20000000</v>
      </c>
      <c r="G64" s="2">
        <v>0</v>
      </c>
      <c r="H64" t="s">
        <v>787</v>
      </c>
      <c r="I64" t="s">
        <v>817</v>
      </c>
      <c r="J64" t="s">
        <v>820</v>
      </c>
    </row>
    <row r="65" spans="1:10" x14ac:dyDescent="0.3">
      <c r="A65">
        <v>23</v>
      </c>
      <c r="B65">
        <v>46401</v>
      </c>
      <c r="C65" t="s">
        <v>554</v>
      </c>
      <c r="D65" t="s">
        <v>408</v>
      </c>
      <c r="E65" t="s">
        <v>155</v>
      </c>
      <c r="F65" s="2">
        <v>2200000</v>
      </c>
      <c r="G65" s="2">
        <v>0</v>
      </c>
      <c r="H65" t="s">
        <v>787</v>
      </c>
      <c r="I65" t="s">
        <v>817</v>
      </c>
      <c r="J65" t="s">
        <v>788</v>
      </c>
    </row>
    <row r="66" spans="1:10" x14ac:dyDescent="0.3">
      <c r="A66">
        <v>23</v>
      </c>
      <c r="B66">
        <v>46401</v>
      </c>
      <c r="C66" t="s">
        <v>554</v>
      </c>
      <c r="D66" t="s">
        <v>408</v>
      </c>
      <c r="E66" t="s">
        <v>219</v>
      </c>
      <c r="F66" s="2">
        <v>0</v>
      </c>
      <c r="G66" s="2">
        <v>2000000</v>
      </c>
      <c r="H66" t="s">
        <v>787</v>
      </c>
      <c r="I66" t="s">
        <v>817</v>
      </c>
      <c r="J66" t="s">
        <v>819</v>
      </c>
    </row>
    <row r="67" spans="1:10" x14ac:dyDescent="0.3">
      <c r="A67">
        <v>23</v>
      </c>
      <c r="B67">
        <v>46401</v>
      </c>
      <c r="C67" t="s">
        <v>554</v>
      </c>
      <c r="D67" t="s">
        <v>408</v>
      </c>
      <c r="E67" t="s">
        <v>138</v>
      </c>
      <c r="F67" s="2">
        <v>0</v>
      </c>
      <c r="G67" s="2">
        <v>20200000</v>
      </c>
      <c r="H67" t="s">
        <v>787</v>
      </c>
      <c r="I67" t="s">
        <v>817</v>
      </c>
      <c r="J67" t="s">
        <v>789</v>
      </c>
    </row>
    <row r="68" spans="1:10" x14ac:dyDescent="0.3">
      <c r="A68">
        <v>24</v>
      </c>
      <c r="B68">
        <v>46402</v>
      </c>
      <c r="C68" t="s">
        <v>558</v>
      </c>
      <c r="D68" t="s">
        <v>821</v>
      </c>
      <c r="E68" t="s">
        <v>273</v>
      </c>
      <c r="F68" s="2">
        <v>25000000</v>
      </c>
      <c r="G68" s="2">
        <v>0</v>
      </c>
      <c r="H68" t="s">
        <v>787</v>
      </c>
      <c r="I68" t="s">
        <v>817</v>
      </c>
      <c r="J68" t="s">
        <v>822</v>
      </c>
    </row>
    <row r="69" spans="1:10" x14ac:dyDescent="0.3">
      <c r="A69">
        <v>24</v>
      </c>
      <c r="B69">
        <v>46402</v>
      </c>
      <c r="C69" t="s">
        <v>558</v>
      </c>
      <c r="D69" t="s">
        <v>821</v>
      </c>
      <c r="E69" t="s">
        <v>213</v>
      </c>
      <c r="F69" s="2">
        <v>0</v>
      </c>
      <c r="G69" s="2">
        <v>1000000</v>
      </c>
      <c r="H69" t="s">
        <v>787</v>
      </c>
      <c r="I69" t="s">
        <v>817</v>
      </c>
      <c r="J69" t="s">
        <v>823</v>
      </c>
    </row>
    <row r="70" spans="1:10" x14ac:dyDescent="0.3">
      <c r="A70">
        <v>24</v>
      </c>
      <c r="B70">
        <v>46402</v>
      </c>
      <c r="C70" t="s">
        <v>558</v>
      </c>
      <c r="D70" t="s">
        <v>824</v>
      </c>
      <c r="E70" t="s">
        <v>209</v>
      </c>
      <c r="F70" s="2">
        <v>0</v>
      </c>
      <c r="G70" s="2">
        <v>500000</v>
      </c>
      <c r="H70" t="s">
        <v>787</v>
      </c>
      <c r="I70" t="s">
        <v>817</v>
      </c>
      <c r="J70" t="s">
        <v>823</v>
      </c>
    </row>
    <row r="71" spans="1:10" x14ac:dyDescent="0.3">
      <c r="A71">
        <v>24</v>
      </c>
      <c r="B71">
        <v>46402</v>
      </c>
      <c r="C71" t="s">
        <v>558</v>
      </c>
      <c r="D71" t="s">
        <v>821</v>
      </c>
      <c r="E71" t="s">
        <v>138</v>
      </c>
      <c r="F71" s="2">
        <v>0</v>
      </c>
      <c r="G71" s="2">
        <v>23500000</v>
      </c>
      <c r="H71" t="s">
        <v>787</v>
      </c>
      <c r="I71" t="s">
        <v>817</v>
      </c>
      <c r="J71" t="s">
        <v>825</v>
      </c>
    </row>
    <row r="72" spans="1:10" x14ac:dyDescent="0.3">
      <c r="A72">
        <v>25</v>
      </c>
      <c r="B72">
        <v>46402</v>
      </c>
      <c r="C72" t="s">
        <v>562</v>
      </c>
      <c r="D72" t="s">
        <v>824</v>
      </c>
      <c r="E72" t="s">
        <v>277</v>
      </c>
      <c r="F72" s="2">
        <v>2000000</v>
      </c>
      <c r="G72" s="2">
        <v>0</v>
      </c>
      <c r="H72" t="s">
        <v>787</v>
      </c>
      <c r="I72" t="s">
        <v>817</v>
      </c>
      <c r="J72" t="s">
        <v>826</v>
      </c>
    </row>
    <row r="73" spans="1:10" x14ac:dyDescent="0.3">
      <c r="A73">
        <v>25</v>
      </c>
      <c r="B73">
        <v>46402</v>
      </c>
      <c r="C73" t="s">
        <v>562</v>
      </c>
      <c r="D73" t="s">
        <v>824</v>
      </c>
      <c r="E73" t="s">
        <v>209</v>
      </c>
      <c r="F73" s="2">
        <v>0</v>
      </c>
      <c r="G73" s="2">
        <v>2000000</v>
      </c>
      <c r="H73" t="s">
        <v>787</v>
      </c>
      <c r="I73" t="s">
        <v>817</v>
      </c>
      <c r="J73" t="s">
        <v>826</v>
      </c>
    </row>
    <row r="74" spans="1:10" x14ac:dyDescent="0.3">
      <c r="A74">
        <v>26</v>
      </c>
      <c r="B74">
        <v>46403</v>
      </c>
      <c r="C74" t="s">
        <v>566</v>
      </c>
      <c r="D74" t="s">
        <v>138</v>
      </c>
      <c r="E74" t="s">
        <v>138</v>
      </c>
      <c r="F74" s="2">
        <v>1500000</v>
      </c>
      <c r="G74" s="2">
        <v>0</v>
      </c>
      <c r="H74" t="s">
        <v>787</v>
      </c>
      <c r="I74" t="s">
        <v>817</v>
      </c>
      <c r="J74" t="s">
        <v>827</v>
      </c>
    </row>
    <row r="75" spans="1:10" x14ac:dyDescent="0.3">
      <c r="A75">
        <v>26</v>
      </c>
      <c r="B75">
        <v>46403</v>
      </c>
      <c r="C75" t="s">
        <v>566</v>
      </c>
      <c r="D75" t="s">
        <v>138</v>
      </c>
      <c r="E75" t="s">
        <v>263</v>
      </c>
      <c r="F75" s="2">
        <v>0</v>
      </c>
      <c r="G75" s="2">
        <v>1500000</v>
      </c>
      <c r="H75" t="s">
        <v>787</v>
      </c>
      <c r="I75" t="s">
        <v>817</v>
      </c>
      <c r="J75" t="s">
        <v>827</v>
      </c>
    </row>
    <row r="76" spans="1:10" x14ac:dyDescent="0.3">
      <c r="A76">
        <v>27</v>
      </c>
      <c r="B76">
        <v>46403</v>
      </c>
      <c r="C76" t="s">
        <v>570</v>
      </c>
      <c r="D76" t="s">
        <v>138</v>
      </c>
      <c r="E76" t="s">
        <v>317</v>
      </c>
      <c r="F76" s="2">
        <v>250000</v>
      </c>
      <c r="G76" s="2">
        <v>0</v>
      </c>
      <c r="H76" t="s">
        <v>787</v>
      </c>
      <c r="I76" t="s">
        <v>817</v>
      </c>
      <c r="J76" t="s">
        <v>828</v>
      </c>
    </row>
    <row r="77" spans="1:10" x14ac:dyDescent="0.3">
      <c r="A77">
        <v>27</v>
      </c>
      <c r="B77">
        <v>46403</v>
      </c>
      <c r="C77" t="s">
        <v>570</v>
      </c>
      <c r="D77" t="s">
        <v>138</v>
      </c>
      <c r="E77" t="s">
        <v>138</v>
      </c>
      <c r="F77" s="2">
        <v>0</v>
      </c>
      <c r="G77" s="2">
        <v>250000</v>
      </c>
      <c r="H77" t="s">
        <v>787</v>
      </c>
      <c r="I77" t="s">
        <v>817</v>
      </c>
      <c r="J77" t="s">
        <v>828</v>
      </c>
    </row>
    <row r="78" spans="1:10" x14ac:dyDescent="0.3">
      <c r="A78">
        <v>28</v>
      </c>
      <c r="B78">
        <v>46404</v>
      </c>
      <c r="C78" t="s">
        <v>574</v>
      </c>
      <c r="D78" t="s">
        <v>138</v>
      </c>
      <c r="E78" t="s">
        <v>138</v>
      </c>
      <c r="F78" s="2">
        <v>200000000</v>
      </c>
      <c r="G78" s="2">
        <v>0</v>
      </c>
      <c r="H78" t="s">
        <v>780</v>
      </c>
      <c r="I78" t="s">
        <v>817</v>
      </c>
      <c r="J78" t="s">
        <v>829</v>
      </c>
    </row>
    <row r="79" spans="1:10" x14ac:dyDescent="0.3">
      <c r="A79">
        <v>28</v>
      </c>
      <c r="B79">
        <v>46404</v>
      </c>
      <c r="C79" t="s">
        <v>574</v>
      </c>
      <c r="D79" t="s">
        <v>138</v>
      </c>
      <c r="E79" t="s">
        <v>227</v>
      </c>
      <c r="F79" s="2">
        <v>0</v>
      </c>
      <c r="G79" s="2">
        <v>200000000</v>
      </c>
      <c r="H79" t="s">
        <v>780</v>
      </c>
      <c r="I79" t="s">
        <v>817</v>
      </c>
      <c r="J79" t="s">
        <v>829</v>
      </c>
    </row>
    <row r="80" spans="1:10" x14ac:dyDescent="0.3">
      <c r="A80">
        <v>29</v>
      </c>
      <c r="B80">
        <v>46405</v>
      </c>
      <c r="C80" t="s">
        <v>578</v>
      </c>
      <c r="D80" t="s">
        <v>830</v>
      </c>
      <c r="E80" t="s">
        <v>182</v>
      </c>
      <c r="F80" s="2">
        <v>250000000</v>
      </c>
      <c r="G80" s="2">
        <v>0</v>
      </c>
      <c r="H80" t="s">
        <v>784</v>
      </c>
      <c r="I80" t="s">
        <v>817</v>
      </c>
      <c r="J80" t="s">
        <v>831</v>
      </c>
    </row>
    <row r="81" spans="1:10" x14ac:dyDescent="0.3">
      <c r="A81">
        <v>29</v>
      </c>
      <c r="B81">
        <v>46405</v>
      </c>
      <c r="C81" t="s">
        <v>578</v>
      </c>
      <c r="D81" t="s">
        <v>830</v>
      </c>
      <c r="E81" t="s">
        <v>155</v>
      </c>
      <c r="F81" s="2">
        <v>27500000</v>
      </c>
      <c r="G81" s="2">
        <v>0</v>
      </c>
      <c r="H81" t="s">
        <v>787</v>
      </c>
      <c r="I81" t="s">
        <v>817</v>
      </c>
      <c r="J81" t="s">
        <v>788</v>
      </c>
    </row>
    <row r="82" spans="1:10" x14ac:dyDescent="0.3">
      <c r="A82">
        <v>29</v>
      </c>
      <c r="B82">
        <v>46405</v>
      </c>
      <c r="C82" t="s">
        <v>578</v>
      </c>
      <c r="D82" t="s">
        <v>830</v>
      </c>
      <c r="E82" t="s">
        <v>138</v>
      </c>
      <c r="F82" s="2">
        <v>0</v>
      </c>
      <c r="G82" s="2">
        <v>277500000</v>
      </c>
      <c r="H82" t="s">
        <v>784</v>
      </c>
      <c r="I82" t="s">
        <v>817</v>
      </c>
      <c r="J82" t="s">
        <v>789</v>
      </c>
    </row>
    <row r="83" spans="1:10" x14ac:dyDescent="0.3">
      <c r="A83">
        <v>30</v>
      </c>
      <c r="B83">
        <v>46405</v>
      </c>
      <c r="C83" t="s">
        <v>582</v>
      </c>
      <c r="D83" t="s">
        <v>350</v>
      </c>
      <c r="E83" t="s">
        <v>197</v>
      </c>
      <c r="F83" s="2">
        <v>133200000</v>
      </c>
      <c r="G83" s="2">
        <v>0</v>
      </c>
      <c r="H83" t="s">
        <v>787</v>
      </c>
      <c r="I83" t="s">
        <v>817</v>
      </c>
      <c r="J83" t="s">
        <v>832</v>
      </c>
    </row>
    <row r="84" spans="1:10" x14ac:dyDescent="0.3">
      <c r="A84">
        <v>30</v>
      </c>
      <c r="B84">
        <v>46405</v>
      </c>
      <c r="C84" t="s">
        <v>582</v>
      </c>
      <c r="D84" t="s">
        <v>350</v>
      </c>
      <c r="E84" t="s">
        <v>138</v>
      </c>
      <c r="F84" s="2">
        <v>0</v>
      </c>
      <c r="G84" s="2">
        <v>130536000</v>
      </c>
      <c r="H84" t="s">
        <v>787</v>
      </c>
      <c r="I84" t="s">
        <v>817</v>
      </c>
      <c r="J84" t="s">
        <v>789</v>
      </c>
    </row>
    <row r="85" spans="1:10" x14ac:dyDescent="0.3">
      <c r="A85">
        <v>30</v>
      </c>
      <c r="B85">
        <v>46405</v>
      </c>
      <c r="C85" t="s">
        <v>582</v>
      </c>
      <c r="D85" t="s">
        <v>350</v>
      </c>
      <c r="E85" t="s">
        <v>153</v>
      </c>
      <c r="F85" s="2">
        <v>0</v>
      </c>
      <c r="G85" s="2">
        <v>2400000</v>
      </c>
      <c r="H85" t="s">
        <v>787</v>
      </c>
      <c r="I85" t="s">
        <v>817</v>
      </c>
      <c r="J85" t="s">
        <v>833</v>
      </c>
    </row>
    <row r="86" spans="1:10" x14ac:dyDescent="0.3">
      <c r="A86">
        <v>30</v>
      </c>
      <c r="B86">
        <v>46405</v>
      </c>
      <c r="C86" t="s">
        <v>582</v>
      </c>
      <c r="D86" t="s">
        <v>350</v>
      </c>
      <c r="E86" t="s">
        <v>155</v>
      </c>
      <c r="F86" s="2">
        <v>0</v>
      </c>
      <c r="G86" s="2">
        <v>264000</v>
      </c>
      <c r="H86" t="s">
        <v>787</v>
      </c>
      <c r="I86" t="s">
        <v>817</v>
      </c>
      <c r="J86" t="s">
        <v>833</v>
      </c>
    </row>
    <row r="87" spans="1:10" x14ac:dyDescent="0.3">
      <c r="A87">
        <v>31</v>
      </c>
      <c r="B87">
        <v>46406</v>
      </c>
      <c r="C87" t="s">
        <v>586</v>
      </c>
      <c r="D87" t="s">
        <v>362</v>
      </c>
      <c r="E87" t="s">
        <v>230</v>
      </c>
      <c r="F87" s="2">
        <v>33300000</v>
      </c>
      <c r="G87" s="2">
        <v>0</v>
      </c>
      <c r="H87" t="s">
        <v>787</v>
      </c>
      <c r="I87" t="s">
        <v>817</v>
      </c>
      <c r="J87" t="s">
        <v>834</v>
      </c>
    </row>
    <row r="88" spans="1:10" x14ac:dyDescent="0.3">
      <c r="A88">
        <v>31</v>
      </c>
      <c r="B88">
        <v>46406</v>
      </c>
      <c r="C88" t="s">
        <v>586</v>
      </c>
      <c r="D88" t="s">
        <v>362</v>
      </c>
      <c r="E88" t="s">
        <v>252</v>
      </c>
      <c r="F88" s="2">
        <v>0</v>
      </c>
      <c r="G88" s="2">
        <v>30000000</v>
      </c>
      <c r="H88" t="s">
        <v>787</v>
      </c>
      <c r="I88" t="s">
        <v>817</v>
      </c>
      <c r="J88" t="s">
        <v>834</v>
      </c>
    </row>
    <row r="89" spans="1:10" x14ac:dyDescent="0.3">
      <c r="A89">
        <v>31</v>
      </c>
      <c r="B89">
        <v>46406</v>
      </c>
      <c r="C89" t="s">
        <v>586</v>
      </c>
      <c r="D89" t="s">
        <v>362</v>
      </c>
      <c r="E89" t="s">
        <v>337</v>
      </c>
      <c r="F89" s="2">
        <v>0</v>
      </c>
      <c r="G89" s="2">
        <v>3300000</v>
      </c>
      <c r="H89" t="s">
        <v>787</v>
      </c>
      <c r="I89" t="s">
        <v>817</v>
      </c>
      <c r="J89" t="s">
        <v>788</v>
      </c>
    </row>
    <row r="90" spans="1:10" x14ac:dyDescent="0.3">
      <c r="A90">
        <v>31</v>
      </c>
      <c r="B90">
        <v>46406</v>
      </c>
      <c r="C90" t="s">
        <v>586</v>
      </c>
      <c r="D90" t="s">
        <v>362</v>
      </c>
      <c r="E90" t="s">
        <v>16</v>
      </c>
      <c r="F90" s="2">
        <v>16000000</v>
      </c>
      <c r="G90" s="2">
        <v>0</v>
      </c>
      <c r="H90" t="s">
        <v>787</v>
      </c>
      <c r="I90" t="s">
        <v>817</v>
      </c>
      <c r="J90" t="s">
        <v>798</v>
      </c>
    </row>
    <row r="91" spans="1:10" x14ac:dyDescent="0.3">
      <c r="A91">
        <v>31</v>
      </c>
      <c r="B91">
        <v>46406</v>
      </c>
      <c r="C91" t="s">
        <v>586</v>
      </c>
      <c r="D91" t="s">
        <v>362</v>
      </c>
      <c r="E91" t="s">
        <v>153</v>
      </c>
      <c r="F91" s="2">
        <v>0</v>
      </c>
      <c r="G91" s="2">
        <v>16000000</v>
      </c>
      <c r="H91" t="s">
        <v>787</v>
      </c>
      <c r="I91" t="s">
        <v>817</v>
      </c>
      <c r="J91" t="s">
        <v>798</v>
      </c>
    </row>
    <row r="92" spans="1:10" x14ac:dyDescent="0.3">
      <c r="A92">
        <v>32</v>
      </c>
      <c r="B92">
        <v>46406</v>
      </c>
      <c r="C92" t="s">
        <v>590</v>
      </c>
      <c r="D92" t="s">
        <v>392</v>
      </c>
      <c r="E92" t="s">
        <v>138</v>
      </c>
      <c r="F92" s="2">
        <v>94350000</v>
      </c>
      <c r="G92" s="2">
        <v>0</v>
      </c>
      <c r="H92" t="s">
        <v>787</v>
      </c>
      <c r="I92" t="s">
        <v>817</v>
      </c>
      <c r="J92" t="s">
        <v>835</v>
      </c>
    </row>
    <row r="93" spans="1:10" x14ac:dyDescent="0.3">
      <c r="A93">
        <v>32</v>
      </c>
      <c r="B93">
        <v>46406</v>
      </c>
      <c r="C93" t="s">
        <v>590</v>
      </c>
      <c r="D93" t="s">
        <v>392</v>
      </c>
      <c r="E93" t="s">
        <v>252</v>
      </c>
      <c r="F93" s="2">
        <v>0</v>
      </c>
      <c r="G93" s="2">
        <v>85000000</v>
      </c>
      <c r="H93" t="s">
        <v>787</v>
      </c>
      <c r="I93" t="s">
        <v>817</v>
      </c>
      <c r="J93" t="s">
        <v>835</v>
      </c>
    </row>
    <row r="94" spans="1:10" x14ac:dyDescent="0.3">
      <c r="A94">
        <v>32</v>
      </c>
      <c r="B94">
        <v>46406</v>
      </c>
      <c r="C94" t="s">
        <v>590</v>
      </c>
      <c r="D94" t="s">
        <v>392</v>
      </c>
      <c r="E94" t="s">
        <v>337</v>
      </c>
      <c r="F94" s="2">
        <v>0</v>
      </c>
      <c r="G94" s="2">
        <v>9350000</v>
      </c>
      <c r="H94" t="s">
        <v>787</v>
      </c>
      <c r="I94" t="s">
        <v>817</v>
      </c>
      <c r="J94" t="s">
        <v>788</v>
      </c>
    </row>
    <row r="95" spans="1:10" x14ac:dyDescent="0.3">
      <c r="A95">
        <v>32</v>
      </c>
      <c r="B95">
        <v>46406</v>
      </c>
      <c r="C95" t="s">
        <v>590</v>
      </c>
      <c r="D95" t="s">
        <v>392</v>
      </c>
      <c r="E95" t="s">
        <v>16</v>
      </c>
      <c r="F95" s="2">
        <v>48000000</v>
      </c>
      <c r="G95" s="2">
        <v>0</v>
      </c>
      <c r="H95" t="s">
        <v>787</v>
      </c>
      <c r="I95" t="s">
        <v>817</v>
      </c>
      <c r="J95" t="s">
        <v>798</v>
      </c>
    </row>
    <row r="96" spans="1:10" x14ac:dyDescent="0.3">
      <c r="A96">
        <v>32</v>
      </c>
      <c r="B96">
        <v>46406</v>
      </c>
      <c r="C96" t="s">
        <v>590</v>
      </c>
      <c r="D96" t="s">
        <v>392</v>
      </c>
      <c r="E96" t="s">
        <v>153</v>
      </c>
      <c r="F96" s="2">
        <v>0</v>
      </c>
      <c r="G96" s="2">
        <v>48000000</v>
      </c>
      <c r="H96" t="s">
        <v>787</v>
      </c>
      <c r="I96" t="s">
        <v>817</v>
      </c>
      <c r="J96" t="s">
        <v>798</v>
      </c>
    </row>
    <row r="97" spans="1:10" x14ac:dyDescent="0.3">
      <c r="A97">
        <v>33</v>
      </c>
      <c r="B97">
        <v>46407</v>
      </c>
      <c r="C97" t="s">
        <v>594</v>
      </c>
      <c r="D97" t="s">
        <v>370</v>
      </c>
      <c r="E97" t="s">
        <v>145</v>
      </c>
      <c r="F97" s="2">
        <v>233100000</v>
      </c>
      <c r="G97" s="2">
        <v>0</v>
      </c>
      <c r="H97" t="s">
        <v>787</v>
      </c>
      <c r="I97" t="s">
        <v>817</v>
      </c>
      <c r="J97" t="s">
        <v>836</v>
      </c>
    </row>
    <row r="98" spans="1:10" x14ac:dyDescent="0.3">
      <c r="A98">
        <v>33</v>
      </c>
      <c r="B98">
        <v>46407</v>
      </c>
      <c r="C98" t="s">
        <v>594</v>
      </c>
      <c r="D98" t="s">
        <v>370</v>
      </c>
      <c r="E98" t="s">
        <v>252</v>
      </c>
      <c r="F98" s="2">
        <v>0</v>
      </c>
      <c r="G98" s="2">
        <v>210000000</v>
      </c>
      <c r="H98" t="s">
        <v>787</v>
      </c>
      <c r="I98" t="s">
        <v>817</v>
      </c>
      <c r="J98" t="s">
        <v>836</v>
      </c>
    </row>
    <row r="99" spans="1:10" x14ac:dyDescent="0.3">
      <c r="A99">
        <v>33</v>
      </c>
      <c r="B99">
        <v>46407</v>
      </c>
      <c r="C99" t="s">
        <v>594</v>
      </c>
      <c r="D99" t="s">
        <v>370</v>
      </c>
      <c r="E99" t="s">
        <v>337</v>
      </c>
      <c r="F99" s="2">
        <v>0</v>
      </c>
      <c r="G99" s="2">
        <v>23100000</v>
      </c>
      <c r="H99" t="s">
        <v>787</v>
      </c>
      <c r="I99" t="s">
        <v>817</v>
      </c>
      <c r="J99" t="s">
        <v>788</v>
      </c>
    </row>
    <row r="100" spans="1:10" x14ac:dyDescent="0.3">
      <c r="A100">
        <v>33</v>
      </c>
      <c r="B100">
        <v>46407</v>
      </c>
      <c r="C100" t="s">
        <v>594</v>
      </c>
      <c r="D100" t="s">
        <v>370</v>
      </c>
      <c r="E100" t="s">
        <v>16</v>
      </c>
      <c r="F100" s="2">
        <v>125000000</v>
      </c>
      <c r="G100" s="2">
        <v>0</v>
      </c>
      <c r="H100" t="s">
        <v>787</v>
      </c>
      <c r="I100" t="s">
        <v>817</v>
      </c>
      <c r="J100" t="s">
        <v>798</v>
      </c>
    </row>
    <row r="101" spans="1:10" x14ac:dyDescent="0.3">
      <c r="A101">
        <v>33</v>
      </c>
      <c r="B101">
        <v>46407</v>
      </c>
      <c r="C101" t="s">
        <v>594</v>
      </c>
      <c r="D101" t="s">
        <v>370</v>
      </c>
      <c r="E101" t="s">
        <v>153</v>
      </c>
      <c r="F101" s="2">
        <v>0</v>
      </c>
      <c r="G101" s="2">
        <v>125000000</v>
      </c>
      <c r="H101" t="s">
        <v>787</v>
      </c>
      <c r="I101" t="s">
        <v>817</v>
      </c>
      <c r="J101" t="s">
        <v>798</v>
      </c>
    </row>
    <row r="102" spans="1:10" x14ac:dyDescent="0.3">
      <c r="A102">
        <v>34</v>
      </c>
      <c r="B102">
        <v>46408</v>
      </c>
      <c r="C102" t="s">
        <v>598</v>
      </c>
      <c r="D102" t="s">
        <v>370</v>
      </c>
      <c r="E102" t="s">
        <v>138</v>
      </c>
      <c r="F102" s="2">
        <v>100000000</v>
      </c>
      <c r="G102" s="2">
        <v>0</v>
      </c>
      <c r="H102" t="s">
        <v>787</v>
      </c>
      <c r="I102" t="s">
        <v>817</v>
      </c>
      <c r="J102" t="s">
        <v>837</v>
      </c>
    </row>
    <row r="103" spans="1:10" x14ac:dyDescent="0.3">
      <c r="A103">
        <v>34</v>
      </c>
      <c r="B103">
        <v>46408</v>
      </c>
      <c r="C103" t="s">
        <v>598</v>
      </c>
      <c r="D103" t="s">
        <v>370</v>
      </c>
      <c r="E103" t="s">
        <v>145</v>
      </c>
      <c r="F103" s="2">
        <v>0</v>
      </c>
      <c r="G103" s="2">
        <v>100000000</v>
      </c>
      <c r="H103" t="s">
        <v>787</v>
      </c>
      <c r="I103" t="s">
        <v>817</v>
      </c>
      <c r="J103" t="s">
        <v>837</v>
      </c>
    </row>
    <row r="104" spans="1:10" x14ac:dyDescent="0.3">
      <c r="A104">
        <v>35</v>
      </c>
      <c r="B104">
        <v>46408</v>
      </c>
      <c r="C104" t="s">
        <v>600</v>
      </c>
      <c r="D104" t="s">
        <v>358</v>
      </c>
      <c r="E104" t="s">
        <v>197</v>
      </c>
      <c r="F104" s="2">
        <v>90000000</v>
      </c>
      <c r="G104" s="2">
        <v>0</v>
      </c>
      <c r="H104" t="s">
        <v>787</v>
      </c>
      <c r="I104" t="s">
        <v>817</v>
      </c>
      <c r="J104" t="s">
        <v>838</v>
      </c>
    </row>
    <row r="105" spans="1:10" x14ac:dyDescent="0.3">
      <c r="A105">
        <v>35</v>
      </c>
      <c r="B105">
        <v>46408</v>
      </c>
      <c r="C105" t="s">
        <v>600</v>
      </c>
      <c r="D105" t="s">
        <v>358</v>
      </c>
      <c r="E105" t="s">
        <v>138</v>
      </c>
      <c r="F105" s="2">
        <v>0</v>
      </c>
      <c r="G105" s="2">
        <v>90000000</v>
      </c>
      <c r="H105" t="s">
        <v>787</v>
      </c>
      <c r="I105" t="s">
        <v>817</v>
      </c>
      <c r="J105" t="s">
        <v>838</v>
      </c>
    </row>
    <row r="106" spans="1:10" x14ac:dyDescent="0.3">
      <c r="A106">
        <v>36</v>
      </c>
      <c r="B106">
        <v>46409</v>
      </c>
      <c r="C106" t="s">
        <v>602</v>
      </c>
      <c r="D106" t="s">
        <v>370</v>
      </c>
      <c r="E106" t="s">
        <v>256</v>
      </c>
      <c r="F106" s="2">
        <v>15000000</v>
      </c>
      <c r="G106" s="2">
        <v>0</v>
      </c>
      <c r="H106" t="s">
        <v>787</v>
      </c>
      <c r="I106" t="s">
        <v>817</v>
      </c>
      <c r="J106" t="s">
        <v>839</v>
      </c>
    </row>
    <row r="107" spans="1:10" x14ac:dyDescent="0.3">
      <c r="A107">
        <v>36</v>
      </c>
      <c r="B107">
        <v>46409</v>
      </c>
      <c r="C107" t="s">
        <v>602</v>
      </c>
      <c r="D107" t="s">
        <v>370</v>
      </c>
      <c r="E107" t="s">
        <v>337</v>
      </c>
      <c r="F107" s="2">
        <v>1650000</v>
      </c>
      <c r="G107" s="2">
        <v>0</v>
      </c>
      <c r="H107" t="s">
        <v>787</v>
      </c>
      <c r="I107" t="s">
        <v>817</v>
      </c>
      <c r="J107" t="s">
        <v>802</v>
      </c>
    </row>
    <row r="108" spans="1:10" x14ac:dyDescent="0.3">
      <c r="A108">
        <v>36</v>
      </c>
      <c r="B108">
        <v>46409</v>
      </c>
      <c r="C108" t="s">
        <v>602</v>
      </c>
      <c r="D108" t="s">
        <v>370</v>
      </c>
      <c r="E108" t="s">
        <v>145</v>
      </c>
      <c r="F108" s="2">
        <v>0</v>
      </c>
      <c r="G108" s="2">
        <v>16650000</v>
      </c>
      <c r="H108" t="s">
        <v>787</v>
      </c>
      <c r="I108" t="s">
        <v>817</v>
      </c>
      <c r="J108" t="s">
        <v>802</v>
      </c>
    </row>
    <row r="109" spans="1:10" x14ac:dyDescent="0.3">
      <c r="A109">
        <v>36</v>
      </c>
      <c r="B109">
        <v>46409</v>
      </c>
      <c r="C109" t="s">
        <v>602</v>
      </c>
      <c r="D109" t="s">
        <v>370</v>
      </c>
      <c r="E109" t="s">
        <v>153</v>
      </c>
      <c r="F109" s="2">
        <v>9000000</v>
      </c>
      <c r="G109" s="2">
        <v>0</v>
      </c>
      <c r="H109" t="s">
        <v>787</v>
      </c>
      <c r="I109" t="s">
        <v>817</v>
      </c>
      <c r="J109" t="s">
        <v>798</v>
      </c>
    </row>
    <row r="110" spans="1:10" x14ac:dyDescent="0.3">
      <c r="A110">
        <v>36</v>
      </c>
      <c r="B110">
        <v>46409</v>
      </c>
      <c r="C110" t="s">
        <v>602</v>
      </c>
      <c r="D110" t="s">
        <v>370</v>
      </c>
      <c r="E110" t="s">
        <v>16</v>
      </c>
      <c r="F110" s="2">
        <v>0</v>
      </c>
      <c r="G110" s="2">
        <v>9000000</v>
      </c>
      <c r="H110" t="s">
        <v>787</v>
      </c>
      <c r="I110" t="s">
        <v>817</v>
      </c>
      <c r="J110" t="s">
        <v>798</v>
      </c>
    </row>
    <row r="111" spans="1:10" x14ac:dyDescent="0.3">
      <c r="A111">
        <v>37</v>
      </c>
      <c r="B111">
        <v>46409</v>
      </c>
      <c r="C111" t="s">
        <v>606</v>
      </c>
      <c r="D111" t="s">
        <v>362</v>
      </c>
      <c r="E111" t="s">
        <v>230</v>
      </c>
      <c r="F111" s="2">
        <v>6700000</v>
      </c>
      <c r="G111" s="2">
        <v>0</v>
      </c>
      <c r="H111" t="s">
        <v>787</v>
      </c>
      <c r="I111" t="s">
        <v>817</v>
      </c>
      <c r="J111" t="s">
        <v>840</v>
      </c>
    </row>
    <row r="112" spans="1:10" x14ac:dyDescent="0.3">
      <c r="A112">
        <v>37</v>
      </c>
      <c r="B112">
        <v>46409</v>
      </c>
      <c r="C112" t="s">
        <v>606</v>
      </c>
      <c r="D112" t="s">
        <v>362</v>
      </c>
      <c r="E112" t="s">
        <v>138</v>
      </c>
      <c r="F112" s="2">
        <v>0</v>
      </c>
      <c r="G112" s="2">
        <v>6700000</v>
      </c>
      <c r="I112" t="s">
        <v>817</v>
      </c>
      <c r="J112" t="s">
        <v>840</v>
      </c>
    </row>
    <row r="113" spans="1:10" x14ac:dyDescent="0.3">
      <c r="A113">
        <v>38</v>
      </c>
      <c r="B113">
        <v>46410</v>
      </c>
      <c r="C113" t="s">
        <v>610</v>
      </c>
      <c r="D113" t="s">
        <v>355</v>
      </c>
      <c r="E113" t="s">
        <v>145</v>
      </c>
      <c r="F113" s="2">
        <v>3000000</v>
      </c>
      <c r="G113" s="2">
        <v>0</v>
      </c>
      <c r="H113" t="s">
        <v>787</v>
      </c>
      <c r="I113" t="s">
        <v>817</v>
      </c>
      <c r="J113" t="s">
        <v>841</v>
      </c>
    </row>
    <row r="114" spans="1:10" x14ac:dyDescent="0.3">
      <c r="A114">
        <v>38</v>
      </c>
      <c r="B114">
        <v>46410</v>
      </c>
      <c r="C114" t="s">
        <v>610</v>
      </c>
      <c r="D114" t="s">
        <v>355</v>
      </c>
      <c r="E114" t="s">
        <v>138</v>
      </c>
      <c r="F114" s="2">
        <v>0</v>
      </c>
      <c r="G114" s="2">
        <v>3000000</v>
      </c>
      <c r="H114" t="s">
        <v>787</v>
      </c>
      <c r="I114" t="s">
        <v>817</v>
      </c>
      <c r="J114" t="s">
        <v>842</v>
      </c>
    </row>
    <row r="115" spans="1:10" x14ac:dyDescent="0.3">
      <c r="A115">
        <v>39</v>
      </c>
      <c r="B115">
        <v>46410</v>
      </c>
      <c r="C115" t="s">
        <v>598</v>
      </c>
      <c r="D115" t="s">
        <v>355</v>
      </c>
      <c r="E115" t="s">
        <v>138</v>
      </c>
      <c r="F115" s="2">
        <v>50000000</v>
      </c>
      <c r="G115" s="2">
        <v>0</v>
      </c>
      <c r="H115" t="s">
        <v>787</v>
      </c>
      <c r="I115" t="s">
        <v>817</v>
      </c>
      <c r="J115" t="s">
        <v>843</v>
      </c>
    </row>
    <row r="116" spans="1:10" x14ac:dyDescent="0.3">
      <c r="A116">
        <v>39</v>
      </c>
      <c r="B116">
        <v>46410</v>
      </c>
      <c r="C116" t="s">
        <v>598</v>
      </c>
      <c r="D116" t="s">
        <v>355</v>
      </c>
      <c r="E116" t="s">
        <v>145</v>
      </c>
      <c r="F116" s="2">
        <v>0</v>
      </c>
      <c r="G116" s="2">
        <v>50000000</v>
      </c>
      <c r="H116" t="s">
        <v>787</v>
      </c>
      <c r="I116" t="s">
        <v>817</v>
      </c>
      <c r="J116" t="s">
        <v>843</v>
      </c>
    </row>
    <row r="117" spans="1:10" x14ac:dyDescent="0.3">
      <c r="A117">
        <v>40</v>
      </c>
      <c r="B117">
        <v>46411</v>
      </c>
      <c r="C117" t="s">
        <v>616</v>
      </c>
      <c r="D117" t="s">
        <v>844</v>
      </c>
      <c r="E117" t="s">
        <v>153</v>
      </c>
      <c r="F117" s="2">
        <v>105000000</v>
      </c>
      <c r="G117" s="2">
        <v>0</v>
      </c>
      <c r="H117" t="s">
        <v>787</v>
      </c>
      <c r="I117" t="s">
        <v>845</v>
      </c>
      <c r="J117" t="s">
        <v>846</v>
      </c>
    </row>
    <row r="118" spans="1:10" x14ac:dyDescent="0.3">
      <c r="A118">
        <v>40</v>
      </c>
      <c r="B118">
        <v>46411</v>
      </c>
      <c r="C118" t="s">
        <v>616</v>
      </c>
      <c r="D118" t="s">
        <v>844</v>
      </c>
      <c r="E118" t="s">
        <v>155</v>
      </c>
      <c r="F118" s="2">
        <v>11550000</v>
      </c>
      <c r="G118" s="2">
        <v>0</v>
      </c>
      <c r="H118" t="s">
        <v>787</v>
      </c>
      <c r="I118" t="s">
        <v>845</v>
      </c>
      <c r="J118" t="s">
        <v>846</v>
      </c>
    </row>
    <row r="119" spans="1:10" x14ac:dyDescent="0.3">
      <c r="A119">
        <v>40</v>
      </c>
      <c r="B119">
        <v>46411</v>
      </c>
      <c r="C119" t="s">
        <v>616</v>
      </c>
      <c r="D119" t="s">
        <v>844</v>
      </c>
      <c r="E119" t="s">
        <v>157</v>
      </c>
      <c r="F119" s="2">
        <v>2625000</v>
      </c>
      <c r="G119" s="2">
        <v>0</v>
      </c>
      <c r="H119" t="s">
        <v>787</v>
      </c>
      <c r="I119" t="s">
        <v>845</v>
      </c>
      <c r="J119" t="s">
        <v>846</v>
      </c>
    </row>
    <row r="120" spans="1:10" x14ac:dyDescent="0.3">
      <c r="A120">
        <v>40</v>
      </c>
      <c r="B120">
        <v>46411</v>
      </c>
      <c r="C120" t="s">
        <v>616</v>
      </c>
      <c r="D120" t="s">
        <v>844</v>
      </c>
      <c r="E120" t="s">
        <v>138</v>
      </c>
      <c r="F120" s="2">
        <v>0</v>
      </c>
      <c r="G120" s="2">
        <v>119175000</v>
      </c>
      <c r="H120" t="s">
        <v>787</v>
      </c>
      <c r="I120" t="s">
        <v>845</v>
      </c>
      <c r="J120" t="s">
        <v>846</v>
      </c>
    </row>
    <row r="121" spans="1:10" x14ac:dyDescent="0.3">
      <c r="A121">
        <v>41</v>
      </c>
      <c r="B121">
        <v>46411</v>
      </c>
      <c r="C121" t="s">
        <v>620</v>
      </c>
      <c r="D121" t="s">
        <v>847</v>
      </c>
      <c r="E121" t="s">
        <v>153</v>
      </c>
      <c r="F121" s="2">
        <v>50000000</v>
      </c>
      <c r="G121" s="2">
        <v>0</v>
      </c>
      <c r="H121" t="s">
        <v>787</v>
      </c>
      <c r="I121" t="s">
        <v>845</v>
      </c>
      <c r="J121" t="s">
        <v>848</v>
      </c>
    </row>
    <row r="122" spans="1:10" x14ac:dyDescent="0.3">
      <c r="A122">
        <v>41</v>
      </c>
      <c r="B122">
        <v>46411</v>
      </c>
      <c r="C122" t="s">
        <v>620</v>
      </c>
      <c r="D122" t="s">
        <v>847</v>
      </c>
      <c r="E122" t="s">
        <v>155</v>
      </c>
      <c r="F122" s="2">
        <v>5500000</v>
      </c>
      <c r="G122" s="2">
        <v>0</v>
      </c>
      <c r="H122" t="s">
        <v>787</v>
      </c>
      <c r="I122" t="s">
        <v>845</v>
      </c>
      <c r="J122" t="s">
        <v>788</v>
      </c>
    </row>
    <row r="123" spans="1:10" x14ac:dyDescent="0.3">
      <c r="A123">
        <v>41</v>
      </c>
      <c r="B123">
        <v>46411</v>
      </c>
      <c r="C123" t="s">
        <v>620</v>
      </c>
      <c r="D123" t="s">
        <v>847</v>
      </c>
      <c r="E123" t="s">
        <v>215</v>
      </c>
      <c r="F123" s="2">
        <v>0</v>
      </c>
      <c r="G123" s="2">
        <v>750000</v>
      </c>
      <c r="H123" t="s">
        <v>787</v>
      </c>
      <c r="I123" t="s">
        <v>845</v>
      </c>
      <c r="J123" t="s">
        <v>849</v>
      </c>
    </row>
    <row r="124" spans="1:10" x14ac:dyDescent="0.3">
      <c r="A124">
        <v>41</v>
      </c>
      <c r="B124">
        <v>46411</v>
      </c>
      <c r="C124" t="s">
        <v>620</v>
      </c>
      <c r="D124" t="s">
        <v>847</v>
      </c>
      <c r="E124" t="s">
        <v>197</v>
      </c>
      <c r="F124" s="2">
        <v>0</v>
      </c>
      <c r="G124" s="2">
        <v>54750000</v>
      </c>
      <c r="H124" t="s">
        <v>787</v>
      </c>
      <c r="I124" t="s">
        <v>845</v>
      </c>
      <c r="J124" t="s">
        <v>850</v>
      </c>
    </row>
    <row r="125" spans="1:10" x14ac:dyDescent="0.3">
      <c r="A125">
        <v>42</v>
      </c>
      <c r="B125">
        <v>46412</v>
      </c>
      <c r="C125" t="s">
        <v>624</v>
      </c>
      <c r="D125" t="s">
        <v>138</v>
      </c>
      <c r="E125" t="s">
        <v>215</v>
      </c>
      <c r="F125" s="2">
        <v>750000</v>
      </c>
      <c r="G125" s="2">
        <v>0</v>
      </c>
      <c r="H125" t="s">
        <v>787</v>
      </c>
      <c r="I125" t="s">
        <v>845</v>
      </c>
      <c r="J125" t="s">
        <v>851</v>
      </c>
    </row>
    <row r="126" spans="1:10" x14ac:dyDescent="0.3">
      <c r="A126">
        <v>42</v>
      </c>
      <c r="B126">
        <v>46412</v>
      </c>
      <c r="C126" t="s">
        <v>624</v>
      </c>
      <c r="D126" t="s">
        <v>138</v>
      </c>
      <c r="E126" t="s">
        <v>138</v>
      </c>
      <c r="F126" s="2">
        <v>0</v>
      </c>
      <c r="G126" s="2">
        <v>750000</v>
      </c>
      <c r="H126" t="s">
        <v>787</v>
      </c>
      <c r="I126" t="s">
        <v>845</v>
      </c>
      <c r="J126" t="s">
        <v>851</v>
      </c>
    </row>
    <row r="127" spans="1:10" x14ac:dyDescent="0.3">
      <c r="A127">
        <v>43</v>
      </c>
      <c r="B127">
        <v>46412</v>
      </c>
      <c r="C127" t="s">
        <v>628</v>
      </c>
      <c r="D127" t="s">
        <v>380</v>
      </c>
      <c r="E127" t="s">
        <v>171</v>
      </c>
      <c r="F127" s="2">
        <v>22200000</v>
      </c>
      <c r="G127" s="2">
        <v>0</v>
      </c>
      <c r="H127" t="s">
        <v>787</v>
      </c>
      <c r="I127" t="s">
        <v>845</v>
      </c>
      <c r="J127" t="s">
        <v>852</v>
      </c>
    </row>
    <row r="128" spans="1:10" x14ac:dyDescent="0.3">
      <c r="A128">
        <v>43</v>
      </c>
      <c r="B128">
        <v>46412</v>
      </c>
      <c r="C128" t="s">
        <v>628</v>
      </c>
      <c r="D128" t="s">
        <v>380</v>
      </c>
      <c r="E128" t="s">
        <v>138</v>
      </c>
      <c r="F128" s="2">
        <v>0</v>
      </c>
      <c r="G128" s="2">
        <v>22200000</v>
      </c>
      <c r="H128" t="s">
        <v>787</v>
      </c>
      <c r="I128" t="s">
        <v>845</v>
      </c>
      <c r="J128" t="s">
        <v>852</v>
      </c>
    </row>
    <row r="129" spans="1:10" x14ac:dyDescent="0.3">
      <c r="A129">
        <v>44</v>
      </c>
      <c r="B129">
        <v>46413</v>
      </c>
      <c r="C129" t="s">
        <v>632</v>
      </c>
      <c r="D129" t="s">
        <v>380</v>
      </c>
      <c r="E129" t="s">
        <v>153</v>
      </c>
      <c r="F129" s="2">
        <v>20000000</v>
      </c>
      <c r="G129" s="2">
        <v>0</v>
      </c>
      <c r="H129" t="s">
        <v>787</v>
      </c>
      <c r="I129" t="s">
        <v>845</v>
      </c>
      <c r="J129" t="s">
        <v>853</v>
      </c>
    </row>
    <row r="130" spans="1:10" x14ac:dyDescent="0.3">
      <c r="A130">
        <v>44</v>
      </c>
      <c r="B130">
        <v>46413</v>
      </c>
      <c r="C130" t="s">
        <v>632</v>
      </c>
      <c r="D130" t="s">
        <v>380</v>
      </c>
      <c r="E130" t="s">
        <v>155</v>
      </c>
      <c r="F130" s="2">
        <v>2200000</v>
      </c>
      <c r="G130" s="2">
        <v>0</v>
      </c>
      <c r="H130" t="s">
        <v>787</v>
      </c>
      <c r="I130" t="s">
        <v>845</v>
      </c>
      <c r="J130" t="s">
        <v>788</v>
      </c>
    </row>
    <row r="131" spans="1:10" x14ac:dyDescent="0.3">
      <c r="A131">
        <v>44</v>
      </c>
      <c r="B131">
        <v>46413</v>
      </c>
      <c r="C131" t="s">
        <v>632</v>
      </c>
      <c r="D131" t="s">
        <v>380</v>
      </c>
      <c r="E131" t="s">
        <v>171</v>
      </c>
      <c r="F131" s="2">
        <v>0</v>
      </c>
      <c r="G131" s="2">
        <v>22200000</v>
      </c>
      <c r="H131" t="s">
        <v>787</v>
      </c>
      <c r="I131" t="s">
        <v>845</v>
      </c>
      <c r="J131" t="s">
        <v>854</v>
      </c>
    </row>
    <row r="132" spans="1:10" x14ac:dyDescent="0.3">
      <c r="A132">
        <v>45</v>
      </c>
      <c r="B132">
        <v>46413</v>
      </c>
      <c r="C132" t="s">
        <v>635</v>
      </c>
      <c r="D132" t="s">
        <v>374</v>
      </c>
      <c r="E132" t="s">
        <v>197</v>
      </c>
      <c r="F132" s="2">
        <v>44400000</v>
      </c>
      <c r="G132" s="2">
        <v>0</v>
      </c>
      <c r="H132" t="s">
        <v>787</v>
      </c>
      <c r="I132" t="s">
        <v>845</v>
      </c>
      <c r="J132" t="s">
        <v>855</v>
      </c>
    </row>
    <row r="133" spans="1:10" x14ac:dyDescent="0.3">
      <c r="A133">
        <v>45</v>
      </c>
      <c r="B133">
        <v>46413</v>
      </c>
      <c r="C133" t="s">
        <v>635</v>
      </c>
      <c r="D133" t="s">
        <v>374</v>
      </c>
      <c r="E133" t="s">
        <v>138</v>
      </c>
      <c r="F133" s="2">
        <v>0</v>
      </c>
      <c r="G133" s="2">
        <v>44400000</v>
      </c>
      <c r="H133" t="s">
        <v>787</v>
      </c>
      <c r="I133" t="s">
        <v>845</v>
      </c>
      <c r="J133" t="s">
        <v>855</v>
      </c>
    </row>
    <row r="134" spans="1:10" x14ac:dyDescent="0.3">
      <c r="A134">
        <v>46</v>
      </c>
      <c r="B134">
        <v>46414</v>
      </c>
      <c r="C134" t="s">
        <v>638</v>
      </c>
      <c r="D134" t="s">
        <v>856</v>
      </c>
      <c r="E134" t="s">
        <v>301</v>
      </c>
      <c r="F134" s="2">
        <v>3000000</v>
      </c>
      <c r="G134" s="2">
        <v>0</v>
      </c>
      <c r="H134" t="s">
        <v>787</v>
      </c>
      <c r="I134" t="s">
        <v>845</v>
      </c>
      <c r="J134" t="s">
        <v>857</v>
      </c>
    </row>
    <row r="135" spans="1:10" x14ac:dyDescent="0.3">
      <c r="A135">
        <v>46</v>
      </c>
      <c r="B135">
        <v>46414</v>
      </c>
      <c r="C135" t="s">
        <v>638</v>
      </c>
      <c r="D135" t="s">
        <v>856</v>
      </c>
      <c r="E135" t="s">
        <v>138</v>
      </c>
      <c r="F135" s="2">
        <v>0</v>
      </c>
      <c r="G135" s="2">
        <v>3000000</v>
      </c>
      <c r="H135" t="s">
        <v>787</v>
      </c>
      <c r="I135" t="s">
        <v>845</v>
      </c>
      <c r="J135" t="s">
        <v>789</v>
      </c>
    </row>
    <row r="136" spans="1:10" x14ac:dyDescent="0.3">
      <c r="A136">
        <v>47</v>
      </c>
      <c r="B136">
        <v>46414</v>
      </c>
      <c r="C136" t="s">
        <v>642</v>
      </c>
      <c r="D136" t="s">
        <v>858</v>
      </c>
      <c r="E136" t="s">
        <v>177</v>
      </c>
      <c r="F136" s="2">
        <v>15000000</v>
      </c>
      <c r="G136" s="2">
        <v>0</v>
      </c>
      <c r="H136" t="s">
        <v>784</v>
      </c>
      <c r="I136" t="s">
        <v>845</v>
      </c>
      <c r="J136" t="s">
        <v>859</v>
      </c>
    </row>
    <row r="137" spans="1:10" x14ac:dyDescent="0.3">
      <c r="A137">
        <v>47</v>
      </c>
      <c r="B137">
        <v>46414</v>
      </c>
      <c r="C137" t="s">
        <v>642</v>
      </c>
      <c r="D137" t="s">
        <v>858</v>
      </c>
      <c r="E137" t="s">
        <v>138</v>
      </c>
      <c r="F137" s="2">
        <v>0</v>
      </c>
      <c r="G137" s="2">
        <v>15000000</v>
      </c>
      <c r="H137" t="s">
        <v>784</v>
      </c>
      <c r="I137" t="s">
        <v>845</v>
      </c>
      <c r="J137" t="s">
        <v>789</v>
      </c>
    </row>
    <row r="138" spans="1:10" x14ac:dyDescent="0.3">
      <c r="A138">
        <v>48</v>
      </c>
      <c r="B138">
        <v>46415</v>
      </c>
      <c r="C138" t="s">
        <v>646</v>
      </c>
      <c r="D138" t="s">
        <v>860</v>
      </c>
      <c r="E138" t="s">
        <v>138</v>
      </c>
      <c r="F138" s="2">
        <v>11100000</v>
      </c>
      <c r="G138" s="2">
        <v>0</v>
      </c>
      <c r="H138" t="s">
        <v>784</v>
      </c>
      <c r="I138" t="s">
        <v>845</v>
      </c>
      <c r="J138" t="s">
        <v>861</v>
      </c>
    </row>
    <row r="139" spans="1:10" x14ac:dyDescent="0.3">
      <c r="A139">
        <v>48</v>
      </c>
      <c r="B139">
        <v>46415</v>
      </c>
      <c r="C139" t="s">
        <v>646</v>
      </c>
      <c r="D139" t="s">
        <v>860</v>
      </c>
      <c r="E139" t="s">
        <v>191</v>
      </c>
      <c r="F139" s="2">
        <v>12000000</v>
      </c>
      <c r="G139" s="2">
        <v>0</v>
      </c>
      <c r="H139" t="s">
        <v>784</v>
      </c>
      <c r="I139" t="s">
        <v>845</v>
      </c>
      <c r="J139" t="s">
        <v>861</v>
      </c>
    </row>
    <row r="140" spans="1:10" x14ac:dyDescent="0.3">
      <c r="A140">
        <v>48</v>
      </c>
      <c r="B140">
        <v>46415</v>
      </c>
      <c r="C140" t="s">
        <v>646</v>
      </c>
      <c r="D140" t="s">
        <v>860</v>
      </c>
      <c r="E140" t="s">
        <v>180</v>
      </c>
      <c r="F140" s="2">
        <v>0</v>
      </c>
      <c r="G140" s="2">
        <v>20000000</v>
      </c>
      <c r="H140" t="s">
        <v>784</v>
      </c>
      <c r="I140" t="s">
        <v>845</v>
      </c>
      <c r="J140" t="s">
        <v>861</v>
      </c>
    </row>
    <row r="141" spans="1:10" x14ac:dyDescent="0.3">
      <c r="A141">
        <v>48</v>
      </c>
      <c r="B141">
        <v>46415</v>
      </c>
      <c r="C141" t="s">
        <v>646</v>
      </c>
      <c r="D141" t="s">
        <v>860</v>
      </c>
      <c r="E141" t="s">
        <v>337</v>
      </c>
      <c r="F141" s="2">
        <v>0</v>
      </c>
      <c r="G141" s="2">
        <v>1100000</v>
      </c>
      <c r="H141" t="s">
        <v>787</v>
      </c>
      <c r="I141" t="s">
        <v>845</v>
      </c>
      <c r="J141" t="s">
        <v>788</v>
      </c>
    </row>
    <row r="142" spans="1:10" x14ac:dyDescent="0.3">
      <c r="A142">
        <v>48</v>
      </c>
      <c r="B142">
        <v>46415</v>
      </c>
      <c r="C142" t="s">
        <v>646</v>
      </c>
      <c r="D142" t="s">
        <v>860</v>
      </c>
      <c r="E142" t="s">
        <v>266</v>
      </c>
      <c r="F142" s="2">
        <v>0</v>
      </c>
      <c r="G142" s="2">
        <v>2000000</v>
      </c>
      <c r="H142" t="s">
        <v>784</v>
      </c>
      <c r="I142" t="s">
        <v>845</v>
      </c>
      <c r="J142" t="s">
        <v>861</v>
      </c>
    </row>
    <row r="143" spans="1:10" x14ac:dyDescent="0.3">
      <c r="A143">
        <v>49</v>
      </c>
      <c r="B143">
        <v>46415</v>
      </c>
      <c r="C143" t="s">
        <v>650</v>
      </c>
      <c r="D143" t="s">
        <v>138</v>
      </c>
      <c r="E143" t="s">
        <v>227</v>
      </c>
      <c r="F143" s="2">
        <v>20000000</v>
      </c>
      <c r="G143" s="2">
        <v>0</v>
      </c>
      <c r="H143" t="s">
        <v>780</v>
      </c>
      <c r="I143" t="s">
        <v>845</v>
      </c>
      <c r="J143" t="s">
        <v>862</v>
      </c>
    </row>
    <row r="144" spans="1:10" x14ac:dyDescent="0.3">
      <c r="A144">
        <v>49</v>
      </c>
      <c r="B144">
        <v>46415</v>
      </c>
      <c r="C144" t="s">
        <v>650</v>
      </c>
      <c r="D144" t="s">
        <v>138</v>
      </c>
      <c r="E144" t="s">
        <v>305</v>
      </c>
      <c r="F144" s="2">
        <v>2000000</v>
      </c>
      <c r="G144" s="2">
        <v>0</v>
      </c>
      <c r="H144" t="s">
        <v>787</v>
      </c>
      <c r="I144" t="s">
        <v>845</v>
      </c>
      <c r="J144" t="s">
        <v>862</v>
      </c>
    </row>
    <row r="145" spans="1:10" x14ac:dyDescent="0.3">
      <c r="A145">
        <v>49</v>
      </c>
      <c r="B145">
        <v>46415</v>
      </c>
      <c r="C145" t="s">
        <v>650</v>
      </c>
      <c r="D145" t="s">
        <v>138</v>
      </c>
      <c r="E145" t="s">
        <v>138</v>
      </c>
      <c r="F145" s="2">
        <v>0</v>
      </c>
      <c r="G145" s="2">
        <v>22000000</v>
      </c>
      <c r="H145" t="s">
        <v>780</v>
      </c>
      <c r="I145" t="s">
        <v>845</v>
      </c>
      <c r="J145" t="s">
        <v>862</v>
      </c>
    </row>
    <row r="146" spans="1:10" x14ac:dyDescent="0.3">
      <c r="A146">
        <v>50</v>
      </c>
      <c r="B146">
        <v>46416</v>
      </c>
      <c r="C146" t="s">
        <v>654</v>
      </c>
      <c r="D146" t="s">
        <v>779</v>
      </c>
      <c r="E146" t="s">
        <v>242</v>
      </c>
      <c r="F146" s="2">
        <v>15000000</v>
      </c>
      <c r="G146" s="2">
        <v>0</v>
      </c>
      <c r="H146" t="s">
        <v>780</v>
      </c>
      <c r="I146" t="s">
        <v>845</v>
      </c>
      <c r="J146" t="s">
        <v>863</v>
      </c>
    </row>
    <row r="147" spans="1:10" x14ac:dyDescent="0.3">
      <c r="A147">
        <v>50</v>
      </c>
      <c r="B147">
        <v>46416</v>
      </c>
      <c r="C147" t="s">
        <v>654</v>
      </c>
      <c r="D147" t="s">
        <v>779</v>
      </c>
      <c r="E147" t="s">
        <v>236</v>
      </c>
      <c r="F147" s="2">
        <v>0</v>
      </c>
      <c r="G147" s="2">
        <v>15000000</v>
      </c>
      <c r="H147" t="s">
        <v>780</v>
      </c>
      <c r="I147" t="s">
        <v>845</v>
      </c>
      <c r="J147" t="s">
        <v>863</v>
      </c>
    </row>
    <row r="148" spans="1:10" x14ac:dyDescent="0.3">
      <c r="A148">
        <v>51</v>
      </c>
      <c r="B148">
        <v>46416</v>
      </c>
      <c r="C148" t="s">
        <v>658</v>
      </c>
      <c r="D148" t="s">
        <v>779</v>
      </c>
      <c r="E148" t="s">
        <v>236</v>
      </c>
      <c r="F148" s="2">
        <v>15000000</v>
      </c>
      <c r="G148" s="2">
        <v>0</v>
      </c>
      <c r="H148" t="s">
        <v>780</v>
      </c>
      <c r="I148" t="s">
        <v>845</v>
      </c>
      <c r="J148" t="s">
        <v>864</v>
      </c>
    </row>
    <row r="149" spans="1:10" x14ac:dyDescent="0.3">
      <c r="A149">
        <v>51</v>
      </c>
      <c r="B149">
        <v>46416</v>
      </c>
      <c r="C149" t="s">
        <v>658</v>
      </c>
      <c r="D149" t="s">
        <v>779</v>
      </c>
      <c r="E149" t="s">
        <v>138</v>
      </c>
      <c r="F149" s="2">
        <v>0</v>
      </c>
      <c r="G149" s="2">
        <v>15000000</v>
      </c>
      <c r="H149" t="s">
        <v>780</v>
      </c>
      <c r="I149" t="s">
        <v>845</v>
      </c>
      <c r="J149" t="s">
        <v>864</v>
      </c>
    </row>
    <row r="150" spans="1:10" x14ac:dyDescent="0.3">
      <c r="A150">
        <v>52</v>
      </c>
      <c r="B150">
        <v>46417</v>
      </c>
      <c r="C150" t="s">
        <v>662</v>
      </c>
      <c r="D150" t="s">
        <v>821</v>
      </c>
      <c r="E150" t="s">
        <v>147</v>
      </c>
      <c r="F150" s="2">
        <v>5000000</v>
      </c>
      <c r="G150" s="2">
        <v>0</v>
      </c>
      <c r="H150" t="s">
        <v>784</v>
      </c>
      <c r="I150" t="s">
        <v>845</v>
      </c>
      <c r="J150" t="s">
        <v>865</v>
      </c>
    </row>
    <row r="151" spans="1:10" x14ac:dyDescent="0.3">
      <c r="A151">
        <v>52</v>
      </c>
      <c r="B151">
        <v>46417</v>
      </c>
      <c r="C151" t="s">
        <v>662</v>
      </c>
      <c r="D151" t="s">
        <v>821</v>
      </c>
      <c r="E151" t="s">
        <v>138</v>
      </c>
      <c r="F151" s="2">
        <v>0</v>
      </c>
      <c r="G151" s="2">
        <v>5000000</v>
      </c>
      <c r="H151" t="s">
        <v>784</v>
      </c>
      <c r="I151" t="s">
        <v>845</v>
      </c>
      <c r="J151" t="s">
        <v>865</v>
      </c>
    </row>
    <row r="152" spans="1:10" x14ac:dyDescent="0.3">
      <c r="A152">
        <v>53</v>
      </c>
      <c r="B152">
        <v>46417</v>
      </c>
      <c r="C152" t="s">
        <v>666</v>
      </c>
      <c r="D152" t="s">
        <v>821</v>
      </c>
      <c r="E152" t="s">
        <v>138</v>
      </c>
      <c r="F152" s="2">
        <v>2000000</v>
      </c>
      <c r="G152" s="2">
        <v>0</v>
      </c>
      <c r="H152" t="s">
        <v>784</v>
      </c>
      <c r="I152" t="s">
        <v>845</v>
      </c>
      <c r="J152" t="s">
        <v>866</v>
      </c>
    </row>
    <row r="153" spans="1:10" x14ac:dyDescent="0.3">
      <c r="A153">
        <v>53</v>
      </c>
      <c r="B153">
        <v>46417</v>
      </c>
      <c r="C153" t="s">
        <v>666</v>
      </c>
      <c r="D153" t="s">
        <v>821</v>
      </c>
      <c r="E153" t="s">
        <v>147</v>
      </c>
      <c r="F153" s="2">
        <v>0</v>
      </c>
      <c r="G153" s="2">
        <v>2000000</v>
      </c>
      <c r="H153" t="s">
        <v>784</v>
      </c>
      <c r="I153" t="s">
        <v>845</v>
      </c>
      <c r="J153" t="s">
        <v>866</v>
      </c>
    </row>
    <row r="154" spans="1:10" x14ac:dyDescent="0.3">
      <c r="A154">
        <v>54</v>
      </c>
      <c r="B154">
        <v>46417</v>
      </c>
      <c r="C154" t="s">
        <v>670</v>
      </c>
      <c r="D154" t="s">
        <v>867</v>
      </c>
      <c r="E154" t="s">
        <v>307</v>
      </c>
      <c r="F154" s="2">
        <v>1800000</v>
      </c>
      <c r="G154" s="2">
        <v>0</v>
      </c>
      <c r="H154" t="s">
        <v>787</v>
      </c>
      <c r="I154" t="s">
        <v>845</v>
      </c>
      <c r="J154" t="s">
        <v>868</v>
      </c>
    </row>
    <row r="155" spans="1:10" x14ac:dyDescent="0.3">
      <c r="A155">
        <v>54</v>
      </c>
      <c r="B155">
        <v>46417</v>
      </c>
      <c r="C155" t="s">
        <v>670</v>
      </c>
      <c r="D155" t="s">
        <v>867</v>
      </c>
      <c r="E155" t="s">
        <v>138</v>
      </c>
      <c r="F155" s="2">
        <v>0</v>
      </c>
      <c r="G155" s="2">
        <v>1800000</v>
      </c>
      <c r="H155" t="s">
        <v>787</v>
      </c>
      <c r="I155" t="s">
        <v>845</v>
      </c>
      <c r="J155" t="s">
        <v>868</v>
      </c>
    </row>
    <row r="156" spans="1:10" x14ac:dyDescent="0.3">
      <c r="A156">
        <v>55</v>
      </c>
      <c r="B156">
        <v>46417</v>
      </c>
      <c r="C156" t="s">
        <v>674</v>
      </c>
      <c r="D156" t="s">
        <v>869</v>
      </c>
      <c r="E156" t="s">
        <v>326</v>
      </c>
      <c r="F156" s="2">
        <v>800000</v>
      </c>
      <c r="G156" s="2">
        <v>0</v>
      </c>
      <c r="H156" t="s">
        <v>787</v>
      </c>
      <c r="I156" t="s">
        <v>845</v>
      </c>
      <c r="J156" t="s">
        <v>870</v>
      </c>
    </row>
    <row r="157" spans="1:10" x14ac:dyDescent="0.3">
      <c r="A157">
        <v>55</v>
      </c>
      <c r="B157">
        <v>46417</v>
      </c>
      <c r="C157" t="s">
        <v>674</v>
      </c>
      <c r="D157" t="s">
        <v>869</v>
      </c>
      <c r="E157" t="s">
        <v>138</v>
      </c>
      <c r="F157" s="2">
        <v>0</v>
      </c>
      <c r="G157" s="2">
        <v>800000</v>
      </c>
      <c r="H157" t="s">
        <v>787</v>
      </c>
      <c r="I157" t="s">
        <v>845</v>
      </c>
      <c r="J157" t="s">
        <v>870</v>
      </c>
    </row>
    <row r="158" spans="1:10" x14ac:dyDescent="0.3">
      <c r="A158">
        <v>56</v>
      </c>
      <c r="B158">
        <v>46417</v>
      </c>
      <c r="C158" t="s">
        <v>678</v>
      </c>
      <c r="D158" t="s">
        <v>871</v>
      </c>
      <c r="E158" t="s">
        <v>173</v>
      </c>
      <c r="F158" s="2">
        <v>4800000</v>
      </c>
      <c r="G158" s="2">
        <v>0</v>
      </c>
      <c r="H158" t="s">
        <v>787</v>
      </c>
      <c r="I158" t="s">
        <v>845</v>
      </c>
      <c r="J158" t="s">
        <v>872</v>
      </c>
    </row>
    <row r="159" spans="1:10" x14ac:dyDescent="0.3">
      <c r="A159">
        <v>56</v>
      </c>
      <c r="B159">
        <v>46417</v>
      </c>
      <c r="C159" t="s">
        <v>678</v>
      </c>
      <c r="D159" t="s">
        <v>871</v>
      </c>
      <c r="E159" t="s">
        <v>138</v>
      </c>
      <c r="F159" s="2">
        <v>0</v>
      </c>
      <c r="G159" s="2">
        <v>4800000</v>
      </c>
      <c r="H159" t="s">
        <v>787</v>
      </c>
      <c r="I159" t="s">
        <v>845</v>
      </c>
      <c r="J159" t="s">
        <v>872</v>
      </c>
    </row>
    <row r="160" spans="1:10" x14ac:dyDescent="0.3">
      <c r="A160">
        <v>57</v>
      </c>
      <c r="B160">
        <v>46417</v>
      </c>
      <c r="C160" t="s">
        <v>682</v>
      </c>
      <c r="D160" t="s">
        <v>873</v>
      </c>
      <c r="E160" t="s">
        <v>322</v>
      </c>
      <c r="F160" s="2">
        <v>2000000</v>
      </c>
      <c r="G160" s="2">
        <v>0</v>
      </c>
      <c r="H160" t="s">
        <v>787</v>
      </c>
      <c r="I160" t="s">
        <v>845</v>
      </c>
      <c r="J160" t="s">
        <v>874</v>
      </c>
    </row>
    <row r="161" spans="1:10" x14ac:dyDescent="0.3">
      <c r="A161">
        <v>57</v>
      </c>
      <c r="B161">
        <v>46417</v>
      </c>
      <c r="C161" t="s">
        <v>682</v>
      </c>
      <c r="D161" t="s">
        <v>873</v>
      </c>
      <c r="E161" t="s">
        <v>138</v>
      </c>
      <c r="F161" s="2">
        <v>0</v>
      </c>
      <c r="G161" s="2">
        <v>2000000</v>
      </c>
      <c r="H161" t="s">
        <v>787</v>
      </c>
      <c r="I161" t="s">
        <v>845</v>
      </c>
      <c r="J161" t="s">
        <v>874</v>
      </c>
    </row>
    <row r="162" spans="1:10" x14ac:dyDescent="0.3">
      <c r="A162">
        <v>58</v>
      </c>
      <c r="B162">
        <v>46417</v>
      </c>
      <c r="C162" t="s">
        <v>686</v>
      </c>
      <c r="D162" t="s">
        <v>417</v>
      </c>
      <c r="E162" t="s">
        <v>324</v>
      </c>
      <c r="F162" s="2">
        <v>1500000</v>
      </c>
      <c r="G162" s="2">
        <v>0</v>
      </c>
      <c r="H162" t="s">
        <v>787</v>
      </c>
      <c r="I162" t="s">
        <v>845</v>
      </c>
      <c r="J162" t="s">
        <v>875</v>
      </c>
    </row>
    <row r="163" spans="1:10" x14ac:dyDescent="0.3">
      <c r="A163">
        <v>58</v>
      </c>
      <c r="B163">
        <v>46417</v>
      </c>
      <c r="C163" t="s">
        <v>686</v>
      </c>
      <c r="D163" t="s">
        <v>417</v>
      </c>
      <c r="E163" t="s">
        <v>155</v>
      </c>
      <c r="F163" s="2">
        <v>165000</v>
      </c>
      <c r="G163" s="2">
        <v>0</v>
      </c>
      <c r="H163" t="s">
        <v>787</v>
      </c>
      <c r="I163" t="s">
        <v>845</v>
      </c>
      <c r="J163" t="s">
        <v>788</v>
      </c>
    </row>
    <row r="164" spans="1:10" x14ac:dyDescent="0.3">
      <c r="A164">
        <v>58</v>
      </c>
      <c r="B164">
        <v>46417</v>
      </c>
      <c r="C164" t="s">
        <v>686</v>
      </c>
      <c r="D164" t="s">
        <v>417</v>
      </c>
      <c r="E164" t="s">
        <v>217</v>
      </c>
      <c r="F164" s="2">
        <v>0</v>
      </c>
      <c r="G164" s="2">
        <v>30000</v>
      </c>
      <c r="H164" t="s">
        <v>787</v>
      </c>
      <c r="I164" t="s">
        <v>845</v>
      </c>
      <c r="J164" t="s">
        <v>819</v>
      </c>
    </row>
    <row r="165" spans="1:10" x14ac:dyDescent="0.3">
      <c r="A165">
        <v>58</v>
      </c>
      <c r="B165">
        <v>46417</v>
      </c>
      <c r="C165" t="s">
        <v>686</v>
      </c>
      <c r="D165" t="s">
        <v>417</v>
      </c>
      <c r="E165" t="s">
        <v>138</v>
      </c>
      <c r="F165" s="2">
        <v>0</v>
      </c>
      <c r="G165" s="2">
        <v>1635000</v>
      </c>
      <c r="H165" t="s">
        <v>787</v>
      </c>
      <c r="I165" t="s">
        <v>845</v>
      </c>
      <c r="J165" t="s">
        <v>789</v>
      </c>
    </row>
    <row r="166" spans="1:10" x14ac:dyDescent="0.3">
      <c r="A166">
        <v>59</v>
      </c>
      <c r="B166">
        <v>46417</v>
      </c>
      <c r="C166" t="s">
        <v>690</v>
      </c>
      <c r="D166" t="s">
        <v>876</v>
      </c>
      <c r="E166" t="s">
        <v>295</v>
      </c>
      <c r="F166" s="2">
        <v>2400000</v>
      </c>
      <c r="G166" s="2">
        <v>0</v>
      </c>
      <c r="H166" t="s">
        <v>787</v>
      </c>
      <c r="I166" t="s">
        <v>845</v>
      </c>
      <c r="J166" t="s">
        <v>877</v>
      </c>
    </row>
    <row r="167" spans="1:10" x14ac:dyDescent="0.3">
      <c r="A167">
        <v>59</v>
      </c>
      <c r="B167">
        <v>46417</v>
      </c>
      <c r="C167" t="s">
        <v>690</v>
      </c>
      <c r="D167" t="s">
        <v>876</v>
      </c>
      <c r="E167" t="s">
        <v>138</v>
      </c>
      <c r="F167" s="2">
        <v>0</v>
      </c>
      <c r="G167" s="2">
        <v>2400000</v>
      </c>
      <c r="H167" t="s">
        <v>787</v>
      </c>
      <c r="I167" t="s">
        <v>845</v>
      </c>
      <c r="J167" t="s">
        <v>877</v>
      </c>
    </row>
    <row r="168" spans="1:10" x14ac:dyDescent="0.3">
      <c r="A168">
        <v>60</v>
      </c>
      <c r="B168">
        <v>46418</v>
      </c>
      <c r="C168" t="s">
        <v>693</v>
      </c>
      <c r="D168" t="s">
        <v>783</v>
      </c>
      <c r="E168" t="s">
        <v>143</v>
      </c>
      <c r="F168" s="2">
        <v>150000</v>
      </c>
      <c r="G168" s="2">
        <v>0</v>
      </c>
      <c r="H168" t="s">
        <v>787</v>
      </c>
      <c r="I168" t="s">
        <v>845</v>
      </c>
      <c r="J168" t="s">
        <v>878</v>
      </c>
    </row>
    <row r="169" spans="1:10" x14ac:dyDescent="0.3">
      <c r="A169">
        <v>60</v>
      </c>
      <c r="B169">
        <v>46418</v>
      </c>
      <c r="C169" t="s">
        <v>693</v>
      </c>
      <c r="D169" t="s">
        <v>783</v>
      </c>
      <c r="E169" t="s">
        <v>268</v>
      </c>
      <c r="F169" s="2">
        <v>0</v>
      </c>
      <c r="G169" s="2">
        <v>150000</v>
      </c>
      <c r="H169" t="s">
        <v>787</v>
      </c>
      <c r="I169" t="s">
        <v>845</v>
      </c>
      <c r="J169" t="s">
        <v>878</v>
      </c>
    </row>
    <row r="170" spans="1:10" x14ac:dyDescent="0.3">
      <c r="A170">
        <v>61</v>
      </c>
      <c r="B170">
        <v>46418</v>
      </c>
      <c r="C170" t="s">
        <v>697</v>
      </c>
      <c r="D170" t="s">
        <v>783</v>
      </c>
      <c r="E170" t="s">
        <v>328</v>
      </c>
      <c r="F170" s="2">
        <v>300000</v>
      </c>
      <c r="G170" s="2">
        <v>0</v>
      </c>
      <c r="H170" t="s">
        <v>787</v>
      </c>
      <c r="I170" t="s">
        <v>845</v>
      </c>
      <c r="J170" t="s">
        <v>879</v>
      </c>
    </row>
    <row r="171" spans="1:10" x14ac:dyDescent="0.3">
      <c r="A171">
        <v>61</v>
      </c>
      <c r="B171">
        <v>46418</v>
      </c>
      <c r="C171" t="s">
        <v>697</v>
      </c>
      <c r="D171" t="s">
        <v>783</v>
      </c>
      <c r="E171" t="s">
        <v>143</v>
      </c>
      <c r="F171" s="2">
        <v>0</v>
      </c>
      <c r="G171" s="2">
        <v>300000</v>
      </c>
      <c r="H171" t="s">
        <v>787</v>
      </c>
      <c r="I171" t="s">
        <v>845</v>
      </c>
      <c r="J171" t="s">
        <v>879</v>
      </c>
    </row>
    <row r="172" spans="1:10" x14ac:dyDescent="0.3">
      <c r="A172">
        <v>62</v>
      </c>
      <c r="B172">
        <v>46418</v>
      </c>
      <c r="C172" t="s">
        <v>701</v>
      </c>
      <c r="D172" t="s">
        <v>880</v>
      </c>
      <c r="E172" t="s">
        <v>313</v>
      </c>
      <c r="F172" s="2">
        <v>4000000</v>
      </c>
      <c r="G172" s="2">
        <v>0</v>
      </c>
      <c r="H172" t="s">
        <v>787</v>
      </c>
      <c r="I172" t="s">
        <v>845</v>
      </c>
      <c r="J172" t="s">
        <v>881</v>
      </c>
    </row>
    <row r="173" spans="1:10" x14ac:dyDescent="0.3">
      <c r="A173">
        <v>62</v>
      </c>
      <c r="B173">
        <v>46418</v>
      </c>
      <c r="C173" t="s">
        <v>701</v>
      </c>
      <c r="D173" t="s">
        <v>880</v>
      </c>
      <c r="E173" t="s">
        <v>153</v>
      </c>
      <c r="F173" s="2">
        <v>0</v>
      </c>
      <c r="G173" s="2">
        <v>4000000</v>
      </c>
      <c r="H173" t="s">
        <v>787</v>
      </c>
      <c r="I173" t="s">
        <v>845</v>
      </c>
      <c r="J173" t="s">
        <v>881</v>
      </c>
    </row>
    <row r="174" spans="1:10" x14ac:dyDescent="0.3">
      <c r="A174">
        <v>63</v>
      </c>
      <c r="B174">
        <v>46418</v>
      </c>
      <c r="C174" t="s">
        <v>705</v>
      </c>
      <c r="D174" t="s">
        <v>880</v>
      </c>
      <c r="E174" t="s">
        <v>313</v>
      </c>
      <c r="F174" s="2">
        <v>3000000</v>
      </c>
      <c r="G174" s="2">
        <v>0</v>
      </c>
      <c r="H174" t="s">
        <v>787</v>
      </c>
      <c r="I174" t="s">
        <v>845</v>
      </c>
      <c r="J174" t="s">
        <v>882</v>
      </c>
    </row>
    <row r="175" spans="1:10" x14ac:dyDescent="0.3">
      <c r="A175">
        <v>63</v>
      </c>
      <c r="B175">
        <v>46418</v>
      </c>
      <c r="C175" t="s">
        <v>705</v>
      </c>
      <c r="D175" t="s">
        <v>880</v>
      </c>
      <c r="E175" t="s">
        <v>153</v>
      </c>
      <c r="F175" s="2">
        <v>0</v>
      </c>
      <c r="G175" s="2">
        <v>3000000</v>
      </c>
      <c r="H175" t="s">
        <v>787</v>
      </c>
      <c r="I175" t="s">
        <v>845</v>
      </c>
      <c r="J175" t="s">
        <v>882</v>
      </c>
    </row>
    <row r="176" spans="1:10" x14ac:dyDescent="0.3">
      <c r="A176">
        <v>64</v>
      </c>
      <c r="B176">
        <v>46418</v>
      </c>
      <c r="C176" t="s">
        <v>708</v>
      </c>
      <c r="D176" t="s">
        <v>358</v>
      </c>
      <c r="E176" t="s">
        <v>138</v>
      </c>
      <c r="F176" s="2">
        <v>6000000</v>
      </c>
      <c r="G176" s="2">
        <v>0</v>
      </c>
      <c r="H176" t="s">
        <v>787</v>
      </c>
      <c r="I176" t="s">
        <v>845</v>
      </c>
      <c r="J176" t="s">
        <v>883</v>
      </c>
    </row>
    <row r="177" spans="1:10" x14ac:dyDescent="0.3">
      <c r="A177">
        <v>64</v>
      </c>
      <c r="B177">
        <v>46418</v>
      </c>
      <c r="C177" t="s">
        <v>708</v>
      </c>
      <c r="D177" t="s">
        <v>358</v>
      </c>
      <c r="E177" t="s">
        <v>153</v>
      </c>
      <c r="F177" s="2">
        <v>0</v>
      </c>
      <c r="G177" s="2">
        <v>6000000</v>
      </c>
      <c r="H177" t="s">
        <v>787</v>
      </c>
      <c r="I177" t="s">
        <v>845</v>
      </c>
      <c r="J177" t="s">
        <v>883</v>
      </c>
    </row>
    <row r="178" spans="1:10" x14ac:dyDescent="0.3">
      <c r="A178">
        <v>65</v>
      </c>
      <c r="B178">
        <v>46418</v>
      </c>
      <c r="C178" t="s">
        <v>712</v>
      </c>
      <c r="D178" t="s">
        <v>370</v>
      </c>
      <c r="E178" t="s">
        <v>259</v>
      </c>
      <c r="F178" s="2">
        <v>4000000</v>
      </c>
      <c r="G178" s="2">
        <v>0</v>
      </c>
      <c r="H178" t="s">
        <v>787</v>
      </c>
      <c r="I178" t="s">
        <v>845</v>
      </c>
      <c r="J178" t="s">
        <v>884</v>
      </c>
    </row>
    <row r="179" spans="1:10" x14ac:dyDescent="0.3">
      <c r="A179">
        <v>65</v>
      </c>
      <c r="B179">
        <v>46418</v>
      </c>
      <c r="C179" t="s">
        <v>712</v>
      </c>
      <c r="D179" t="s">
        <v>370</v>
      </c>
      <c r="E179" t="s">
        <v>337</v>
      </c>
      <c r="F179" s="2">
        <v>440000</v>
      </c>
      <c r="G179" s="2">
        <v>0</v>
      </c>
      <c r="H179" t="s">
        <v>787</v>
      </c>
      <c r="I179" t="s">
        <v>845</v>
      </c>
      <c r="J179" t="s">
        <v>885</v>
      </c>
    </row>
    <row r="180" spans="1:10" x14ac:dyDescent="0.3">
      <c r="A180">
        <v>65</v>
      </c>
      <c r="B180">
        <v>46418</v>
      </c>
      <c r="C180" t="s">
        <v>712</v>
      </c>
      <c r="D180" t="s">
        <v>370</v>
      </c>
      <c r="E180" t="s">
        <v>145</v>
      </c>
      <c r="F180" s="2">
        <v>0</v>
      </c>
      <c r="G180" s="2">
        <v>4440000</v>
      </c>
      <c r="H180" t="s">
        <v>787</v>
      </c>
      <c r="I180" t="s">
        <v>845</v>
      </c>
      <c r="J180" t="s">
        <v>885</v>
      </c>
    </row>
    <row r="181" spans="1:10" x14ac:dyDescent="0.3">
      <c r="A181">
        <v>66</v>
      </c>
      <c r="B181">
        <v>46418</v>
      </c>
      <c r="C181" t="s">
        <v>716</v>
      </c>
      <c r="D181" t="s">
        <v>370</v>
      </c>
      <c r="E181" t="s">
        <v>138</v>
      </c>
      <c r="F181" s="2">
        <v>90000000</v>
      </c>
      <c r="G181" s="2">
        <v>0</v>
      </c>
      <c r="H181" t="s">
        <v>787</v>
      </c>
      <c r="I181" t="s">
        <v>845</v>
      </c>
      <c r="J181" t="s">
        <v>886</v>
      </c>
    </row>
    <row r="182" spans="1:10" x14ac:dyDescent="0.3">
      <c r="A182">
        <v>66</v>
      </c>
      <c r="B182">
        <v>46418</v>
      </c>
      <c r="C182" t="s">
        <v>716</v>
      </c>
      <c r="D182" t="s">
        <v>370</v>
      </c>
      <c r="E182" t="s">
        <v>145</v>
      </c>
      <c r="F182" s="2">
        <v>0</v>
      </c>
      <c r="G182" s="2">
        <v>90000000</v>
      </c>
      <c r="H182" t="s">
        <v>787</v>
      </c>
      <c r="I182" t="s">
        <v>845</v>
      </c>
      <c r="J182" t="s">
        <v>886</v>
      </c>
    </row>
    <row r="183" spans="1:10" x14ac:dyDescent="0.3">
      <c r="A183">
        <v>67</v>
      </c>
      <c r="B183">
        <v>46418</v>
      </c>
      <c r="C183" t="s">
        <v>719</v>
      </c>
      <c r="D183" t="s">
        <v>387</v>
      </c>
      <c r="E183" t="s">
        <v>153</v>
      </c>
      <c r="F183" s="2">
        <v>30000000</v>
      </c>
      <c r="G183" s="2">
        <v>0</v>
      </c>
      <c r="H183" t="s">
        <v>787</v>
      </c>
      <c r="I183" t="s">
        <v>845</v>
      </c>
      <c r="J183" t="s">
        <v>887</v>
      </c>
    </row>
    <row r="184" spans="1:10" x14ac:dyDescent="0.3">
      <c r="A184">
        <v>67</v>
      </c>
      <c r="B184">
        <v>46418</v>
      </c>
      <c r="C184" t="s">
        <v>719</v>
      </c>
      <c r="D184" t="s">
        <v>387</v>
      </c>
      <c r="E184" t="s">
        <v>155</v>
      </c>
      <c r="F184" s="2">
        <v>3300000</v>
      </c>
      <c r="G184" s="2">
        <v>0</v>
      </c>
      <c r="H184" t="s">
        <v>787</v>
      </c>
      <c r="I184" t="s">
        <v>845</v>
      </c>
      <c r="J184" t="s">
        <v>788</v>
      </c>
    </row>
    <row r="185" spans="1:10" x14ac:dyDescent="0.3">
      <c r="A185">
        <v>67</v>
      </c>
      <c r="B185">
        <v>46418</v>
      </c>
      <c r="C185" t="s">
        <v>719</v>
      </c>
      <c r="D185" t="s">
        <v>387</v>
      </c>
      <c r="E185" t="s">
        <v>138</v>
      </c>
      <c r="F185" s="2">
        <v>0</v>
      </c>
      <c r="G185" s="2">
        <v>32301000</v>
      </c>
      <c r="H185" t="s">
        <v>787</v>
      </c>
      <c r="I185" t="s">
        <v>845</v>
      </c>
      <c r="J185" t="s">
        <v>789</v>
      </c>
    </row>
    <row r="186" spans="1:10" x14ac:dyDescent="0.3">
      <c r="A186">
        <v>67</v>
      </c>
      <c r="B186">
        <v>46418</v>
      </c>
      <c r="C186" t="s">
        <v>719</v>
      </c>
      <c r="D186" t="s">
        <v>387</v>
      </c>
      <c r="E186" t="s">
        <v>153</v>
      </c>
      <c r="F186" s="2">
        <v>0</v>
      </c>
      <c r="G186" s="2">
        <v>900000</v>
      </c>
      <c r="H186" t="s">
        <v>787</v>
      </c>
      <c r="I186" t="s">
        <v>845</v>
      </c>
      <c r="J186" t="s">
        <v>833</v>
      </c>
    </row>
    <row r="187" spans="1:10" x14ac:dyDescent="0.3">
      <c r="A187">
        <v>67</v>
      </c>
      <c r="B187">
        <v>46418</v>
      </c>
      <c r="C187" t="s">
        <v>719</v>
      </c>
      <c r="D187" t="s">
        <v>387</v>
      </c>
      <c r="E187" t="s">
        <v>155</v>
      </c>
      <c r="F187" s="2">
        <v>0</v>
      </c>
      <c r="G187" s="2">
        <v>99000</v>
      </c>
      <c r="H187" t="s">
        <v>787</v>
      </c>
      <c r="I187" t="s">
        <v>845</v>
      </c>
      <c r="J187" t="s">
        <v>833</v>
      </c>
    </row>
    <row r="188" spans="1:10" x14ac:dyDescent="0.3">
      <c r="A188">
        <v>68</v>
      </c>
      <c r="B188">
        <v>46418</v>
      </c>
      <c r="C188" t="s">
        <v>723</v>
      </c>
      <c r="D188" t="s">
        <v>355</v>
      </c>
      <c r="E188" t="s">
        <v>138</v>
      </c>
      <c r="F188" s="2">
        <v>32634000</v>
      </c>
      <c r="G188" s="2">
        <v>0</v>
      </c>
      <c r="H188" t="s">
        <v>787</v>
      </c>
      <c r="I188" t="s">
        <v>845</v>
      </c>
      <c r="J188" t="s">
        <v>888</v>
      </c>
    </row>
    <row r="189" spans="1:10" x14ac:dyDescent="0.3">
      <c r="A189">
        <v>68</v>
      </c>
      <c r="B189">
        <v>46418</v>
      </c>
      <c r="C189" t="s">
        <v>723</v>
      </c>
      <c r="D189" t="s">
        <v>355</v>
      </c>
      <c r="E189" t="s">
        <v>259</v>
      </c>
      <c r="F189" s="2">
        <v>600000</v>
      </c>
      <c r="G189" s="2">
        <v>0</v>
      </c>
      <c r="H189" t="s">
        <v>787</v>
      </c>
      <c r="I189" t="s">
        <v>845</v>
      </c>
      <c r="J189" t="s">
        <v>885</v>
      </c>
    </row>
    <row r="190" spans="1:10" x14ac:dyDescent="0.3">
      <c r="A190">
        <v>68</v>
      </c>
      <c r="B190">
        <v>46418</v>
      </c>
      <c r="C190" t="s">
        <v>723</v>
      </c>
      <c r="D190" t="s">
        <v>355</v>
      </c>
      <c r="E190" t="s">
        <v>337</v>
      </c>
      <c r="F190" s="2">
        <v>66000</v>
      </c>
      <c r="G190" s="2">
        <v>0</v>
      </c>
      <c r="H190" t="s">
        <v>787</v>
      </c>
      <c r="I190" t="s">
        <v>845</v>
      </c>
      <c r="J190" t="s">
        <v>885</v>
      </c>
    </row>
    <row r="191" spans="1:10" x14ac:dyDescent="0.3">
      <c r="A191">
        <v>68</v>
      </c>
      <c r="B191">
        <v>46418</v>
      </c>
      <c r="C191" t="s">
        <v>723</v>
      </c>
      <c r="D191" t="s">
        <v>355</v>
      </c>
      <c r="E191" t="s">
        <v>145</v>
      </c>
      <c r="F191" s="2">
        <v>0</v>
      </c>
      <c r="G191" s="2">
        <v>33300000</v>
      </c>
      <c r="H191" t="s">
        <v>787</v>
      </c>
      <c r="I191" t="s">
        <v>845</v>
      </c>
      <c r="J191" t="s">
        <v>888</v>
      </c>
    </row>
    <row r="192" spans="1:10" x14ac:dyDescent="0.3">
      <c r="A192">
        <v>69</v>
      </c>
      <c r="B192">
        <v>46418</v>
      </c>
      <c r="C192" t="s">
        <v>727</v>
      </c>
      <c r="D192" t="s">
        <v>358</v>
      </c>
      <c r="E192" t="s">
        <v>138</v>
      </c>
      <c r="F192" s="2">
        <v>1000000</v>
      </c>
      <c r="G192" s="2">
        <v>0</v>
      </c>
      <c r="H192" t="s">
        <v>787</v>
      </c>
      <c r="I192" t="s">
        <v>845</v>
      </c>
      <c r="J192" t="s">
        <v>889</v>
      </c>
    </row>
    <row r="193" spans="1:10" x14ac:dyDescent="0.3">
      <c r="A193">
        <v>69</v>
      </c>
      <c r="B193">
        <v>46418</v>
      </c>
      <c r="C193" t="s">
        <v>727</v>
      </c>
      <c r="D193" t="s">
        <v>358</v>
      </c>
      <c r="E193" t="s">
        <v>153</v>
      </c>
      <c r="F193" s="2">
        <v>0</v>
      </c>
      <c r="G193" s="2">
        <v>1000000</v>
      </c>
      <c r="H193" t="s">
        <v>787</v>
      </c>
      <c r="I193" t="s">
        <v>845</v>
      </c>
      <c r="J193" t="s">
        <v>889</v>
      </c>
    </row>
    <row r="194" spans="1:10" x14ac:dyDescent="0.3">
      <c r="A194">
        <v>70</v>
      </c>
      <c r="B194">
        <v>46418</v>
      </c>
      <c r="C194" t="s">
        <v>731</v>
      </c>
      <c r="D194" t="s">
        <v>402</v>
      </c>
      <c r="E194" t="s">
        <v>169</v>
      </c>
      <c r="F194" s="2">
        <v>3000000</v>
      </c>
      <c r="G194" s="2">
        <v>0</v>
      </c>
      <c r="H194" t="s">
        <v>787</v>
      </c>
      <c r="I194" t="s">
        <v>845</v>
      </c>
      <c r="J194" t="s">
        <v>890</v>
      </c>
    </row>
    <row r="195" spans="1:10" x14ac:dyDescent="0.3">
      <c r="A195">
        <v>70</v>
      </c>
      <c r="B195">
        <v>46418</v>
      </c>
      <c r="C195" t="s">
        <v>731</v>
      </c>
      <c r="D195" t="s">
        <v>402</v>
      </c>
      <c r="E195" t="s">
        <v>155</v>
      </c>
      <c r="F195" s="2">
        <v>330000</v>
      </c>
      <c r="G195" s="2">
        <v>0</v>
      </c>
      <c r="H195" t="s">
        <v>787</v>
      </c>
      <c r="I195" t="s">
        <v>845</v>
      </c>
      <c r="J195" t="s">
        <v>788</v>
      </c>
    </row>
    <row r="196" spans="1:10" x14ac:dyDescent="0.3">
      <c r="A196">
        <v>70</v>
      </c>
      <c r="B196">
        <v>46418</v>
      </c>
      <c r="C196" t="s">
        <v>731</v>
      </c>
      <c r="D196" t="s">
        <v>402</v>
      </c>
      <c r="E196" t="s">
        <v>197</v>
      </c>
      <c r="F196" s="2">
        <v>0</v>
      </c>
      <c r="G196" s="2">
        <v>3330000</v>
      </c>
      <c r="H196" t="s">
        <v>787</v>
      </c>
      <c r="I196" t="s">
        <v>845</v>
      </c>
      <c r="J196" t="s">
        <v>890</v>
      </c>
    </row>
    <row r="197" spans="1:10" x14ac:dyDescent="0.3">
      <c r="A197">
        <v>71</v>
      </c>
      <c r="B197">
        <v>46418</v>
      </c>
      <c r="C197" t="s">
        <v>735</v>
      </c>
      <c r="D197" t="s">
        <v>402</v>
      </c>
      <c r="E197" t="s">
        <v>197</v>
      </c>
      <c r="F197" s="2">
        <v>3330000</v>
      </c>
      <c r="G197" s="2">
        <v>0</v>
      </c>
      <c r="H197" t="s">
        <v>787</v>
      </c>
      <c r="I197" t="s">
        <v>845</v>
      </c>
      <c r="J197" t="s">
        <v>891</v>
      </c>
    </row>
    <row r="198" spans="1:10" x14ac:dyDescent="0.3">
      <c r="A198">
        <v>71</v>
      </c>
      <c r="B198">
        <v>46418</v>
      </c>
      <c r="C198" t="s">
        <v>735</v>
      </c>
      <c r="D198" t="s">
        <v>402</v>
      </c>
      <c r="E198" t="s">
        <v>138</v>
      </c>
      <c r="F198" s="2">
        <v>0</v>
      </c>
      <c r="G198" s="2">
        <v>3330000</v>
      </c>
      <c r="H198" t="s">
        <v>787</v>
      </c>
      <c r="I198" t="s">
        <v>845</v>
      </c>
      <c r="J198" t="s">
        <v>891</v>
      </c>
    </row>
    <row r="199" spans="1:10" x14ac:dyDescent="0.3">
      <c r="A199">
        <v>72</v>
      </c>
      <c r="B199">
        <v>46418</v>
      </c>
      <c r="C199" t="s">
        <v>737</v>
      </c>
      <c r="D199" t="s">
        <v>138</v>
      </c>
      <c r="E199" t="s">
        <v>138</v>
      </c>
      <c r="F199" s="2">
        <v>50000000</v>
      </c>
      <c r="G199" s="2">
        <v>0</v>
      </c>
      <c r="H199" t="s">
        <v>780</v>
      </c>
      <c r="I199" t="s">
        <v>845</v>
      </c>
      <c r="J199" t="s">
        <v>892</v>
      </c>
    </row>
    <row r="200" spans="1:10" x14ac:dyDescent="0.3">
      <c r="A200">
        <v>72</v>
      </c>
      <c r="B200">
        <v>46418</v>
      </c>
      <c r="C200" t="s">
        <v>737</v>
      </c>
      <c r="D200" t="s">
        <v>138</v>
      </c>
      <c r="E200" t="s">
        <v>225</v>
      </c>
      <c r="F200" s="2">
        <v>0</v>
      </c>
      <c r="G200" s="2">
        <v>50000000</v>
      </c>
      <c r="H200" t="s">
        <v>780</v>
      </c>
      <c r="I200" t="s">
        <v>845</v>
      </c>
      <c r="J200" t="s">
        <v>892</v>
      </c>
    </row>
    <row r="201" spans="1:10" x14ac:dyDescent="0.3">
      <c r="A201">
        <v>73</v>
      </c>
      <c r="B201">
        <v>46418</v>
      </c>
      <c r="C201" t="s">
        <v>741</v>
      </c>
      <c r="D201" t="s">
        <v>138</v>
      </c>
      <c r="E201" t="s">
        <v>225</v>
      </c>
      <c r="F201" s="2">
        <v>10000000</v>
      </c>
      <c r="G201" s="2">
        <v>0</v>
      </c>
      <c r="H201" t="s">
        <v>780</v>
      </c>
      <c r="I201" t="s">
        <v>845</v>
      </c>
      <c r="J201" t="s">
        <v>893</v>
      </c>
    </row>
    <row r="202" spans="1:10" x14ac:dyDescent="0.3">
      <c r="A202">
        <v>73</v>
      </c>
      <c r="B202">
        <v>46418</v>
      </c>
      <c r="C202" t="s">
        <v>741</v>
      </c>
      <c r="D202" t="s">
        <v>138</v>
      </c>
      <c r="E202" t="s">
        <v>305</v>
      </c>
      <c r="F202" s="2">
        <v>1000000</v>
      </c>
      <c r="G202" s="2">
        <v>0</v>
      </c>
      <c r="H202" t="s">
        <v>787</v>
      </c>
      <c r="I202" t="s">
        <v>845</v>
      </c>
      <c r="J202" t="s">
        <v>893</v>
      </c>
    </row>
    <row r="203" spans="1:10" x14ac:dyDescent="0.3">
      <c r="A203">
        <v>73</v>
      </c>
      <c r="B203">
        <v>46418</v>
      </c>
      <c r="C203" t="s">
        <v>741</v>
      </c>
      <c r="D203" t="s">
        <v>138</v>
      </c>
      <c r="E203" t="s">
        <v>138</v>
      </c>
      <c r="F203" s="2">
        <v>0</v>
      </c>
      <c r="G203" s="2">
        <v>11000000</v>
      </c>
      <c r="H203" t="s">
        <v>780</v>
      </c>
      <c r="I203" t="s">
        <v>845</v>
      </c>
      <c r="J203" t="s">
        <v>893</v>
      </c>
    </row>
    <row r="204" spans="1:10" x14ac:dyDescent="0.3">
      <c r="A204">
        <v>74</v>
      </c>
      <c r="B204">
        <v>46418</v>
      </c>
      <c r="C204" t="s">
        <v>744</v>
      </c>
      <c r="D204" t="s">
        <v>138</v>
      </c>
      <c r="E204" t="s">
        <v>213</v>
      </c>
      <c r="F204" s="2">
        <v>1000000</v>
      </c>
      <c r="G204" s="2">
        <v>0</v>
      </c>
      <c r="H204" t="s">
        <v>787</v>
      </c>
      <c r="I204" t="s">
        <v>845</v>
      </c>
      <c r="J204" t="s">
        <v>894</v>
      </c>
    </row>
    <row r="205" spans="1:10" x14ac:dyDescent="0.3">
      <c r="A205">
        <v>74</v>
      </c>
      <c r="B205">
        <v>46418</v>
      </c>
      <c r="C205" t="s">
        <v>744</v>
      </c>
      <c r="D205" t="s">
        <v>138</v>
      </c>
      <c r="E205" t="s">
        <v>217</v>
      </c>
      <c r="F205" s="2">
        <v>190000</v>
      </c>
      <c r="G205" s="2">
        <v>0</v>
      </c>
      <c r="H205" t="s">
        <v>787</v>
      </c>
      <c r="I205" t="s">
        <v>845</v>
      </c>
      <c r="J205" t="s">
        <v>894</v>
      </c>
    </row>
    <row r="206" spans="1:10" x14ac:dyDescent="0.3">
      <c r="A206">
        <v>74</v>
      </c>
      <c r="B206">
        <v>46418</v>
      </c>
      <c r="C206" t="s">
        <v>744</v>
      </c>
      <c r="D206" t="s">
        <v>138</v>
      </c>
      <c r="E206" t="s">
        <v>219</v>
      </c>
      <c r="F206" s="2">
        <v>2000000</v>
      </c>
      <c r="G206" s="2">
        <v>0</v>
      </c>
      <c r="H206" t="s">
        <v>787</v>
      </c>
      <c r="I206" t="s">
        <v>845</v>
      </c>
      <c r="J206" t="s">
        <v>894</v>
      </c>
    </row>
    <row r="207" spans="1:10" x14ac:dyDescent="0.3">
      <c r="A207">
        <v>74</v>
      </c>
      <c r="B207">
        <v>46418</v>
      </c>
      <c r="C207" t="s">
        <v>744</v>
      </c>
      <c r="D207" t="s">
        <v>138</v>
      </c>
      <c r="E207" t="s">
        <v>138</v>
      </c>
      <c r="F207" s="2">
        <v>0</v>
      </c>
      <c r="G207" s="2">
        <v>3190000</v>
      </c>
      <c r="H207" t="s">
        <v>787</v>
      </c>
      <c r="I207" t="s">
        <v>845</v>
      </c>
      <c r="J207" t="s">
        <v>894</v>
      </c>
    </row>
    <row r="208" spans="1:10" x14ac:dyDescent="0.3">
      <c r="A208">
        <v>75</v>
      </c>
      <c r="B208">
        <v>46418</v>
      </c>
      <c r="C208" t="s">
        <v>748</v>
      </c>
      <c r="D208" t="s">
        <v>824</v>
      </c>
      <c r="E208" t="s">
        <v>209</v>
      </c>
      <c r="F208" s="2">
        <v>2500000</v>
      </c>
      <c r="G208" s="2">
        <v>0</v>
      </c>
      <c r="H208" t="s">
        <v>787</v>
      </c>
      <c r="I208" t="s">
        <v>845</v>
      </c>
      <c r="J208" t="s">
        <v>895</v>
      </c>
    </row>
    <row r="209" spans="1:10" x14ac:dyDescent="0.3">
      <c r="A209">
        <v>75</v>
      </c>
      <c r="B209">
        <v>46418</v>
      </c>
      <c r="C209" t="s">
        <v>748</v>
      </c>
      <c r="D209" t="s">
        <v>824</v>
      </c>
      <c r="E209" t="s">
        <v>138</v>
      </c>
      <c r="F209" s="2">
        <v>0</v>
      </c>
      <c r="G209" s="2">
        <v>2500000</v>
      </c>
      <c r="H209" t="s">
        <v>787</v>
      </c>
      <c r="I209" t="s">
        <v>845</v>
      </c>
      <c r="J209" t="s">
        <v>895</v>
      </c>
    </row>
    <row r="210" spans="1:10" x14ac:dyDescent="0.3">
      <c r="A210">
        <v>76</v>
      </c>
      <c r="B210">
        <v>46418</v>
      </c>
      <c r="C210" t="s">
        <v>752</v>
      </c>
      <c r="D210" t="s">
        <v>810</v>
      </c>
      <c r="E210" t="s">
        <v>165</v>
      </c>
      <c r="F210" s="2">
        <v>12000000</v>
      </c>
      <c r="G210" s="2">
        <v>0</v>
      </c>
      <c r="H210" t="s">
        <v>787</v>
      </c>
      <c r="I210" t="s">
        <v>845</v>
      </c>
      <c r="J210" t="s">
        <v>896</v>
      </c>
    </row>
    <row r="211" spans="1:10" x14ac:dyDescent="0.3">
      <c r="A211">
        <v>76</v>
      </c>
      <c r="B211">
        <v>46418</v>
      </c>
      <c r="C211" t="s">
        <v>752</v>
      </c>
      <c r="D211" t="s">
        <v>810</v>
      </c>
      <c r="E211" t="s">
        <v>138</v>
      </c>
      <c r="F211" s="2">
        <v>0</v>
      </c>
      <c r="G211" s="2">
        <v>12000000</v>
      </c>
      <c r="H211" t="s">
        <v>787</v>
      </c>
      <c r="I211" t="s">
        <v>845</v>
      </c>
      <c r="J211" t="s">
        <v>896</v>
      </c>
    </row>
    <row r="212" spans="1:10" x14ac:dyDescent="0.3">
      <c r="A212">
        <v>77</v>
      </c>
      <c r="B212">
        <v>46418</v>
      </c>
      <c r="C212" t="s">
        <v>755</v>
      </c>
      <c r="D212" t="s">
        <v>897</v>
      </c>
      <c r="E212" t="s">
        <v>175</v>
      </c>
      <c r="F212" s="2">
        <v>12000000</v>
      </c>
      <c r="G212" s="2">
        <v>0</v>
      </c>
      <c r="H212" t="s">
        <v>787</v>
      </c>
      <c r="I212" t="s">
        <v>845</v>
      </c>
      <c r="J212" t="s">
        <v>898</v>
      </c>
    </row>
    <row r="213" spans="1:10" x14ac:dyDescent="0.3">
      <c r="A213">
        <v>77</v>
      </c>
      <c r="B213">
        <v>46418</v>
      </c>
      <c r="C213" t="s">
        <v>755</v>
      </c>
      <c r="D213" t="s">
        <v>897</v>
      </c>
      <c r="E213" t="s">
        <v>138</v>
      </c>
      <c r="F213" s="2">
        <v>0</v>
      </c>
      <c r="G213" s="2">
        <v>12000000</v>
      </c>
      <c r="H213" t="s">
        <v>787</v>
      </c>
      <c r="I213" t="s">
        <v>845</v>
      </c>
      <c r="J213" t="s">
        <v>898</v>
      </c>
    </row>
    <row r="214" spans="1:10" x14ac:dyDescent="0.3">
      <c r="A214">
        <v>78</v>
      </c>
      <c r="B214">
        <v>46418</v>
      </c>
      <c r="C214" t="s">
        <v>759</v>
      </c>
      <c r="D214" t="s">
        <v>860</v>
      </c>
      <c r="E214" t="s">
        <v>138</v>
      </c>
      <c r="F214" s="2">
        <v>2220000</v>
      </c>
      <c r="G214" s="2">
        <v>0</v>
      </c>
      <c r="H214" t="s">
        <v>784</v>
      </c>
      <c r="I214" t="s">
        <v>845</v>
      </c>
      <c r="J214" t="s">
        <v>899</v>
      </c>
    </row>
    <row r="215" spans="1:10" x14ac:dyDescent="0.3">
      <c r="A215">
        <v>78</v>
      </c>
      <c r="B215">
        <v>46418</v>
      </c>
      <c r="C215" t="s">
        <v>759</v>
      </c>
      <c r="D215" t="s">
        <v>860</v>
      </c>
      <c r="E215" t="s">
        <v>186</v>
      </c>
      <c r="F215" s="2">
        <v>7000000</v>
      </c>
      <c r="G215" s="2">
        <v>0</v>
      </c>
      <c r="H215" t="s">
        <v>784</v>
      </c>
      <c r="I215" t="s">
        <v>845</v>
      </c>
      <c r="J215" t="s">
        <v>899</v>
      </c>
    </row>
    <row r="216" spans="1:10" x14ac:dyDescent="0.3">
      <c r="A216">
        <v>78</v>
      </c>
      <c r="B216">
        <v>46418</v>
      </c>
      <c r="C216" t="s">
        <v>759</v>
      </c>
      <c r="D216" t="s">
        <v>860</v>
      </c>
      <c r="E216" t="s">
        <v>330</v>
      </c>
      <c r="F216" s="2">
        <v>1000000</v>
      </c>
      <c r="G216" s="2">
        <v>0</v>
      </c>
      <c r="H216" t="s">
        <v>784</v>
      </c>
      <c r="I216" t="s">
        <v>845</v>
      </c>
      <c r="J216" t="s">
        <v>899</v>
      </c>
    </row>
    <row r="217" spans="1:10" x14ac:dyDescent="0.3">
      <c r="A217">
        <v>78</v>
      </c>
      <c r="B217">
        <v>46418</v>
      </c>
      <c r="C217" t="s">
        <v>759</v>
      </c>
      <c r="D217" t="s">
        <v>860</v>
      </c>
      <c r="E217" t="s">
        <v>177</v>
      </c>
      <c r="F217" s="2">
        <v>0</v>
      </c>
      <c r="G217" s="2">
        <v>10000000</v>
      </c>
      <c r="H217" t="s">
        <v>784</v>
      </c>
      <c r="I217" t="s">
        <v>845</v>
      </c>
      <c r="J217" t="s">
        <v>899</v>
      </c>
    </row>
    <row r="218" spans="1:10" x14ac:dyDescent="0.3">
      <c r="A218">
        <v>78</v>
      </c>
      <c r="B218">
        <v>46418</v>
      </c>
      <c r="C218" t="s">
        <v>759</v>
      </c>
      <c r="D218" t="s">
        <v>860</v>
      </c>
      <c r="E218" t="s">
        <v>337</v>
      </c>
      <c r="F218" s="2">
        <v>0</v>
      </c>
      <c r="G218" s="2">
        <v>220000</v>
      </c>
      <c r="H218" t="s">
        <v>787</v>
      </c>
      <c r="I218" t="s">
        <v>845</v>
      </c>
      <c r="J218" t="s">
        <v>788</v>
      </c>
    </row>
    <row r="219" spans="1:10" x14ac:dyDescent="0.3">
      <c r="A219">
        <v>79</v>
      </c>
      <c r="B219">
        <v>46418</v>
      </c>
      <c r="C219" t="s">
        <v>763</v>
      </c>
      <c r="D219" t="s">
        <v>384</v>
      </c>
      <c r="E219" t="s">
        <v>138</v>
      </c>
      <c r="F219" s="2">
        <v>29970000</v>
      </c>
      <c r="G219" s="2">
        <v>0</v>
      </c>
      <c r="H219" t="s">
        <v>787</v>
      </c>
      <c r="I219" t="s">
        <v>845</v>
      </c>
      <c r="J219" t="s">
        <v>900</v>
      </c>
    </row>
    <row r="220" spans="1:10" x14ac:dyDescent="0.3">
      <c r="A220">
        <v>79</v>
      </c>
      <c r="B220">
        <v>46418</v>
      </c>
      <c r="C220" t="s">
        <v>763</v>
      </c>
      <c r="D220" t="s">
        <v>384</v>
      </c>
      <c r="E220" t="s">
        <v>145</v>
      </c>
      <c r="F220" s="2">
        <v>69930000</v>
      </c>
      <c r="G220" s="2">
        <v>0</v>
      </c>
      <c r="H220" t="s">
        <v>787</v>
      </c>
      <c r="I220" t="s">
        <v>845</v>
      </c>
      <c r="J220" t="s">
        <v>900</v>
      </c>
    </row>
    <row r="221" spans="1:10" x14ac:dyDescent="0.3">
      <c r="A221">
        <v>79</v>
      </c>
      <c r="B221">
        <v>46418</v>
      </c>
      <c r="C221" t="s">
        <v>763</v>
      </c>
      <c r="D221" t="s">
        <v>384</v>
      </c>
      <c r="E221" t="s">
        <v>252</v>
      </c>
      <c r="F221" s="2">
        <v>0</v>
      </c>
      <c r="G221" s="2">
        <v>90000000</v>
      </c>
      <c r="H221" t="s">
        <v>787</v>
      </c>
      <c r="I221" t="s">
        <v>845</v>
      </c>
      <c r="J221" t="s">
        <v>900</v>
      </c>
    </row>
    <row r="222" spans="1:10" x14ac:dyDescent="0.3">
      <c r="A222">
        <v>79</v>
      </c>
      <c r="B222">
        <v>46418</v>
      </c>
      <c r="C222" t="s">
        <v>763</v>
      </c>
      <c r="D222" t="s">
        <v>384</v>
      </c>
      <c r="E222" t="s">
        <v>337</v>
      </c>
      <c r="F222" s="2">
        <v>0</v>
      </c>
      <c r="G222" s="2">
        <v>9900000</v>
      </c>
      <c r="H222" t="s">
        <v>787</v>
      </c>
      <c r="I222" t="s">
        <v>845</v>
      </c>
      <c r="J222" t="s">
        <v>788</v>
      </c>
    </row>
    <row r="223" spans="1:10" x14ac:dyDescent="0.3">
      <c r="A223">
        <v>79</v>
      </c>
      <c r="B223">
        <v>46418</v>
      </c>
      <c r="C223" t="s">
        <v>763</v>
      </c>
      <c r="D223" t="s">
        <v>384</v>
      </c>
      <c r="E223" t="s">
        <v>16</v>
      </c>
      <c r="F223" s="2">
        <v>50000000</v>
      </c>
      <c r="G223" s="2">
        <v>0</v>
      </c>
      <c r="H223" t="s">
        <v>787</v>
      </c>
      <c r="I223" t="s">
        <v>845</v>
      </c>
      <c r="J223" t="s">
        <v>798</v>
      </c>
    </row>
    <row r="224" spans="1:10" x14ac:dyDescent="0.3">
      <c r="A224">
        <v>79</v>
      </c>
      <c r="B224">
        <v>46418</v>
      </c>
      <c r="C224" t="s">
        <v>763</v>
      </c>
      <c r="D224" t="s">
        <v>384</v>
      </c>
      <c r="E224" t="s">
        <v>153</v>
      </c>
      <c r="F224" s="2">
        <v>0</v>
      </c>
      <c r="G224" s="2">
        <v>50000000</v>
      </c>
      <c r="H224" t="s">
        <v>787</v>
      </c>
      <c r="I224" t="s">
        <v>845</v>
      </c>
      <c r="J224" t="s">
        <v>798</v>
      </c>
    </row>
    <row r="225" spans="1:10" x14ac:dyDescent="0.3">
      <c r="A225">
        <v>80</v>
      </c>
      <c r="B225">
        <v>46418</v>
      </c>
      <c r="C225" t="s">
        <v>766</v>
      </c>
      <c r="D225" t="s">
        <v>350</v>
      </c>
      <c r="E225" t="s">
        <v>197</v>
      </c>
      <c r="F225" s="2">
        <v>25000000</v>
      </c>
      <c r="G225" s="2">
        <v>0</v>
      </c>
      <c r="H225" t="s">
        <v>780</v>
      </c>
      <c r="I225" t="s">
        <v>901</v>
      </c>
      <c r="J225" t="s">
        <v>902</v>
      </c>
    </row>
    <row r="226" spans="1:10" x14ac:dyDescent="0.3">
      <c r="A226">
        <v>80</v>
      </c>
      <c r="B226">
        <v>46418</v>
      </c>
      <c r="C226" t="s">
        <v>766</v>
      </c>
      <c r="D226" t="s">
        <v>350</v>
      </c>
      <c r="E226" t="s">
        <v>138</v>
      </c>
      <c r="F226" s="2">
        <v>0</v>
      </c>
      <c r="G226" s="2">
        <v>25000000</v>
      </c>
      <c r="H226" t="s">
        <v>780</v>
      </c>
      <c r="I226" t="s">
        <v>901</v>
      </c>
      <c r="J226" t="s">
        <v>902</v>
      </c>
    </row>
    <row r="227" spans="1:10" x14ac:dyDescent="0.3">
      <c r="A227">
        <v>80</v>
      </c>
      <c r="B227">
        <v>46418</v>
      </c>
      <c r="C227" t="s">
        <v>766</v>
      </c>
      <c r="D227" t="s">
        <v>384</v>
      </c>
      <c r="E227" t="s">
        <v>138</v>
      </c>
      <c r="F227" s="2">
        <v>40000000</v>
      </c>
      <c r="G227" s="2">
        <v>0</v>
      </c>
      <c r="H227" t="s">
        <v>787</v>
      </c>
      <c r="I227" t="s">
        <v>901</v>
      </c>
      <c r="J227" t="s">
        <v>903</v>
      </c>
    </row>
    <row r="228" spans="1:10" x14ac:dyDescent="0.3">
      <c r="A228">
        <v>80</v>
      </c>
      <c r="B228">
        <v>46418</v>
      </c>
      <c r="C228" t="s">
        <v>766</v>
      </c>
      <c r="D228" t="s">
        <v>384</v>
      </c>
      <c r="E228" t="s">
        <v>145</v>
      </c>
      <c r="F228" s="2">
        <v>0</v>
      </c>
      <c r="G228" s="2">
        <v>40000000</v>
      </c>
      <c r="I228" t="s">
        <v>901</v>
      </c>
      <c r="J228" t="s">
        <v>903</v>
      </c>
    </row>
    <row r="229" spans="1:10" x14ac:dyDescent="0.3">
      <c r="A229">
        <v>80</v>
      </c>
      <c r="B229">
        <v>46418</v>
      </c>
      <c r="C229" t="s">
        <v>766</v>
      </c>
      <c r="D229" t="s">
        <v>804</v>
      </c>
      <c r="E229" t="s">
        <v>297</v>
      </c>
      <c r="F229" s="2">
        <v>1000000</v>
      </c>
      <c r="G229" s="2">
        <v>0</v>
      </c>
      <c r="H229" t="s">
        <v>787</v>
      </c>
      <c r="I229" t="s">
        <v>901</v>
      </c>
      <c r="J229" t="s">
        <v>904</v>
      </c>
    </row>
    <row r="230" spans="1:10" x14ac:dyDescent="0.3">
      <c r="A230">
        <v>80</v>
      </c>
      <c r="B230">
        <v>46418</v>
      </c>
      <c r="C230" t="s">
        <v>766</v>
      </c>
      <c r="D230" t="s">
        <v>804</v>
      </c>
      <c r="E230" t="s">
        <v>138</v>
      </c>
      <c r="F230" s="2">
        <v>0</v>
      </c>
      <c r="G230" s="2">
        <v>1000000</v>
      </c>
      <c r="I230" t="s">
        <v>901</v>
      </c>
      <c r="J230" t="s">
        <v>904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P92"/>
  <sheetViews>
    <sheetView topLeftCell="D67" workbookViewId="0">
      <selection activeCell="I17" sqref="I17"/>
    </sheetView>
  </sheetViews>
  <sheetFormatPr defaultRowHeight="14.4" x14ac:dyDescent="0.3"/>
  <cols>
    <col min="1" max="1" width="12.109375" customWidth="1"/>
    <col min="2" max="2" width="34.5546875" customWidth="1"/>
    <col min="3" max="3" width="9.88671875" customWidth="1"/>
    <col min="4" max="4" width="14.21875" customWidth="1"/>
    <col min="5" max="16" width="15.6640625" style="2" customWidth="1"/>
  </cols>
  <sheetData>
    <row r="1" spans="1:16" x14ac:dyDescent="0.3">
      <c r="A1" t="s">
        <v>905</v>
      </c>
    </row>
    <row r="2" spans="1:16" x14ac:dyDescent="0.3">
      <c r="A2" t="s">
        <v>906</v>
      </c>
      <c r="E2" s="2" t="s">
        <v>20</v>
      </c>
      <c r="G2" s="2" t="s">
        <v>8</v>
      </c>
      <c r="I2" s="2" t="s">
        <v>907</v>
      </c>
      <c r="K2" s="2" t="s">
        <v>908</v>
      </c>
      <c r="M2" s="2" t="s">
        <v>250</v>
      </c>
      <c r="O2" s="2" t="s">
        <v>909</v>
      </c>
    </row>
    <row r="3" spans="1:16" x14ac:dyDescent="0.3">
      <c r="A3" t="s">
        <v>132</v>
      </c>
      <c r="B3" t="s">
        <v>133</v>
      </c>
      <c r="C3" t="s">
        <v>134</v>
      </c>
      <c r="D3" t="s">
        <v>135</v>
      </c>
      <c r="E3" s="2" t="s">
        <v>910</v>
      </c>
      <c r="F3" s="2" t="s">
        <v>911</v>
      </c>
      <c r="G3" s="2" t="s">
        <v>912</v>
      </c>
      <c r="H3" s="2" t="s">
        <v>913</v>
      </c>
      <c r="I3" s="2" t="s">
        <v>914</v>
      </c>
      <c r="J3" s="2" t="s">
        <v>915</v>
      </c>
      <c r="K3" s="2" t="s">
        <v>916</v>
      </c>
      <c r="L3" s="2" t="s">
        <v>917</v>
      </c>
      <c r="M3" s="2" t="s">
        <v>918</v>
      </c>
      <c r="N3" s="2" t="s">
        <v>919</v>
      </c>
      <c r="O3" s="2" t="s">
        <v>920</v>
      </c>
      <c r="P3" s="2" t="s">
        <v>921</v>
      </c>
    </row>
    <row r="4" spans="1:16" x14ac:dyDescent="0.3">
      <c r="A4" t="s">
        <v>137</v>
      </c>
      <c r="B4" t="s">
        <v>138</v>
      </c>
      <c r="C4" t="s">
        <v>139</v>
      </c>
      <c r="D4" t="s">
        <v>140</v>
      </c>
      <c r="E4" s="2">
        <f>SUMIF(Saldo_Awal!$B$4:$B$91,$B4,Saldo_Awal!$C$4:$C$91)</f>
        <v>100000000</v>
      </c>
      <c r="F4" s="2">
        <f>SUMIF(Saldo_Awal!$B$4:$B$91,$B4,Saldo_Awal!$D$4:$D$91)</f>
        <v>0</v>
      </c>
      <c r="G4" s="2">
        <f>SUMIF(Kunci_Jurnal_80!$E$4:$E$230,$B4,Kunci_Jurnal_80!$F$4:$F$230)</f>
        <v>2468414000</v>
      </c>
      <c r="H4" s="2">
        <f>SUMIF(Kunci_Jurnal_80!$E$4:$E$230,$B4,Kunci_Jurnal_80!$G$4:$G$230)</f>
        <v>1164987000</v>
      </c>
      <c r="I4" s="2">
        <f>SUMIF(Kunci_Penyesuaian!$D$4:$D$65,$B4,Kunci_Penyesuaian!$E$4:$E$65)</f>
        <v>0</v>
      </c>
      <c r="J4" s="2">
        <f>SUMIF(Kunci_Penyesuaian!$D$4:$D$65,$B4,Kunci_Penyesuaian!$F$4:$F$65)</f>
        <v>0</v>
      </c>
      <c r="K4" s="2">
        <f t="shared" ref="K4:K35" si="0">IF(E4+G4+I4-F4-H4-J4&gt;0,E4+G4+I4-F4-H4-J4,0)</f>
        <v>1403427000</v>
      </c>
      <c r="L4" s="2">
        <f t="shared" ref="L4:L35" si="1">IF(F4+H4+J4-E4-G4-I4&gt;0,F4+H4+J4-E4-G4-I4,0)</f>
        <v>0</v>
      </c>
      <c r="M4" s="2">
        <f>SUMIF(Jurnal_Penutup!$D$5:$D$82,$B4,Jurnal_Penutup!$E$5:$E$82)</f>
        <v>0</v>
      </c>
      <c r="N4" s="2">
        <f>SUMIF(Jurnal_Penutup!$D$5:$D$82,$B4,Jurnal_Penutup!$F$5:$F$82)</f>
        <v>0</v>
      </c>
      <c r="O4" s="2">
        <f t="shared" ref="O4:O35" si="2">IF(K4+M4-L4-N4&gt;0,K4+M4-L4-N4,0)</f>
        <v>1403427000</v>
      </c>
      <c r="P4" s="2">
        <f t="shared" ref="P4:P35" si="3">IF(L4+N4-K4-M4&gt;0,L4+N4-K4-M4,0)</f>
        <v>0</v>
      </c>
    </row>
    <row r="5" spans="1:16" x14ac:dyDescent="0.3">
      <c r="A5" t="s">
        <v>142</v>
      </c>
      <c r="B5" t="s">
        <v>143</v>
      </c>
      <c r="C5" t="s">
        <v>139</v>
      </c>
      <c r="D5" t="s">
        <v>140</v>
      </c>
      <c r="E5" s="2">
        <f>SUMIF(Saldo_Awal!$B$4:$B$91,$B5,Saldo_Awal!$C$4:$C$91)</f>
        <v>10000000</v>
      </c>
      <c r="F5" s="2">
        <f>SUMIF(Saldo_Awal!$B$4:$B$91,$B5,Saldo_Awal!$D$4:$D$91)</f>
        <v>0</v>
      </c>
      <c r="G5" s="2">
        <f>SUMIF(Kunci_Jurnal_80!$E$4:$E$230,$B5,Kunci_Jurnal_80!$F$4:$F$230)</f>
        <v>30150000</v>
      </c>
      <c r="H5" s="2">
        <f>SUMIF(Kunci_Jurnal_80!$E$4:$E$230,$B5,Kunci_Jurnal_80!$G$4:$G$230)</f>
        <v>2300000</v>
      </c>
      <c r="I5" s="2">
        <f>SUMIF(Kunci_Penyesuaian!$D$4:$D$65,$B5,Kunci_Penyesuaian!$E$4:$E$65)</f>
        <v>0</v>
      </c>
      <c r="J5" s="2">
        <f>SUMIF(Kunci_Penyesuaian!$D$4:$D$65,$B5,Kunci_Penyesuaian!$F$4:$F$65)</f>
        <v>0</v>
      </c>
      <c r="K5" s="2">
        <f t="shared" si="0"/>
        <v>37850000</v>
      </c>
      <c r="L5" s="2">
        <f t="shared" si="1"/>
        <v>0</v>
      </c>
      <c r="M5" s="2">
        <f>SUMIF(Jurnal_Penutup!$D$5:$D$82,$B5,Jurnal_Penutup!$E$5:$E$82)</f>
        <v>0</v>
      </c>
      <c r="N5" s="2">
        <f>SUMIF(Jurnal_Penutup!$D$5:$D$82,$B5,Jurnal_Penutup!$F$5:$F$82)</f>
        <v>0</v>
      </c>
      <c r="O5" s="2">
        <f t="shared" si="2"/>
        <v>37850000</v>
      </c>
      <c r="P5" s="2">
        <f t="shared" si="3"/>
        <v>0</v>
      </c>
    </row>
    <row r="6" spans="1:16" x14ac:dyDescent="0.3">
      <c r="A6" t="s">
        <v>144</v>
      </c>
      <c r="B6" t="s">
        <v>145</v>
      </c>
      <c r="C6" t="s">
        <v>139</v>
      </c>
      <c r="D6" t="s">
        <v>140</v>
      </c>
      <c r="E6" s="2">
        <f>SUMIF(Saldo_Awal!$B$4:$B$91,$B6,Saldo_Awal!$C$4:$C$91)</f>
        <v>60000000</v>
      </c>
      <c r="F6" s="2">
        <f>SUMIF(Saldo_Awal!$B$4:$B$91,$B6,Saldo_Awal!$D$4:$D$91)</f>
        <v>0</v>
      </c>
      <c r="G6" s="2">
        <f>SUMIF(Kunci_Jurnal_80!$E$4:$E$230,$B6,Kunci_Jurnal_80!$F$4:$F$230)</f>
        <v>483630000</v>
      </c>
      <c r="H6" s="2">
        <f>SUMIF(Kunci_Jurnal_80!$E$4:$E$230,$B6,Kunci_Jurnal_80!$G$4:$G$230)</f>
        <v>425490000</v>
      </c>
      <c r="I6" s="2">
        <f>SUMIF(Kunci_Penyesuaian!$D$4:$D$65,$B6,Kunci_Penyesuaian!$E$4:$E$65)</f>
        <v>0</v>
      </c>
      <c r="J6" s="2">
        <f>SUMIF(Kunci_Penyesuaian!$D$4:$D$65,$B6,Kunci_Penyesuaian!$F$4:$F$65)</f>
        <v>2000000</v>
      </c>
      <c r="K6" s="2">
        <f t="shared" si="0"/>
        <v>116140000</v>
      </c>
      <c r="L6" s="2">
        <f t="shared" si="1"/>
        <v>0</v>
      </c>
      <c r="M6" s="2">
        <f>SUMIF(Jurnal_Penutup!$D$5:$D$82,$B6,Jurnal_Penutup!$E$5:$E$82)</f>
        <v>0</v>
      </c>
      <c r="N6" s="2">
        <f>SUMIF(Jurnal_Penutup!$D$5:$D$82,$B6,Jurnal_Penutup!$F$5:$F$82)</f>
        <v>0</v>
      </c>
      <c r="O6" s="2">
        <f t="shared" si="2"/>
        <v>116140000</v>
      </c>
      <c r="P6" s="2">
        <f t="shared" si="3"/>
        <v>0</v>
      </c>
    </row>
    <row r="7" spans="1:16" x14ac:dyDescent="0.3">
      <c r="A7" t="s">
        <v>146</v>
      </c>
      <c r="B7" t="s">
        <v>147</v>
      </c>
      <c r="C7" t="s">
        <v>139</v>
      </c>
      <c r="D7" t="s">
        <v>140</v>
      </c>
      <c r="E7" s="2">
        <f>SUMIF(Saldo_Awal!$B$4:$B$91,$B7,Saldo_Awal!$C$4:$C$91)</f>
        <v>0</v>
      </c>
      <c r="F7" s="2">
        <f>SUMIF(Saldo_Awal!$B$4:$B$91,$B7,Saldo_Awal!$D$4:$D$91)</f>
        <v>0</v>
      </c>
      <c r="G7" s="2">
        <f>SUMIF(Kunci_Jurnal_80!$E$4:$E$230,$B7,Kunci_Jurnal_80!$F$4:$F$230)</f>
        <v>5000000</v>
      </c>
      <c r="H7" s="2">
        <f>SUMIF(Kunci_Jurnal_80!$E$4:$E$230,$B7,Kunci_Jurnal_80!$G$4:$G$230)</f>
        <v>2000000</v>
      </c>
      <c r="I7" s="2">
        <f>SUMIF(Kunci_Penyesuaian!$D$4:$D$65,$B7,Kunci_Penyesuaian!$E$4:$E$65)</f>
        <v>0</v>
      </c>
      <c r="J7" s="2">
        <f>SUMIF(Kunci_Penyesuaian!$D$4:$D$65,$B7,Kunci_Penyesuaian!$F$4:$F$65)</f>
        <v>0</v>
      </c>
      <c r="K7" s="2">
        <f t="shared" si="0"/>
        <v>3000000</v>
      </c>
      <c r="L7" s="2">
        <f t="shared" si="1"/>
        <v>0</v>
      </c>
      <c r="M7" s="2">
        <f>SUMIF(Jurnal_Penutup!$D$5:$D$82,$B7,Jurnal_Penutup!$E$5:$E$82)</f>
        <v>0</v>
      </c>
      <c r="N7" s="2">
        <f>SUMIF(Jurnal_Penutup!$D$5:$D$82,$B7,Jurnal_Penutup!$F$5:$F$82)</f>
        <v>0</v>
      </c>
      <c r="O7" s="2">
        <f t="shared" si="2"/>
        <v>3000000</v>
      </c>
      <c r="P7" s="2">
        <f t="shared" si="3"/>
        <v>0</v>
      </c>
    </row>
    <row r="8" spans="1:16" x14ac:dyDescent="0.3">
      <c r="A8" t="s">
        <v>148</v>
      </c>
      <c r="B8" t="s">
        <v>149</v>
      </c>
      <c r="C8" t="s">
        <v>139</v>
      </c>
      <c r="D8" t="s">
        <v>140</v>
      </c>
      <c r="E8" s="2">
        <f>SUMIF(Saldo_Awal!$B$4:$B$91,$B8,Saldo_Awal!$C$4:$C$91)</f>
        <v>0</v>
      </c>
      <c r="F8" s="2">
        <f>SUMIF(Saldo_Awal!$B$4:$B$91,$B8,Saldo_Awal!$D$4:$D$91)</f>
        <v>0</v>
      </c>
      <c r="G8" s="2">
        <f>SUMIF(Kunci_Jurnal_80!$E$4:$E$230,$B8,Kunci_Jurnal_80!$F$4:$F$230)</f>
        <v>0</v>
      </c>
      <c r="H8" s="2">
        <f>SUMIF(Kunci_Jurnal_80!$E$4:$E$230,$B8,Kunci_Jurnal_80!$G$4:$G$230)</f>
        <v>0</v>
      </c>
      <c r="I8" s="2">
        <f>SUMIF(Kunci_Penyesuaian!$D$4:$D$65,$B8,Kunci_Penyesuaian!$E$4:$E$65)</f>
        <v>700000</v>
      </c>
      <c r="J8" s="2">
        <f>SUMIF(Kunci_Penyesuaian!$D$4:$D$65,$B8,Kunci_Penyesuaian!$F$4:$F$65)</f>
        <v>0</v>
      </c>
      <c r="K8" s="2">
        <f t="shared" si="0"/>
        <v>700000</v>
      </c>
      <c r="L8" s="2">
        <f t="shared" si="1"/>
        <v>0</v>
      </c>
      <c r="M8" s="2">
        <f>SUMIF(Jurnal_Penutup!$D$5:$D$82,$B8,Jurnal_Penutup!$E$5:$E$82)</f>
        <v>0</v>
      </c>
      <c r="N8" s="2">
        <f>SUMIF(Jurnal_Penutup!$D$5:$D$82,$B8,Jurnal_Penutup!$F$5:$F$82)</f>
        <v>0</v>
      </c>
      <c r="O8" s="2">
        <f t="shared" si="2"/>
        <v>700000</v>
      </c>
      <c r="P8" s="2">
        <f t="shared" si="3"/>
        <v>0</v>
      </c>
    </row>
    <row r="9" spans="1:16" x14ac:dyDescent="0.3">
      <c r="A9" t="s">
        <v>150</v>
      </c>
      <c r="B9" t="s">
        <v>151</v>
      </c>
      <c r="C9" t="s">
        <v>139</v>
      </c>
      <c r="D9" t="s">
        <v>140</v>
      </c>
      <c r="E9" s="2">
        <f>SUMIF(Saldo_Awal!$B$4:$B$91,$B9,Saldo_Awal!$C$4:$C$91)</f>
        <v>0</v>
      </c>
      <c r="F9" s="2">
        <f>SUMIF(Saldo_Awal!$B$4:$B$91,$B9,Saldo_Awal!$D$4:$D$91)</f>
        <v>0</v>
      </c>
      <c r="G9" s="2">
        <f>SUMIF(Kunci_Jurnal_80!$E$4:$E$230,$B9,Kunci_Jurnal_80!$F$4:$F$230)</f>
        <v>0</v>
      </c>
      <c r="H9" s="2">
        <f>SUMIF(Kunci_Jurnal_80!$E$4:$E$230,$B9,Kunci_Jurnal_80!$G$4:$G$230)</f>
        <v>0</v>
      </c>
      <c r="I9" s="2">
        <f>SUMIF(Kunci_Penyesuaian!$D$4:$D$65,$B9,Kunci_Penyesuaian!$E$4:$E$65)</f>
        <v>0</v>
      </c>
      <c r="J9" s="2">
        <f>SUMIF(Kunci_Penyesuaian!$D$4:$D$65,$B9,Kunci_Penyesuaian!$F$4:$F$65)</f>
        <v>0</v>
      </c>
      <c r="K9" s="2">
        <f t="shared" si="0"/>
        <v>0</v>
      </c>
      <c r="L9" s="2">
        <f t="shared" si="1"/>
        <v>0</v>
      </c>
      <c r="M9" s="2">
        <f>SUMIF(Jurnal_Penutup!$D$5:$D$82,$B9,Jurnal_Penutup!$E$5:$E$82)</f>
        <v>0</v>
      </c>
      <c r="N9" s="2">
        <f>SUMIF(Jurnal_Penutup!$D$5:$D$82,$B9,Jurnal_Penutup!$F$5:$F$82)</f>
        <v>0</v>
      </c>
      <c r="O9" s="2">
        <f t="shared" si="2"/>
        <v>0</v>
      </c>
      <c r="P9" s="2">
        <f t="shared" si="3"/>
        <v>0</v>
      </c>
    </row>
    <row r="10" spans="1:16" x14ac:dyDescent="0.3">
      <c r="A10" t="s">
        <v>152</v>
      </c>
      <c r="B10" t="s">
        <v>153</v>
      </c>
      <c r="C10" t="s">
        <v>139</v>
      </c>
      <c r="D10" t="s">
        <v>140</v>
      </c>
      <c r="E10" s="2">
        <f>SUMIF(Saldo_Awal!$B$4:$B$91,$B10,Saldo_Awal!$C$4:$C$91)</f>
        <v>120000000</v>
      </c>
      <c r="F10" s="2">
        <f>SUMIF(Saldo_Awal!$B$4:$B$91,$B10,Saldo_Awal!$D$4:$D$91)</f>
        <v>0</v>
      </c>
      <c r="G10" s="2">
        <f>SUMIF(Kunci_Jurnal_80!$E$4:$E$230,$B10,Kunci_Jurnal_80!$F$4:$F$230)</f>
        <v>574000000</v>
      </c>
      <c r="H10" s="2">
        <f>SUMIF(Kunci_Jurnal_80!$E$4:$E$230,$B10,Kunci_Jurnal_80!$G$4:$G$230)</f>
        <v>436300000</v>
      </c>
      <c r="I10" s="2">
        <f>SUMIF(Kunci_Penyesuaian!$D$4:$D$65,$B10,Kunci_Penyesuaian!$E$4:$E$65)</f>
        <v>0</v>
      </c>
      <c r="J10" s="2">
        <f>SUMIF(Kunci_Penyesuaian!$D$4:$D$65,$B10,Kunci_Penyesuaian!$F$4:$F$65)</f>
        <v>5900000</v>
      </c>
      <c r="K10" s="2">
        <f t="shared" si="0"/>
        <v>251800000</v>
      </c>
      <c r="L10" s="2">
        <f t="shared" si="1"/>
        <v>0</v>
      </c>
      <c r="M10" s="2">
        <f>SUMIF(Jurnal_Penutup!$D$5:$D$82,$B10,Jurnal_Penutup!$E$5:$E$82)</f>
        <v>0</v>
      </c>
      <c r="N10" s="2">
        <f>SUMIF(Jurnal_Penutup!$D$5:$D$82,$B10,Jurnal_Penutup!$F$5:$F$82)</f>
        <v>0</v>
      </c>
      <c r="O10" s="2">
        <f t="shared" si="2"/>
        <v>251800000</v>
      </c>
      <c r="P10" s="2">
        <f t="shared" si="3"/>
        <v>0</v>
      </c>
    </row>
    <row r="11" spans="1:16" x14ac:dyDescent="0.3">
      <c r="A11" t="s">
        <v>154</v>
      </c>
      <c r="B11" t="s">
        <v>155</v>
      </c>
      <c r="C11" t="s">
        <v>139</v>
      </c>
      <c r="D11" t="s">
        <v>140</v>
      </c>
      <c r="E11" s="2">
        <f>SUMIF(Saldo_Awal!$B$4:$B$91,$B11,Saldo_Awal!$C$4:$C$91)</f>
        <v>0</v>
      </c>
      <c r="F11" s="2">
        <f>SUMIF(Saldo_Awal!$B$4:$B$91,$B11,Saldo_Awal!$D$4:$D$91)</f>
        <v>0</v>
      </c>
      <c r="G11" s="2">
        <f>SUMIF(Kunci_Jurnal_80!$E$4:$E$230,$B11,Kunci_Jurnal_80!$F$4:$F$230)</f>
        <v>103125000</v>
      </c>
      <c r="H11" s="2">
        <f>SUMIF(Kunci_Jurnal_80!$E$4:$E$230,$B11,Kunci_Jurnal_80!$G$4:$G$230)</f>
        <v>2013000</v>
      </c>
      <c r="I11" s="2">
        <f>SUMIF(Kunci_Penyesuaian!$D$4:$D$65,$B11,Kunci_Penyesuaian!$E$4:$E$65)</f>
        <v>0</v>
      </c>
      <c r="J11" s="2">
        <f>SUMIF(Kunci_Penyesuaian!$D$4:$D$65,$B11,Kunci_Penyesuaian!$F$4:$F$65)</f>
        <v>74954000</v>
      </c>
      <c r="K11" s="2">
        <f t="shared" si="0"/>
        <v>26158000</v>
      </c>
      <c r="L11" s="2">
        <f t="shared" si="1"/>
        <v>0</v>
      </c>
      <c r="M11" s="2">
        <f>SUMIF(Jurnal_Penutup!$D$5:$D$82,$B11,Jurnal_Penutup!$E$5:$E$82)</f>
        <v>0</v>
      </c>
      <c r="N11" s="2">
        <f>SUMIF(Jurnal_Penutup!$D$5:$D$82,$B11,Jurnal_Penutup!$F$5:$F$82)</f>
        <v>0</v>
      </c>
      <c r="O11" s="2">
        <f t="shared" si="2"/>
        <v>26158000</v>
      </c>
      <c r="P11" s="2">
        <f t="shared" si="3"/>
        <v>0</v>
      </c>
    </row>
    <row r="12" spans="1:16" x14ac:dyDescent="0.3">
      <c r="A12" t="s">
        <v>156</v>
      </c>
      <c r="B12" t="s">
        <v>157</v>
      </c>
      <c r="C12" t="s">
        <v>139</v>
      </c>
      <c r="D12" t="s">
        <v>140</v>
      </c>
      <c r="E12" s="2">
        <f>SUMIF(Saldo_Awal!$B$4:$B$91,$B12,Saldo_Awal!$C$4:$C$91)</f>
        <v>0</v>
      </c>
      <c r="F12" s="2">
        <f>SUMIF(Saldo_Awal!$B$4:$B$91,$B12,Saldo_Awal!$D$4:$D$91)</f>
        <v>0</v>
      </c>
      <c r="G12" s="2">
        <f>SUMIF(Kunci_Jurnal_80!$E$4:$E$230,$B12,Kunci_Jurnal_80!$F$4:$F$230)</f>
        <v>2625000</v>
      </c>
      <c r="H12" s="2">
        <f>SUMIF(Kunci_Jurnal_80!$E$4:$E$230,$B12,Kunci_Jurnal_80!$G$4:$G$230)</f>
        <v>0</v>
      </c>
      <c r="I12" s="2">
        <f>SUMIF(Kunci_Penyesuaian!$D$4:$D$65,$B12,Kunci_Penyesuaian!$E$4:$E$65)</f>
        <v>0</v>
      </c>
      <c r="J12" s="2">
        <f>SUMIF(Kunci_Penyesuaian!$D$4:$D$65,$B12,Kunci_Penyesuaian!$F$4:$F$65)</f>
        <v>0</v>
      </c>
      <c r="K12" s="2">
        <f t="shared" si="0"/>
        <v>2625000</v>
      </c>
      <c r="L12" s="2">
        <f t="shared" si="1"/>
        <v>0</v>
      </c>
      <c r="M12" s="2">
        <f>SUMIF(Jurnal_Penutup!$D$5:$D$82,$B12,Jurnal_Penutup!$E$5:$E$82)</f>
        <v>0</v>
      </c>
      <c r="N12" s="2">
        <f>SUMIF(Jurnal_Penutup!$D$5:$D$82,$B12,Jurnal_Penutup!$F$5:$F$82)</f>
        <v>0</v>
      </c>
      <c r="O12" s="2">
        <f t="shared" si="2"/>
        <v>2625000</v>
      </c>
      <c r="P12" s="2">
        <f t="shared" si="3"/>
        <v>0</v>
      </c>
    </row>
    <row r="13" spans="1:16" x14ac:dyDescent="0.3">
      <c r="A13" t="s">
        <v>158</v>
      </c>
      <c r="B13" t="s">
        <v>159</v>
      </c>
      <c r="C13" t="s">
        <v>139</v>
      </c>
      <c r="D13" t="s">
        <v>140</v>
      </c>
      <c r="E13" s="2">
        <f>SUMIF(Saldo_Awal!$B$4:$B$91,$B13,Saldo_Awal!$C$4:$C$91)</f>
        <v>0</v>
      </c>
      <c r="F13" s="2">
        <f>SUMIF(Saldo_Awal!$B$4:$B$91,$B13,Saldo_Awal!$D$4:$D$91)</f>
        <v>0</v>
      </c>
      <c r="G13" s="2">
        <f>SUMIF(Kunci_Jurnal_80!$E$4:$E$230,$B13,Kunci_Jurnal_80!$F$4:$F$230)</f>
        <v>0</v>
      </c>
      <c r="H13" s="2">
        <f>SUMIF(Kunci_Jurnal_80!$E$4:$E$230,$B13,Kunci_Jurnal_80!$G$4:$G$230)</f>
        <v>0</v>
      </c>
      <c r="I13" s="2">
        <f>SUMIF(Kunci_Penyesuaian!$D$4:$D$65,$B13,Kunci_Penyesuaian!$E$4:$E$65)</f>
        <v>0</v>
      </c>
      <c r="J13" s="2">
        <f>SUMIF(Kunci_Penyesuaian!$D$4:$D$65,$B13,Kunci_Penyesuaian!$F$4:$F$65)</f>
        <v>0</v>
      </c>
      <c r="K13" s="2">
        <f t="shared" si="0"/>
        <v>0</v>
      </c>
      <c r="L13" s="2">
        <f t="shared" si="1"/>
        <v>0</v>
      </c>
      <c r="M13" s="2">
        <f>SUMIF(Jurnal_Penutup!$D$5:$D$82,$B13,Jurnal_Penutup!$E$5:$E$82)</f>
        <v>0</v>
      </c>
      <c r="N13" s="2">
        <f>SUMIF(Jurnal_Penutup!$D$5:$D$82,$B13,Jurnal_Penutup!$F$5:$F$82)</f>
        <v>0</v>
      </c>
      <c r="O13" s="2">
        <f t="shared" si="2"/>
        <v>0</v>
      </c>
      <c r="P13" s="2">
        <f t="shared" si="3"/>
        <v>0</v>
      </c>
    </row>
    <row r="14" spans="1:16" x14ac:dyDescent="0.3">
      <c r="A14" t="s">
        <v>160</v>
      </c>
      <c r="B14" t="s">
        <v>161</v>
      </c>
      <c r="C14" t="s">
        <v>139</v>
      </c>
      <c r="D14" t="s">
        <v>140</v>
      </c>
      <c r="E14" s="2">
        <f>SUMIF(Saldo_Awal!$B$4:$B$91,$B14,Saldo_Awal!$C$4:$C$91)</f>
        <v>0</v>
      </c>
      <c r="F14" s="2">
        <f>SUMIF(Saldo_Awal!$B$4:$B$91,$B14,Saldo_Awal!$D$4:$D$91)</f>
        <v>0</v>
      </c>
      <c r="G14" s="2">
        <f>SUMIF(Kunci_Jurnal_80!$E$4:$E$230,$B14,Kunci_Jurnal_80!$F$4:$F$230)</f>
        <v>0</v>
      </c>
      <c r="H14" s="2">
        <f>SUMIF(Kunci_Jurnal_80!$E$4:$E$230,$B14,Kunci_Jurnal_80!$G$4:$G$230)</f>
        <v>0</v>
      </c>
      <c r="I14" s="2">
        <f>SUMIF(Kunci_Penyesuaian!$D$4:$D$65,$B14,Kunci_Penyesuaian!$E$4:$E$65)</f>
        <v>0</v>
      </c>
      <c r="J14" s="2">
        <f>SUMIF(Kunci_Penyesuaian!$D$4:$D$65,$B14,Kunci_Penyesuaian!$F$4:$F$65)</f>
        <v>0</v>
      </c>
      <c r="K14" s="2">
        <f t="shared" si="0"/>
        <v>0</v>
      </c>
      <c r="L14" s="2">
        <f t="shared" si="1"/>
        <v>0</v>
      </c>
      <c r="M14" s="2">
        <f>SUMIF(Jurnal_Penutup!$D$5:$D$82,$B14,Jurnal_Penutup!$E$5:$E$82)</f>
        <v>0</v>
      </c>
      <c r="N14" s="2">
        <f>SUMIF(Jurnal_Penutup!$D$5:$D$82,$B14,Jurnal_Penutup!$F$5:$F$82)</f>
        <v>0</v>
      </c>
      <c r="O14" s="2">
        <f t="shared" si="2"/>
        <v>0</v>
      </c>
      <c r="P14" s="2">
        <f t="shared" si="3"/>
        <v>0</v>
      </c>
    </row>
    <row r="15" spans="1:16" x14ac:dyDescent="0.3">
      <c r="A15" t="s">
        <v>162</v>
      </c>
      <c r="B15" t="s">
        <v>163</v>
      </c>
      <c r="C15" t="s">
        <v>139</v>
      </c>
      <c r="D15" t="s">
        <v>140</v>
      </c>
      <c r="E15" s="2">
        <f>SUMIF(Saldo_Awal!$B$4:$B$91,$B15,Saldo_Awal!$C$4:$C$91)</f>
        <v>6000000</v>
      </c>
      <c r="F15" s="2">
        <f>SUMIF(Saldo_Awal!$B$4:$B$91,$B15,Saldo_Awal!$D$4:$D$91)</f>
        <v>0</v>
      </c>
      <c r="G15" s="2">
        <f>SUMIF(Kunci_Jurnal_80!$E$4:$E$230,$B15,Kunci_Jurnal_80!$F$4:$F$230)</f>
        <v>18000000</v>
      </c>
      <c r="H15" s="2">
        <f>SUMIF(Kunci_Jurnal_80!$E$4:$E$230,$B15,Kunci_Jurnal_80!$G$4:$G$230)</f>
        <v>0</v>
      </c>
      <c r="I15" s="2">
        <f>SUMIF(Kunci_Penyesuaian!$D$4:$D$65,$B15,Kunci_Penyesuaian!$E$4:$E$65)</f>
        <v>0</v>
      </c>
      <c r="J15" s="2">
        <f>SUMIF(Kunci_Penyesuaian!$D$4:$D$65,$B15,Kunci_Penyesuaian!$F$4:$F$65)</f>
        <v>6000000</v>
      </c>
      <c r="K15" s="2">
        <f t="shared" si="0"/>
        <v>18000000</v>
      </c>
      <c r="L15" s="2">
        <f t="shared" si="1"/>
        <v>0</v>
      </c>
      <c r="M15" s="2">
        <f>SUMIF(Jurnal_Penutup!$D$5:$D$82,$B15,Jurnal_Penutup!$E$5:$E$82)</f>
        <v>0</v>
      </c>
      <c r="N15" s="2">
        <f>SUMIF(Jurnal_Penutup!$D$5:$D$82,$B15,Jurnal_Penutup!$F$5:$F$82)</f>
        <v>0</v>
      </c>
      <c r="O15" s="2">
        <f t="shared" si="2"/>
        <v>18000000</v>
      </c>
      <c r="P15" s="2">
        <f t="shared" si="3"/>
        <v>0</v>
      </c>
    </row>
    <row r="16" spans="1:16" x14ac:dyDescent="0.3">
      <c r="A16" t="s">
        <v>164</v>
      </c>
      <c r="B16" t="s">
        <v>165</v>
      </c>
      <c r="C16" t="s">
        <v>139</v>
      </c>
      <c r="D16" t="s">
        <v>140</v>
      </c>
      <c r="E16" s="2">
        <f>SUMIF(Saldo_Awal!$B$4:$B$91,$B16,Saldo_Awal!$C$4:$C$91)</f>
        <v>3000000</v>
      </c>
      <c r="F16" s="2">
        <f>SUMIF(Saldo_Awal!$B$4:$B$91,$B16,Saldo_Awal!$D$4:$D$91)</f>
        <v>0</v>
      </c>
      <c r="G16" s="2">
        <f>SUMIF(Kunci_Jurnal_80!$E$4:$E$230,$B16,Kunci_Jurnal_80!$F$4:$F$230)</f>
        <v>18000000</v>
      </c>
      <c r="H16" s="2">
        <f>SUMIF(Kunci_Jurnal_80!$E$4:$E$230,$B16,Kunci_Jurnal_80!$G$4:$G$230)</f>
        <v>0</v>
      </c>
      <c r="I16" s="2">
        <f>SUMIF(Kunci_Penyesuaian!$D$4:$D$65,$B16,Kunci_Penyesuaian!$E$4:$E$65)</f>
        <v>0</v>
      </c>
      <c r="J16" s="2">
        <f>SUMIF(Kunci_Penyesuaian!$D$4:$D$65,$B16,Kunci_Penyesuaian!$F$4:$F$65)</f>
        <v>1500000</v>
      </c>
      <c r="K16" s="2">
        <f t="shared" si="0"/>
        <v>19500000</v>
      </c>
      <c r="L16" s="2">
        <f t="shared" si="1"/>
        <v>0</v>
      </c>
      <c r="M16" s="2">
        <f>SUMIF(Jurnal_Penutup!$D$5:$D$82,$B16,Jurnal_Penutup!$E$5:$E$82)</f>
        <v>0</v>
      </c>
      <c r="N16" s="2">
        <f>SUMIF(Jurnal_Penutup!$D$5:$D$82,$B16,Jurnal_Penutup!$F$5:$F$82)</f>
        <v>0</v>
      </c>
      <c r="O16" s="2">
        <f t="shared" si="2"/>
        <v>19500000</v>
      </c>
      <c r="P16" s="2">
        <f t="shared" si="3"/>
        <v>0</v>
      </c>
    </row>
    <row r="17" spans="1:16" x14ac:dyDescent="0.3">
      <c r="A17" t="s">
        <v>166</v>
      </c>
      <c r="B17" t="s">
        <v>167</v>
      </c>
      <c r="C17" t="s">
        <v>139</v>
      </c>
      <c r="D17" t="s">
        <v>140</v>
      </c>
      <c r="E17" s="2">
        <f>SUMIF(Saldo_Awal!$B$4:$B$91,$B17,Saldo_Awal!$C$4:$C$91)</f>
        <v>0</v>
      </c>
      <c r="F17" s="2">
        <f>SUMIF(Saldo_Awal!$B$4:$B$91,$B17,Saldo_Awal!$D$4:$D$91)</f>
        <v>0</v>
      </c>
      <c r="G17" s="2">
        <f>SUMIF(Kunci_Jurnal_80!$E$4:$E$230,$B17,Kunci_Jurnal_80!$F$4:$F$230)</f>
        <v>12000000</v>
      </c>
      <c r="H17" s="2">
        <f>SUMIF(Kunci_Jurnal_80!$E$4:$E$230,$B17,Kunci_Jurnal_80!$G$4:$G$230)</f>
        <v>0</v>
      </c>
      <c r="I17" s="2">
        <f>SUMIF(Kunci_Penyesuaian!$D$4:$D$65,$B17,Kunci_Penyesuaian!$E$4:$E$65)</f>
        <v>0</v>
      </c>
      <c r="J17" s="2">
        <f>SUMIF(Kunci_Penyesuaian!$D$4:$D$65,$B17,Kunci_Penyesuaian!$F$4:$F$65)</f>
        <v>1000000</v>
      </c>
      <c r="K17" s="2">
        <f t="shared" si="0"/>
        <v>11000000</v>
      </c>
      <c r="L17" s="2">
        <f t="shared" si="1"/>
        <v>0</v>
      </c>
      <c r="M17" s="2">
        <f>SUMIF(Jurnal_Penutup!$D$5:$D$82,$B17,Jurnal_Penutup!$E$5:$E$82)</f>
        <v>0</v>
      </c>
      <c r="N17" s="2">
        <f>SUMIF(Jurnal_Penutup!$D$5:$D$82,$B17,Jurnal_Penutup!$F$5:$F$82)</f>
        <v>0</v>
      </c>
      <c r="O17" s="2">
        <f t="shared" si="2"/>
        <v>11000000</v>
      </c>
      <c r="P17" s="2">
        <f t="shared" si="3"/>
        <v>0</v>
      </c>
    </row>
    <row r="18" spans="1:16" x14ac:dyDescent="0.3">
      <c r="A18" t="s">
        <v>168</v>
      </c>
      <c r="B18" t="s">
        <v>169</v>
      </c>
      <c r="C18" t="s">
        <v>139</v>
      </c>
      <c r="D18" t="s">
        <v>140</v>
      </c>
      <c r="E18" s="2">
        <f>SUMIF(Saldo_Awal!$B$4:$B$91,$B18,Saldo_Awal!$C$4:$C$91)</f>
        <v>0</v>
      </c>
      <c r="F18" s="2">
        <f>SUMIF(Saldo_Awal!$B$4:$B$91,$B18,Saldo_Awal!$D$4:$D$91)</f>
        <v>0</v>
      </c>
      <c r="G18" s="2">
        <f>SUMIF(Kunci_Jurnal_80!$E$4:$E$230,$B18,Kunci_Jurnal_80!$F$4:$F$230)</f>
        <v>5000000</v>
      </c>
      <c r="H18" s="2">
        <f>SUMIF(Kunci_Jurnal_80!$E$4:$E$230,$B18,Kunci_Jurnal_80!$G$4:$G$230)</f>
        <v>0</v>
      </c>
      <c r="I18" s="2">
        <f>SUMIF(Kunci_Penyesuaian!$D$4:$D$65,$B18,Kunci_Penyesuaian!$E$4:$E$65)</f>
        <v>0</v>
      </c>
      <c r="J18" s="2">
        <f>SUMIF(Kunci_Penyesuaian!$D$4:$D$65,$B18,Kunci_Penyesuaian!$F$4:$F$65)</f>
        <v>2200000</v>
      </c>
      <c r="K18" s="2">
        <f t="shared" si="0"/>
        <v>2800000</v>
      </c>
      <c r="L18" s="2">
        <f t="shared" si="1"/>
        <v>0</v>
      </c>
      <c r="M18" s="2">
        <f>SUMIF(Jurnal_Penutup!$D$5:$D$82,$B18,Jurnal_Penutup!$E$5:$E$82)</f>
        <v>0</v>
      </c>
      <c r="N18" s="2">
        <f>SUMIF(Jurnal_Penutup!$D$5:$D$82,$B18,Jurnal_Penutup!$F$5:$F$82)</f>
        <v>0</v>
      </c>
      <c r="O18" s="2">
        <f t="shared" si="2"/>
        <v>2800000</v>
      </c>
      <c r="P18" s="2">
        <f t="shared" si="3"/>
        <v>0</v>
      </c>
    </row>
    <row r="19" spans="1:16" x14ac:dyDescent="0.3">
      <c r="A19" t="s">
        <v>170</v>
      </c>
      <c r="B19" t="s">
        <v>171</v>
      </c>
      <c r="C19" t="s">
        <v>139</v>
      </c>
      <c r="D19" t="s">
        <v>140</v>
      </c>
      <c r="E19" s="2">
        <f>SUMIF(Saldo_Awal!$B$4:$B$91,$B19,Saldo_Awal!$C$4:$C$91)</f>
        <v>0</v>
      </c>
      <c r="F19" s="2">
        <f>SUMIF(Saldo_Awal!$B$4:$B$91,$B19,Saldo_Awal!$D$4:$D$91)</f>
        <v>0</v>
      </c>
      <c r="G19" s="2">
        <f>SUMIF(Kunci_Jurnal_80!$E$4:$E$230,$B19,Kunci_Jurnal_80!$F$4:$F$230)</f>
        <v>22200000</v>
      </c>
      <c r="H19" s="2">
        <f>SUMIF(Kunci_Jurnal_80!$E$4:$E$230,$B19,Kunci_Jurnal_80!$G$4:$G$230)</f>
        <v>22200000</v>
      </c>
      <c r="I19" s="2">
        <f>SUMIF(Kunci_Penyesuaian!$D$4:$D$65,$B19,Kunci_Penyesuaian!$E$4:$E$65)</f>
        <v>0</v>
      </c>
      <c r="J19" s="2">
        <f>SUMIF(Kunci_Penyesuaian!$D$4:$D$65,$B19,Kunci_Penyesuaian!$F$4:$F$65)</f>
        <v>0</v>
      </c>
      <c r="K19" s="2">
        <f t="shared" si="0"/>
        <v>0</v>
      </c>
      <c r="L19" s="2">
        <f t="shared" si="1"/>
        <v>0</v>
      </c>
      <c r="M19" s="2">
        <f>SUMIF(Jurnal_Penutup!$D$5:$D$82,$B19,Jurnal_Penutup!$E$5:$E$82)</f>
        <v>0</v>
      </c>
      <c r="N19" s="2">
        <f>SUMIF(Jurnal_Penutup!$D$5:$D$82,$B19,Jurnal_Penutup!$F$5:$F$82)</f>
        <v>0</v>
      </c>
      <c r="O19" s="2">
        <f t="shared" si="2"/>
        <v>0</v>
      </c>
      <c r="P19" s="2">
        <f t="shared" si="3"/>
        <v>0</v>
      </c>
    </row>
    <row r="20" spans="1:16" x14ac:dyDescent="0.3">
      <c r="A20" t="s">
        <v>172</v>
      </c>
      <c r="B20" t="s">
        <v>173</v>
      </c>
      <c r="C20" t="s">
        <v>139</v>
      </c>
      <c r="D20" t="s">
        <v>140</v>
      </c>
      <c r="E20" s="2">
        <f>SUMIF(Saldo_Awal!$B$4:$B$91,$B20,Saldo_Awal!$C$4:$C$91)</f>
        <v>0</v>
      </c>
      <c r="F20" s="2">
        <f>SUMIF(Saldo_Awal!$B$4:$B$91,$B20,Saldo_Awal!$D$4:$D$91)</f>
        <v>0</v>
      </c>
      <c r="G20" s="2">
        <f>SUMIF(Kunci_Jurnal_80!$E$4:$E$230,$B20,Kunci_Jurnal_80!$F$4:$F$230)</f>
        <v>4800000</v>
      </c>
      <c r="H20" s="2">
        <f>SUMIF(Kunci_Jurnal_80!$E$4:$E$230,$B20,Kunci_Jurnal_80!$G$4:$G$230)</f>
        <v>0</v>
      </c>
      <c r="I20" s="2">
        <f>SUMIF(Kunci_Penyesuaian!$D$4:$D$65,$B20,Kunci_Penyesuaian!$E$4:$E$65)</f>
        <v>0</v>
      </c>
      <c r="J20" s="2">
        <f>SUMIF(Kunci_Penyesuaian!$D$4:$D$65,$B20,Kunci_Penyesuaian!$F$4:$F$65)</f>
        <v>400000</v>
      </c>
      <c r="K20" s="2">
        <f t="shared" si="0"/>
        <v>4400000</v>
      </c>
      <c r="L20" s="2">
        <f t="shared" si="1"/>
        <v>0</v>
      </c>
      <c r="M20" s="2">
        <f>SUMIF(Jurnal_Penutup!$D$5:$D$82,$B20,Jurnal_Penutup!$E$5:$E$82)</f>
        <v>0</v>
      </c>
      <c r="N20" s="2">
        <f>SUMIF(Jurnal_Penutup!$D$5:$D$82,$B20,Jurnal_Penutup!$F$5:$F$82)</f>
        <v>0</v>
      </c>
      <c r="O20" s="2">
        <f t="shared" si="2"/>
        <v>4400000</v>
      </c>
      <c r="P20" s="2">
        <f t="shared" si="3"/>
        <v>0</v>
      </c>
    </row>
    <row r="21" spans="1:16" x14ac:dyDescent="0.3">
      <c r="A21" t="s">
        <v>174</v>
      </c>
      <c r="B21" t="s">
        <v>175</v>
      </c>
      <c r="C21" t="s">
        <v>139</v>
      </c>
      <c r="D21" t="s">
        <v>140</v>
      </c>
      <c r="E21" s="2">
        <f>SUMIF(Saldo_Awal!$B$4:$B$91,$B21,Saldo_Awal!$C$4:$C$91)</f>
        <v>0</v>
      </c>
      <c r="F21" s="2">
        <f>SUMIF(Saldo_Awal!$B$4:$B$91,$B21,Saldo_Awal!$D$4:$D$91)</f>
        <v>0</v>
      </c>
      <c r="G21" s="2">
        <f>SUMIF(Kunci_Jurnal_80!$E$4:$E$230,$B21,Kunci_Jurnal_80!$F$4:$F$230)</f>
        <v>12000000</v>
      </c>
      <c r="H21" s="2">
        <f>SUMIF(Kunci_Jurnal_80!$E$4:$E$230,$B21,Kunci_Jurnal_80!$G$4:$G$230)</f>
        <v>0</v>
      </c>
      <c r="I21" s="2">
        <f>SUMIF(Kunci_Penyesuaian!$D$4:$D$65,$B21,Kunci_Penyesuaian!$E$4:$E$65)</f>
        <v>0</v>
      </c>
      <c r="J21" s="2">
        <f>SUMIF(Kunci_Penyesuaian!$D$4:$D$65,$B21,Kunci_Penyesuaian!$F$4:$F$65)</f>
        <v>0</v>
      </c>
      <c r="K21" s="2">
        <f t="shared" si="0"/>
        <v>12000000</v>
      </c>
      <c r="L21" s="2">
        <f t="shared" si="1"/>
        <v>0</v>
      </c>
      <c r="M21" s="2">
        <f>SUMIF(Jurnal_Penutup!$D$5:$D$82,$B21,Jurnal_Penutup!$E$5:$E$82)</f>
        <v>0</v>
      </c>
      <c r="N21" s="2">
        <f>SUMIF(Jurnal_Penutup!$D$5:$D$82,$B21,Jurnal_Penutup!$F$5:$F$82)</f>
        <v>0</v>
      </c>
      <c r="O21" s="2">
        <f t="shared" si="2"/>
        <v>12000000</v>
      </c>
      <c r="P21" s="2">
        <f t="shared" si="3"/>
        <v>0</v>
      </c>
    </row>
    <row r="22" spans="1:16" x14ac:dyDescent="0.3">
      <c r="A22" t="s">
        <v>176</v>
      </c>
      <c r="B22" t="s">
        <v>177</v>
      </c>
      <c r="C22" t="s">
        <v>139</v>
      </c>
      <c r="D22" t="s">
        <v>140</v>
      </c>
      <c r="E22" s="2">
        <f>SUMIF(Saldo_Awal!$B$4:$B$91,$B22,Saldo_Awal!$C$4:$C$91)</f>
        <v>80000000</v>
      </c>
      <c r="F22" s="2">
        <f>SUMIF(Saldo_Awal!$B$4:$B$91,$B22,Saldo_Awal!$D$4:$D$91)</f>
        <v>0</v>
      </c>
      <c r="G22" s="2">
        <f>SUMIF(Kunci_Jurnal_80!$E$4:$E$230,$B22,Kunci_Jurnal_80!$F$4:$F$230)</f>
        <v>75000000</v>
      </c>
      <c r="H22" s="2">
        <f>SUMIF(Kunci_Jurnal_80!$E$4:$E$230,$B22,Kunci_Jurnal_80!$G$4:$G$230)</f>
        <v>10000000</v>
      </c>
      <c r="I22" s="2">
        <f>SUMIF(Kunci_Penyesuaian!$D$4:$D$65,$B22,Kunci_Penyesuaian!$E$4:$E$65)</f>
        <v>0</v>
      </c>
      <c r="J22" s="2">
        <f>SUMIF(Kunci_Penyesuaian!$D$4:$D$65,$B22,Kunci_Penyesuaian!$F$4:$F$65)</f>
        <v>0</v>
      </c>
      <c r="K22" s="2">
        <f t="shared" si="0"/>
        <v>145000000</v>
      </c>
      <c r="L22" s="2">
        <f t="shared" si="1"/>
        <v>0</v>
      </c>
      <c r="M22" s="2">
        <f>SUMIF(Jurnal_Penutup!$D$5:$D$82,$B22,Jurnal_Penutup!$E$5:$E$82)</f>
        <v>0</v>
      </c>
      <c r="N22" s="2">
        <f>SUMIF(Jurnal_Penutup!$D$5:$D$82,$B22,Jurnal_Penutup!$F$5:$F$82)</f>
        <v>0</v>
      </c>
      <c r="O22" s="2">
        <f t="shared" si="2"/>
        <v>145000000</v>
      </c>
      <c r="P22" s="2">
        <f t="shared" si="3"/>
        <v>0</v>
      </c>
    </row>
    <row r="23" spans="1:16" x14ac:dyDescent="0.3">
      <c r="A23" t="s">
        <v>179</v>
      </c>
      <c r="B23" t="s">
        <v>180</v>
      </c>
      <c r="C23" t="s">
        <v>139</v>
      </c>
      <c r="D23" t="s">
        <v>140</v>
      </c>
      <c r="E23" s="2">
        <f>SUMIF(Saldo_Awal!$B$4:$B$91,$B23,Saldo_Awal!$C$4:$C$91)</f>
        <v>40000000</v>
      </c>
      <c r="F23" s="2">
        <f>SUMIF(Saldo_Awal!$B$4:$B$91,$B23,Saldo_Awal!$D$4:$D$91)</f>
        <v>0</v>
      </c>
      <c r="G23" s="2">
        <f>SUMIF(Kunci_Jurnal_80!$E$4:$E$230,$B23,Kunci_Jurnal_80!$F$4:$F$230)</f>
        <v>40000000</v>
      </c>
      <c r="H23" s="2">
        <f>SUMIF(Kunci_Jurnal_80!$E$4:$E$230,$B23,Kunci_Jurnal_80!$G$4:$G$230)</f>
        <v>20000000</v>
      </c>
      <c r="I23" s="2">
        <f>SUMIF(Kunci_Penyesuaian!$D$4:$D$65,$B23,Kunci_Penyesuaian!$E$4:$E$65)</f>
        <v>0</v>
      </c>
      <c r="J23" s="2">
        <f>SUMIF(Kunci_Penyesuaian!$D$4:$D$65,$B23,Kunci_Penyesuaian!$F$4:$F$65)</f>
        <v>0</v>
      </c>
      <c r="K23" s="2">
        <f t="shared" si="0"/>
        <v>60000000</v>
      </c>
      <c r="L23" s="2">
        <f t="shared" si="1"/>
        <v>0</v>
      </c>
      <c r="M23" s="2">
        <f>SUMIF(Jurnal_Penutup!$D$5:$D$82,$B23,Jurnal_Penutup!$E$5:$E$82)</f>
        <v>0</v>
      </c>
      <c r="N23" s="2">
        <f>SUMIF(Jurnal_Penutup!$D$5:$D$82,$B23,Jurnal_Penutup!$F$5:$F$82)</f>
        <v>0</v>
      </c>
      <c r="O23" s="2">
        <f t="shared" si="2"/>
        <v>60000000</v>
      </c>
      <c r="P23" s="2">
        <f t="shared" si="3"/>
        <v>0</v>
      </c>
    </row>
    <row r="24" spans="1:16" x14ac:dyDescent="0.3">
      <c r="A24" t="s">
        <v>181</v>
      </c>
      <c r="B24" t="s">
        <v>182</v>
      </c>
      <c r="C24" t="s">
        <v>139</v>
      </c>
      <c r="D24" t="s">
        <v>140</v>
      </c>
      <c r="E24" s="2">
        <f>SUMIF(Saldo_Awal!$B$4:$B$91,$B24,Saldo_Awal!$C$4:$C$91)</f>
        <v>150000000</v>
      </c>
      <c r="F24" s="2">
        <f>SUMIF(Saldo_Awal!$B$4:$B$91,$B24,Saldo_Awal!$D$4:$D$91)</f>
        <v>0</v>
      </c>
      <c r="G24" s="2">
        <f>SUMIF(Kunci_Jurnal_80!$E$4:$E$230,$B24,Kunci_Jurnal_80!$F$4:$F$230)</f>
        <v>250000000</v>
      </c>
      <c r="H24" s="2">
        <f>SUMIF(Kunci_Jurnal_80!$E$4:$E$230,$B24,Kunci_Jurnal_80!$G$4:$G$230)</f>
        <v>0</v>
      </c>
      <c r="I24" s="2">
        <f>SUMIF(Kunci_Penyesuaian!$D$4:$D$65,$B24,Kunci_Penyesuaian!$E$4:$E$65)</f>
        <v>0</v>
      </c>
      <c r="J24" s="2">
        <f>SUMIF(Kunci_Penyesuaian!$D$4:$D$65,$B24,Kunci_Penyesuaian!$F$4:$F$65)</f>
        <v>0</v>
      </c>
      <c r="K24" s="2">
        <f t="shared" si="0"/>
        <v>400000000</v>
      </c>
      <c r="L24" s="2">
        <f t="shared" si="1"/>
        <v>0</v>
      </c>
      <c r="M24" s="2">
        <f>SUMIF(Jurnal_Penutup!$D$5:$D$82,$B24,Jurnal_Penutup!$E$5:$E$82)</f>
        <v>0</v>
      </c>
      <c r="N24" s="2">
        <f>SUMIF(Jurnal_Penutup!$D$5:$D$82,$B24,Jurnal_Penutup!$F$5:$F$82)</f>
        <v>0</v>
      </c>
      <c r="O24" s="2">
        <f t="shared" si="2"/>
        <v>400000000</v>
      </c>
      <c r="P24" s="2">
        <f t="shared" si="3"/>
        <v>0</v>
      </c>
    </row>
    <row r="25" spans="1:16" x14ac:dyDescent="0.3">
      <c r="A25" t="s">
        <v>183</v>
      </c>
      <c r="B25" t="s">
        <v>184</v>
      </c>
      <c r="C25" t="s">
        <v>139</v>
      </c>
      <c r="D25" t="s">
        <v>140</v>
      </c>
      <c r="E25" s="2">
        <f>SUMIF(Saldo_Awal!$B$4:$B$91,$B25,Saldo_Awal!$C$4:$C$91)</f>
        <v>0</v>
      </c>
      <c r="F25" s="2">
        <f>SUMIF(Saldo_Awal!$B$4:$B$91,$B25,Saldo_Awal!$D$4:$D$91)</f>
        <v>0</v>
      </c>
      <c r="G25" s="2">
        <f>SUMIF(Kunci_Jurnal_80!$E$4:$E$230,$B25,Kunci_Jurnal_80!$F$4:$F$230)</f>
        <v>0</v>
      </c>
      <c r="H25" s="2">
        <f>SUMIF(Kunci_Jurnal_80!$E$4:$E$230,$B25,Kunci_Jurnal_80!$G$4:$G$230)</f>
        <v>0</v>
      </c>
      <c r="I25" s="2">
        <f>SUMIF(Kunci_Penyesuaian!$D$4:$D$65,$B25,Kunci_Penyesuaian!$E$4:$E$65)</f>
        <v>0</v>
      </c>
      <c r="J25" s="2">
        <f>SUMIF(Kunci_Penyesuaian!$D$4:$D$65,$B25,Kunci_Penyesuaian!$F$4:$F$65)</f>
        <v>0</v>
      </c>
      <c r="K25" s="2">
        <f t="shared" si="0"/>
        <v>0</v>
      </c>
      <c r="L25" s="2">
        <f t="shared" si="1"/>
        <v>0</v>
      </c>
      <c r="M25" s="2">
        <f>SUMIF(Jurnal_Penutup!$D$5:$D$82,$B25,Jurnal_Penutup!$E$5:$E$82)</f>
        <v>0</v>
      </c>
      <c r="N25" s="2">
        <f>SUMIF(Jurnal_Penutup!$D$5:$D$82,$B25,Jurnal_Penutup!$F$5:$F$82)</f>
        <v>0</v>
      </c>
      <c r="O25" s="2">
        <f t="shared" si="2"/>
        <v>0</v>
      </c>
      <c r="P25" s="2">
        <f t="shared" si="3"/>
        <v>0</v>
      </c>
    </row>
    <row r="26" spans="1:16" x14ac:dyDescent="0.3">
      <c r="A26" t="s">
        <v>185</v>
      </c>
      <c r="B26" t="s">
        <v>186</v>
      </c>
      <c r="C26" t="s">
        <v>187</v>
      </c>
      <c r="D26" t="s">
        <v>188</v>
      </c>
      <c r="E26" s="2">
        <f>SUMIF(Saldo_Awal!$B$4:$B$91,$B26,Saldo_Awal!$C$4:$C$91)</f>
        <v>0</v>
      </c>
      <c r="F26" s="2">
        <f>SUMIF(Saldo_Awal!$B$4:$B$91,$B26,Saldo_Awal!$D$4:$D$91)</f>
        <v>7000000</v>
      </c>
      <c r="G26" s="2">
        <f>SUMIF(Kunci_Jurnal_80!$E$4:$E$230,$B26,Kunci_Jurnal_80!$F$4:$F$230)</f>
        <v>7000000</v>
      </c>
      <c r="H26" s="2">
        <f>SUMIF(Kunci_Jurnal_80!$E$4:$E$230,$B26,Kunci_Jurnal_80!$G$4:$G$230)</f>
        <v>0</v>
      </c>
      <c r="I26" s="2">
        <f>SUMIF(Kunci_Penyesuaian!$D$4:$D$65,$B26,Kunci_Penyesuaian!$E$4:$E$65)</f>
        <v>0</v>
      </c>
      <c r="J26" s="2">
        <f>SUMIF(Kunci_Penyesuaian!$D$4:$D$65,$B26,Kunci_Penyesuaian!$F$4:$F$65)</f>
        <v>1250000</v>
      </c>
      <c r="K26" s="2">
        <f t="shared" si="0"/>
        <v>0</v>
      </c>
      <c r="L26" s="2">
        <f t="shared" si="1"/>
        <v>1250000</v>
      </c>
      <c r="M26" s="2">
        <f>SUMIF(Jurnal_Penutup!$D$5:$D$82,$B26,Jurnal_Penutup!$E$5:$E$82)</f>
        <v>0</v>
      </c>
      <c r="N26" s="2">
        <f>SUMIF(Jurnal_Penutup!$D$5:$D$82,$B26,Jurnal_Penutup!$F$5:$F$82)</f>
        <v>0</v>
      </c>
      <c r="O26" s="2">
        <f t="shared" si="2"/>
        <v>0</v>
      </c>
      <c r="P26" s="2">
        <f t="shared" si="3"/>
        <v>1250000</v>
      </c>
    </row>
    <row r="27" spans="1:16" x14ac:dyDescent="0.3">
      <c r="A27" t="s">
        <v>190</v>
      </c>
      <c r="B27" t="s">
        <v>191</v>
      </c>
      <c r="C27" t="s">
        <v>187</v>
      </c>
      <c r="D27" t="s">
        <v>188</v>
      </c>
      <c r="E27" s="2">
        <f>SUMIF(Saldo_Awal!$B$4:$B$91,$B27,Saldo_Awal!$C$4:$C$91)</f>
        <v>0</v>
      </c>
      <c r="F27" s="2">
        <f>SUMIF(Saldo_Awal!$B$4:$B$91,$B27,Saldo_Awal!$D$4:$D$91)</f>
        <v>12000000</v>
      </c>
      <c r="G27" s="2">
        <f>SUMIF(Kunci_Jurnal_80!$E$4:$E$230,$B27,Kunci_Jurnal_80!$F$4:$F$230)</f>
        <v>12000000</v>
      </c>
      <c r="H27" s="2">
        <f>SUMIF(Kunci_Jurnal_80!$E$4:$E$230,$B27,Kunci_Jurnal_80!$G$4:$G$230)</f>
        <v>0</v>
      </c>
      <c r="I27" s="2">
        <f>SUMIF(Kunci_Penyesuaian!$D$4:$D$65,$B27,Kunci_Penyesuaian!$E$4:$E$65)</f>
        <v>0</v>
      </c>
      <c r="J27" s="2">
        <f>SUMIF(Kunci_Penyesuaian!$D$4:$D$65,$B27,Kunci_Penyesuaian!$F$4:$F$65)</f>
        <v>333333.33</v>
      </c>
      <c r="K27" s="2">
        <f t="shared" si="0"/>
        <v>0</v>
      </c>
      <c r="L27" s="2">
        <f t="shared" si="1"/>
        <v>333333.33000000007</v>
      </c>
      <c r="M27" s="2">
        <f>SUMIF(Jurnal_Penutup!$D$5:$D$82,$B27,Jurnal_Penutup!$E$5:$E$82)</f>
        <v>0</v>
      </c>
      <c r="N27" s="2">
        <f>SUMIF(Jurnal_Penutup!$D$5:$D$82,$B27,Jurnal_Penutup!$F$5:$F$82)</f>
        <v>0</v>
      </c>
      <c r="O27" s="2">
        <f t="shared" si="2"/>
        <v>0</v>
      </c>
      <c r="P27" s="2">
        <f t="shared" si="3"/>
        <v>333333.33000000007</v>
      </c>
    </row>
    <row r="28" spans="1:16" x14ac:dyDescent="0.3">
      <c r="A28" t="s">
        <v>192</v>
      </c>
      <c r="B28" t="s">
        <v>193</v>
      </c>
      <c r="C28" t="s">
        <v>187</v>
      </c>
      <c r="D28" t="s">
        <v>188</v>
      </c>
      <c r="E28" s="2">
        <f>SUMIF(Saldo_Awal!$B$4:$B$91,$B28,Saldo_Awal!$C$4:$C$91)</f>
        <v>0</v>
      </c>
      <c r="F28" s="2">
        <f>SUMIF(Saldo_Awal!$B$4:$B$91,$B28,Saldo_Awal!$D$4:$D$91)</f>
        <v>50000000</v>
      </c>
      <c r="G28" s="2">
        <f>SUMIF(Kunci_Jurnal_80!$E$4:$E$230,$B28,Kunci_Jurnal_80!$F$4:$F$230)</f>
        <v>0</v>
      </c>
      <c r="H28" s="2">
        <f>SUMIF(Kunci_Jurnal_80!$E$4:$E$230,$B28,Kunci_Jurnal_80!$G$4:$G$230)</f>
        <v>0</v>
      </c>
      <c r="I28" s="2">
        <f>SUMIF(Kunci_Penyesuaian!$D$4:$D$65,$B28,Kunci_Penyesuaian!$E$4:$E$65)</f>
        <v>0</v>
      </c>
      <c r="J28" s="2">
        <f>SUMIF(Kunci_Penyesuaian!$D$4:$D$65,$B28,Kunci_Penyesuaian!$F$4:$F$65)</f>
        <v>4166666.67</v>
      </c>
      <c r="K28" s="2">
        <f t="shared" si="0"/>
        <v>0</v>
      </c>
      <c r="L28" s="2">
        <f t="shared" si="1"/>
        <v>54166666.670000002</v>
      </c>
      <c r="M28" s="2">
        <f>SUMIF(Jurnal_Penutup!$D$5:$D$82,$B28,Jurnal_Penutup!$E$5:$E$82)</f>
        <v>0</v>
      </c>
      <c r="N28" s="2">
        <f>SUMIF(Jurnal_Penutup!$D$5:$D$82,$B28,Jurnal_Penutup!$F$5:$F$82)</f>
        <v>0</v>
      </c>
      <c r="O28" s="2">
        <f t="shared" si="2"/>
        <v>0</v>
      </c>
      <c r="P28" s="2">
        <f t="shared" si="3"/>
        <v>54166666.670000002</v>
      </c>
    </row>
    <row r="29" spans="1:16" x14ac:dyDescent="0.3">
      <c r="A29" t="s">
        <v>194</v>
      </c>
      <c r="B29" t="s">
        <v>195</v>
      </c>
      <c r="C29" t="s">
        <v>187</v>
      </c>
      <c r="D29" t="s">
        <v>188</v>
      </c>
      <c r="E29" s="2">
        <f>SUMIF(Saldo_Awal!$B$4:$B$91,$B29,Saldo_Awal!$C$4:$C$91)</f>
        <v>0</v>
      </c>
      <c r="F29" s="2">
        <f>SUMIF(Saldo_Awal!$B$4:$B$91,$B29,Saldo_Awal!$D$4:$D$91)</f>
        <v>0</v>
      </c>
      <c r="G29" s="2">
        <f>SUMIF(Kunci_Jurnal_80!$E$4:$E$230,$B29,Kunci_Jurnal_80!$F$4:$F$230)</f>
        <v>0</v>
      </c>
      <c r="H29" s="2">
        <f>SUMIF(Kunci_Jurnal_80!$E$4:$E$230,$B29,Kunci_Jurnal_80!$G$4:$G$230)</f>
        <v>0</v>
      </c>
      <c r="I29" s="2">
        <f>SUMIF(Kunci_Penyesuaian!$D$4:$D$65,$B29,Kunci_Penyesuaian!$E$4:$E$65)</f>
        <v>2000000</v>
      </c>
      <c r="J29" s="2">
        <f>SUMIF(Kunci_Penyesuaian!$D$4:$D$65,$B29,Kunci_Penyesuaian!$F$4:$F$65)</f>
        <v>4500000</v>
      </c>
      <c r="K29" s="2">
        <f t="shared" si="0"/>
        <v>0</v>
      </c>
      <c r="L29" s="2">
        <f t="shared" si="1"/>
        <v>2500000</v>
      </c>
      <c r="M29" s="2">
        <f>SUMIF(Jurnal_Penutup!$D$5:$D$82,$B29,Jurnal_Penutup!$E$5:$E$82)</f>
        <v>0</v>
      </c>
      <c r="N29" s="2">
        <f>SUMIF(Jurnal_Penutup!$D$5:$D$82,$B29,Jurnal_Penutup!$F$5:$F$82)</f>
        <v>0</v>
      </c>
      <c r="O29" s="2">
        <f t="shared" si="2"/>
        <v>0</v>
      </c>
      <c r="P29" s="2">
        <f t="shared" si="3"/>
        <v>2500000</v>
      </c>
    </row>
    <row r="30" spans="1:16" x14ac:dyDescent="0.3">
      <c r="A30" t="s">
        <v>196</v>
      </c>
      <c r="B30" t="s">
        <v>197</v>
      </c>
      <c r="C30" t="s">
        <v>198</v>
      </c>
      <c r="D30" t="s">
        <v>188</v>
      </c>
      <c r="E30" s="2">
        <f>SUMIF(Saldo_Awal!$B$4:$B$91,$B30,Saldo_Awal!$C$4:$C$91)</f>
        <v>0</v>
      </c>
      <c r="F30" s="2">
        <f>SUMIF(Saldo_Awal!$B$4:$B$91,$B30,Saldo_Awal!$D$4:$D$91)</f>
        <v>70000000</v>
      </c>
      <c r="G30" s="2">
        <f>SUMIF(Kunci_Jurnal_80!$E$4:$E$230,$B30,Kunci_Jurnal_80!$F$4:$F$230)</f>
        <v>412580000</v>
      </c>
      <c r="H30" s="2">
        <f>SUMIF(Kunci_Jurnal_80!$E$4:$E$230,$B30,Kunci_Jurnal_80!$G$4:$G$230)</f>
        <v>490980000</v>
      </c>
      <c r="I30" s="2">
        <f>SUMIF(Kunci_Penyesuaian!$D$4:$D$65,$B30,Kunci_Penyesuaian!$E$4:$E$65)</f>
        <v>0</v>
      </c>
      <c r="J30" s="2">
        <f>SUMIF(Kunci_Penyesuaian!$D$4:$D$65,$B30,Kunci_Penyesuaian!$F$4:$F$65)</f>
        <v>0</v>
      </c>
      <c r="K30" s="2">
        <f t="shared" si="0"/>
        <v>0</v>
      </c>
      <c r="L30" s="2">
        <f t="shared" si="1"/>
        <v>148400000</v>
      </c>
      <c r="M30" s="2">
        <f>SUMIF(Jurnal_Penutup!$D$5:$D$82,$B30,Jurnal_Penutup!$E$5:$E$82)</f>
        <v>0</v>
      </c>
      <c r="N30" s="2">
        <f>SUMIF(Jurnal_Penutup!$D$5:$D$82,$B30,Jurnal_Penutup!$F$5:$F$82)</f>
        <v>0</v>
      </c>
      <c r="O30" s="2">
        <f t="shared" si="2"/>
        <v>0</v>
      </c>
      <c r="P30" s="2">
        <f t="shared" si="3"/>
        <v>148400000</v>
      </c>
    </row>
    <row r="31" spans="1:16" x14ac:dyDescent="0.3">
      <c r="A31" t="s">
        <v>200</v>
      </c>
      <c r="B31" t="s">
        <v>201</v>
      </c>
      <c r="C31" t="s">
        <v>198</v>
      </c>
      <c r="D31" t="s">
        <v>188</v>
      </c>
      <c r="E31" s="2">
        <f>SUMIF(Saldo_Awal!$B$4:$B$91,$B31,Saldo_Awal!$C$4:$C$91)</f>
        <v>0</v>
      </c>
      <c r="F31" s="2">
        <f>SUMIF(Saldo_Awal!$B$4:$B$91,$B31,Saldo_Awal!$D$4:$D$91)</f>
        <v>0</v>
      </c>
      <c r="G31" s="2">
        <f>SUMIF(Kunci_Jurnal_80!$E$4:$E$230,$B31,Kunci_Jurnal_80!$F$4:$F$230)</f>
        <v>0</v>
      </c>
      <c r="H31" s="2">
        <f>SUMIF(Kunci_Jurnal_80!$E$4:$E$230,$B31,Kunci_Jurnal_80!$G$4:$G$230)</f>
        <v>0</v>
      </c>
      <c r="I31" s="2">
        <f>SUMIF(Kunci_Penyesuaian!$D$4:$D$65,$B31,Kunci_Penyesuaian!$E$4:$E$65)</f>
        <v>0</v>
      </c>
      <c r="J31" s="2">
        <f>SUMIF(Kunci_Penyesuaian!$D$4:$D$65,$B31,Kunci_Penyesuaian!$F$4:$F$65)</f>
        <v>5000000</v>
      </c>
      <c r="K31" s="2">
        <f t="shared" si="0"/>
        <v>0</v>
      </c>
      <c r="L31" s="2">
        <f t="shared" si="1"/>
        <v>5000000</v>
      </c>
      <c r="M31" s="2">
        <f>SUMIF(Jurnal_Penutup!$D$5:$D$82,$B31,Jurnal_Penutup!$E$5:$E$82)</f>
        <v>0</v>
      </c>
      <c r="N31" s="2">
        <f>SUMIF(Jurnal_Penutup!$D$5:$D$82,$B31,Jurnal_Penutup!$F$5:$F$82)</f>
        <v>0</v>
      </c>
      <c r="O31" s="2">
        <f t="shared" si="2"/>
        <v>0</v>
      </c>
      <c r="P31" s="2">
        <f t="shared" si="3"/>
        <v>5000000</v>
      </c>
    </row>
    <row r="32" spans="1:16" x14ac:dyDescent="0.3">
      <c r="A32" t="s">
        <v>202</v>
      </c>
      <c r="B32" t="s">
        <v>203</v>
      </c>
      <c r="C32" t="s">
        <v>198</v>
      </c>
      <c r="D32" t="s">
        <v>188</v>
      </c>
      <c r="E32" s="2">
        <f>SUMIF(Saldo_Awal!$B$4:$B$91,$B32,Saldo_Awal!$C$4:$C$91)</f>
        <v>0</v>
      </c>
      <c r="F32" s="2">
        <f>SUMIF(Saldo_Awal!$B$4:$B$91,$B32,Saldo_Awal!$D$4:$D$91)</f>
        <v>0</v>
      </c>
      <c r="G32" s="2">
        <f>SUMIF(Kunci_Jurnal_80!$E$4:$E$230,$B32,Kunci_Jurnal_80!$F$4:$F$230)</f>
        <v>0</v>
      </c>
      <c r="H32" s="2">
        <f>SUMIF(Kunci_Jurnal_80!$E$4:$E$230,$B32,Kunci_Jurnal_80!$G$4:$G$230)</f>
        <v>0</v>
      </c>
      <c r="I32" s="2">
        <f>SUMIF(Kunci_Penyesuaian!$D$4:$D$65,$B32,Kunci_Penyesuaian!$E$4:$E$65)</f>
        <v>0</v>
      </c>
      <c r="J32" s="2">
        <f>SUMIF(Kunci_Penyesuaian!$D$4:$D$65,$B32,Kunci_Penyesuaian!$F$4:$F$65)</f>
        <v>7500000</v>
      </c>
      <c r="K32" s="2">
        <f t="shared" si="0"/>
        <v>0</v>
      </c>
      <c r="L32" s="2">
        <f t="shared" si="1"/>
        <v>7500000</v>
      </c>
      <c r="M32" s="2">
        <f>SUMIF(Jurnal_Penutup!$D$5:$D$82,$B32,Jurnal_Penutup!$E$5:$E$82)</f>
        <v>0</v>
      </c>
      <c r="N32" s="2">
        <f>SUMIF(Jurnal_Penutup!$D$5:$D$82,$B32,Jurnal_Penutup!$F$5:$F$82)</f>
        <v>0</v>
      </c>
      <c r="O32" s="2">
        <f t="shared" si="2"/>
        <v>0</v>
      </c>
      <c r="P32" s="2">
        <f t="shared" si="3"/>
        <v>7500000</v>
      </c>
    </row>
    <row r="33" spans="1:16" x14ac:dyDescent="0.3">
      <c r="A33" t="s">
        <v>204</v>
      </c>
      <c r="B33" t="s">
        <v>205</v>
      </c>
      <c r="C33" t="s">
        <v>198</v>
      </c>
      <c r="D33" t="s">
        <v>188</v>
      </c>
      <c r="E33" s="2">
        <f>SUMIF(Saldo_Awal!$B$4:$B$91,$B33,Saldo_Awal!$C$4:$C$91)</f>
        <v>0</v>
      </c>
      <c r="F33" s="2">
        <f>SUMIF(Saldo_Awal!$B$4:$B$91,$B33,Saldo_Awal!$D$4:$D$91)</f>
        <v>0</v>
      </c>
      <c r="G33" s="2">
        <f>SUMIF(Kunci_Jurnal_80!$E$4:$E$230,$B33,Kunci_Jurnal_80!$F$4:$F$230)</f>
        <v>0</v>
      </c>
      <c r="H33" s="2">
        <f>SUMIF(Kunci_Jurnal_80!$E$4:$E$230,$B33,Kunci_Jurnal_80!$G$4:$G$230)</f>
        <v>0</v>
      </c>
      <c r="I33" s="2">
        <f>SUMIF(Kunci_Penyesuaian!$D$4:$D$65,$B33,Kunci_Penyesuaian!$E$4:$E$65)</f>
        <v>0</v>
      </c>
      <c r="J33" s="2">
        <f>SUMIF(Kunci_Penyesuaian!$D$4:$D$65,$B33,Kunci_Penyesuaian!$F$4:$F$65)</f>
        <v>1200000</v>
      </c>
      <c r="K33" s="2">
        <f t="shared" si="0"/>
        <v>0</v>
      </c>
      <c r="L33" s="2">
        <f t="shared" si="1"/>
        <v>1200000</v>
      </c>
      <c r="M33" s="2">
        <f>SUMIF(Jurnal_Penutup!$D$5:$D$82,$B33,Jurnal_Penutup!$E$5:$E$82)</f>
        <v>0</v>
      </c>
      <c r="N33" s="2">
        <f>SUMIF(Jurnal_Penutup!$D$5:$D$82,$B33,Jurnal_Penutup!$F$5:$F$82)</f>
        <v>0</v>
      </c>
      <c r="O33" s="2">
        <f t="shared" si="2"/>
        <v>0</v>
      </c>
      <c r="P33" s="2">
        <f t="shared" si="3"/>
        <v>1200000</v>
      </c>
    </row>
    <row r="34" spans="1:16" x14ac:dyDescent="0.3">
      <c r="A34" t="s">
        <v>206</v>
      </c>
      <c r="B34" t="s">
        <v>207</v>
      </c>
      <c r="C34" t="s">
        <v>198</v>
      </c>
      <c r="D34" t="s">
        <v>188</v>
      </c>
      <c r="E34" s="2">
        <f>SUMIF(Saldo_Awal!$B$4:$B$91,$B34,Saldo_Awal!$C$4:$C$91)</f>
        <v>0</v>
      </c>
      <c r="F34" s="2">
        <f>SUMIF(Saldo_Awal!$B$4:$B$91,$B34,Saldo_Awal!$D$4:$D$91)</f>
        <v>0</v>
      </c>
      <c r="G34" s="2">
        <f>SUMIF(Kunci_Jurnal_80!$E$4:$E$230,$B34,Kunci_Jurnal_80!$F$4:$F$230)</f>
        <v>0</v>
      </c>
      <c r="H34" s="2">
        <f>SUMIF(Kunci_Jurnal_80!$E$4:$E$230,$B34,Kunci_Jurnal_80!$G$4:$G$230)</f>
        <v>0</v>
      </c>
      <c r="I34" s="2">
        <f>SUMIF(Kunci_Penyesuaian!$D$4:$D$65,$B34,Kunci_Penyesuaian!$E$4:$E$65)</f>
        <v>0</v>
      </c>
      <c r="J34" s="2">
        <f>SUMIF(Kunci_Penyesuaian!$D$4:$D$65,$B34,Kunci_Penyesuaian!$F$4:$F$65)</f>
        <v>1800000</v>
      </c>
      <c r="K34" s="2">
        <f t="shared" si="0"/>
        <v>0</v>
      </c>
      <c r="L34" s="2">
        <f t="shared" si="1"/>
        <v>1800000</v>
      </c>
      <c r="M34" s="2">
        <f>SUMIF(Jurnal_Penutup!$D$5:$D$82,$B34,Jurnal_Penutup!$E$5:$E$82)</f>
        <v>0</v>
      </c>
      <c r="N34" s="2">
        <f>SUMIF(Jurnal_Penutup!$D$5:$D$82,$B34,Jurnal_Penutup!$F$5:$F$82)</f>
        <v>0</v>
      </c>
      <c r="O34" s="2">
        <f t="shared" si="2"/>
        <v>0</v>
      </c>
      <c r="P34" s="2">
        <f t="shared" si="3"/>
        <v>1800000</v>
      </c>
    </row>
    <row r="35" spans="1:16" x14ac:dyDescent="0.3">
      <c r="A35" t="s">
        <v>208</v>
      </c>
      <c r="B35" t="s">
        <v>209</v>
      </c>
      <c r="C35" t="s">
        <v>198</v>
      </c>
      <c r="D35" t="s">
        <v>188</v>
      </c>
      <c r="E35" s="2">
        <f>SUMIF(Saldo_Awal!$B$4:$B$91,$B35,Saldo_Awal!$C$4:$C$91)</f>
        <v>0</v>
      </c>
      <c r="F35" s="2">
        <f>SUMIF(Saldo_Awal!$B$4:$B$91,$B35,Saldo_Awal!$D$4:$D$91)</f>
        <v>0</v>
      </c>
      <c r="G35" s="2">
        <f>SUMIF(Kunci_Jurnal_80!$E$4:$E$230,$B35,Kunci_Jurnal_80!$F$4:$F$230)</f>
        <v>2500000</v>
      </c>
      <c r="H35" s="2">
        <f>SUMIF(Kunci_Jurnal_80!$E$4:$E$230,$B35,Kunci_Jurnal_80!$G$4:$G$230)</f>
        <v>2500000</v>
      </c>
      <c r="I35" s="2">
        <f>SUMIF(Kunci_Penyesuaian!$D$4:$D$65,$B35,Kunci_Penyesuaian!$E$4:$E$65)</f>
        <v>0</v>
      </c>
      <c r="J35" s="2">
        <f>SUMIF(Kunci_Penyesuaian!$D$4:$D$65,$B35,Kunci_Penyesuaian!$F$4:$F$65)</f>
        <v>1500000</v>
      </c>
      <c r="K35" s="2">
        <f t="shared" si="0"/>
        <v>0</v>
      </c>
      <c r="L35" s="2">
        <f t="shared" si="1"/>
        <v>1500000</v>
      </c>
      <c r="M35" s="2">
        <f>SUMIF(Jurnal_Penutup!$D$5:$D$82,$B35,Jurnal_Penutup!$E$5:$E$82)</f>
        <v>0</v>
      </c>
      <c r="N35" s="2">
        <f>SUMIF(Jurnal_Penutup!$D$5:$D$82,$B35,Jurnal_Penutup!$F$5:$F$82)</f>
        <v>0</v>
      </c>
      <c r="O35" s="2">
        <f t="shared" si="2"/>
        <v>0</v>
      </c>
      <c r="P35" s="2">
        <f t="shared" si="3"/>
        <v>1500000</v>
      </c>
    </row>
    <row r="36" spans="1:16" x14ac:dyDescent="0.3">
      <c r="A36" t="s">
        <v>210</v>
      </c>
      <c r="B36" t="s">
        <v>211</v>
      </c>
      <c r="C36" t="s">
        <v>198</v>
      </c>
      <c r="D36" t="s">
        <v>188</v>
      </c>
      <c r="E36" s="2">
        <f>SUMIF(Saldo_Awal!$B$4:$B$91,$B36,Saldo_Awal!$C$4:$C$91)</f>
        <v>0</v>
      </c>
      <c r="F36" s="2">
        <f>SUMIF(Saldo_Awal!$B$4:$B$91,$B36,Saldo_Awal!$D$4:$D$91)</f>
        <v>0</v>
      </c>
      <c r="G36" s="2">
        <f>SUMIF(Kunci_Jurnal_80!$E$4:$E$230,$B36,Kunci_Jurnal_80!$F$4:$F$230)</f>
        <v>0</v>
      </c>
      <c r="H36" s="2">
        <f>SUMIF(Kunci_Jurnal_80!$E$4:$E$230,$B36,Kunci_Jurnal_80!$G$4:$G$230)</f>
        <v>0</v>
      </c>
      <c r="I36" s="2">
        <f>SUMIF(Kunci_Penyesuaian!$D$4:$D$65,$B36,Kunci_Penyesuaian!$E$4:$E$65)</f>
        <v>0</v>
      </c>
      <c r="J36" s="2">
        <f>SUMIF(Kunci_Penyesuaian!$D$4:$D$65,$B36,Kunci_Penyesuaian!$F$4:$F$65)</f>
        <v>0</v>
      </c>
      <c r="K36" s="2">
        <f t="shared" ref="K36:K67" si="4">IF(E36+G36+I36-F36-H36-J36&gt;0,E36+G36+I36-F36-H36-J36,0)</f>
        <v>0</v>
      </c>
      <c r="L36" s="2">
        <f t="shared" ref="L36:L67" si="5">IF(F36+H36+J36-E36-G36-I36&gt;0,F36+H36+J36-E36-G36-I36,0)</f>
        <v>0</v>
      </c>
      <c r="M36" s="2">
        <f>SUMIF(Jurnal_Penutup!$D$5:$D$82,$B36,Jurnal_Penutup!$E$5:$E$82)</f>
        <v>0</v>
      </c>
      <c r="N36" s="2">
        <f>SUMIF(Jurnal_Penutup!$D$5:$D$82,$B36,Jurnal_Penutup!$F$5:$F$82)</f>
        <v>0</v>
      </c>
      <c r="O36" s="2">
        <f t="shared" ref="O36:O67" si="6">IF(K36+M36-L36-N36&gt;0,K36+M36-L36-N36,0)</f>
        <v>0</v>
      </c>
      <c r="P36" s="2">
        <f t="shared" ref="P36:P67" si="7">IF(L36+N36-K36-M36&gt;0,L36+N36-K36-M36,0)</f>
        <v>0</v>
      </c>
    </row>
    <row r="37" spans="1:16" x14ac:dyDescent="0.3">
      <c r="A37" t="s">
        <v>212</v>
      </c>
      <c r="B37" t="s">
        <v>213</v>
      </c>
      <c r="C37" t="s">
        <v>198</v>
      </c>
      <c r="D37" t="s">
        <v>188</v>
      </c>
      <c r="E37" s="2">
        <f>SUMIF(Saldo_Awal!$B$4:$B$91,$B37,Saldo_Awal!$C$4:$C$91)</f>
        <v>0</v>
      </c>
      <c r="F37" s="2">
        <f>SUMIF(Saldo_Awal!$B$4:$B$91,$B37,Saldo_Awal!$D$4:$D$91)</f>
        <v>0</v>
      </c>
      <c r="G37" s="2">
        <f>SUMIF(Kunci_Jurnal_80!$E$4:$E$230,$B37,Kunci_Jurnal_80!$F$4:$F$230)</f>
        <v>1000000</v>
      </c>
      <c r="H37" s="2">
        <f>SUMIF(Kunci_Jurnal_80!$E$4:$E$230,$B37,Kunci_Jurnal_80!$G$4:$G$230)</f>
        <v>1000000</v>
      </c>
      <c r="I37" s="2">
        <f>SUMIF(Kunci_Penyesuaian!$D$4:$D$65,$B37,Kunci_Penyesuaian!$E$4:$E$65)</f>
        <v>0</v>
      </c>
      <c r="J37" s="2">
        <f>SUMIF(Kunci_Penyesuaian!$D$4:$D$65,$B37,Kunci_Penyesuaian!$F$4:$F$65)</f>
        <v>0</v>
      </c>
      <c r="K37" s="2">
        <f t="shared" si="4"/>
        <v>0</v>
      </c>
      <c r="L37" s="2">
        <f t="shared" si="5"/>
        <v>0</v>
      </c>
      <c r="M37" s="2">
        <f>SUMIF(Jurnal_Penutup!$D$5:$D$82,$B37,Jurnal_Penutup!$E$5:$E$82)</f>
        <v>0</v>
      </c>
      <c r="N37" s="2">
        <f>SUMIF(Jurnal_Penutup!$D$5:$D$82,$B37,Jurnal_Penutup!$F$5:$F$82)</f>
        <v>0</v>
      </c>
      <c r="O37" s="2">
        <f t="shared" si="6"/>
        <v>0</v>
      </c>
      <c r="P37" s="2">
        <f t="shared" si="7"/>
        <v>0</v>
      </c>
    </row>
    <row r="38" spans="1:16" x14ac:dyDescent="0.3">
      <c r="A38" t="s">
        <v>214</v>
      </c>
      <c r="B38" t="s">
        <v>215</v>
      </c>
      <c r="C38" t="s">
        <v>198</v>
      </c>
      <c r="D38" t="s">
        <v>188</v>
      </c>
      <c r="E38" s="2">
        <f>SUMIF(Saldo_Awal!$B$4:$B$91,$B38,Saldo_Awal!$C$4:$C$91)</f>
        <v>0</v>
      </c>
      <c r="F38" s="2">
        <f>SUMIF(Saldo_Awal!$B$4:$B$91,$B38,Saldo_Awal!$D$4:$D$91)</f>
        <v>0</v>
      </c>
      <c r="G38" s="2">
        <f>SUMIF(Kunci_Jurnal_80!$E$4:$E$230,$B38,Kunci_Jurnal_80!$F$4:$F$230)</f>
        <v>750000</v>
      </c>
      <c r="H38" s="2">
        <f>SUMIF(Kunci_Jurnal_80!$E$4:$E$230,$B38,Kunci_Jurnal_80!$G$4:$G$230)</f>
        <v>750000</v>
      </c>
      <c r="I38" s="2">
        <f>SUMIF(Kunci_Penyesuaian!$D$4:$D$65,$B38,Kunci_Penyesuaian!$E$4:$E$65)</f>
        <v>0</v>
      </c>
      <c r="J38" s="2">
        <f>SUMIF(Kunci_Penyesuaian!$D$4:$D$65,$B38,Kunci_Penyesuaian!$F$4:$F$65)</f>
        <v>0</v>
      </c>
      <c r="K38" s="2">
        <f t="shared" si="4"/>
        <v>0</v>
      </c>
      <c r="L38" s="2">
        <f t="shared" si="5"/>
        <v>0</v>
      </c>
      <c r="M38" s="2">
        <f>SUMIF(Jurnal_Penutup!$D$5:$D$82,$B38,Jurnal_Penutup!$E$5:$E$82)</f>
        <v>0</v>
      </c>
      <c r="N38" s="2">
        <f>SUMIF(Jurnal_Penutup!$D$5:$D$82,$B38,Jurnal_Penutup!$F$5:$F$82)</f>
        <v>0</v>
      </c>
      <c r="O38" s="2">
        <f t="shared" si="6"/>
        <v>0</v>
      </c>
      <c r="P38" s="2">
        <f t="shared" si="7"/>
        <v>0</v>
      </c>
    </row>
    <row r="39" spans="1:16" x14ac:dyDescent="0.3">
      <c r="A39" t="s">
        <v>216</v>
      </c>
      <c r="B39" t="s">
        <v>217</v>
      </c>
      <c r="C39" t="s">
        <v>198</v>
      </c>
      <c r="D39" t="s">
        <v>188</v>
      </c>
      <c r="E39" s="2">
        <f>SUMIF(Saldo_Awal!$B$4:$B$91,$B39,Saldo_Awal!$C$4:$C$91)</f>
        <v>0</v>
      </c>
      <c r="F39" s="2">
        <f>SUMIF(Saldo_Awal!$B$4:$B$91,$B39,Saldo_Awal!$D$4:$D$91)</f>
        <v>0</v>
      </c>
      <c r="G39" s="2">
        <f>SUMIF(Kunci_Jurnal_80!$E$4:$E$230,$B39,Kunci_Jurnal_80!$F$4:$F$230)</f>
        <v>190000</v>
      </c>
      <c r="H39" s="2">
        <f>SUMIF(Kunci_Jurnal_80!$E$4:$E$230,$B39,Kunci_Jurnal_80!$G$4:$G$230)</f>
        <v>190000</v>
      </c>
      <c r="I39" s="2">
        <f>SUMIF(Kunci_Penyesuaian!$D$4:$D$65,$B39,Kunci_Penyesuaian!$E$4:$E$65)</f>
        <v>0</v>
      </c>
      <c r="J39" s="2">
        <f>SUMIF(Kunci_Penyesuaian!$D$4:$D$65,$B39,Kunci_Penyesuaian!$F$4:$F$65)</f>
        <v>50000</v>
      </c>
      <c r="K39" s="2">
        <f t="shared" si="4"/>
        <v>0</v>
      </c>
      <c r="L39" s="2">
        <f t="shared" si="5"/>
        <v>50000</v>
      </c>
      <c r="M39" s="2">
        <f>SUMIF(Jurnal_Penutup!$D$5:$D$82,$B39,Jurnal_Penutup!$E$5:$E$82)</f>
        <v>0</v>
      </c>
      <c r="N39" s="2">
        <f>SUMIF(Jurnal_Penutup!$D$5:$D$82,$B39,Jurnal_Penutup!$F$5:$F$82)</f>
        <v>0</v>
      </c>
      <c r="O39" s="2">
        <f t="shared" si="6"/>
        <v>0</v>
      </c>
      <c r="P39" s="2">
        <f t="shared" si="7"/>
        <v>50000</v>
      </c>
    </row>
    <row r="40" spans="1:16" x14ac:dyDescent="0.3">
      <c r="A40" t="s">
        <v>218</v>
      </c>
      <c r="B40" t="s">
        <v>219</v>
      </c>
      <c r="C40" t="s">
        <v>198</v>
      </c>
      <c r="D40" t="s">
        <v>188</v>
      </c>
      <c r="E40" s="2">
        <f>SUMIF(Saldo_Awal!$B$4:$B$91,$B40,Saldo_Awal!$C$4:$C$91)</f>
        <v>0</v>
      </c>
      <c r="F40" s="2">
        <f>SUMIF(Saldo_Awal!$B$4:$B$91,$B40,Saldo_Awal!$D$4:$D$91)</f>
        <v>0</v>
      </c>
      <c r="G40" s="2">
        <f>SUMIF(Kunci_Jurnal_80!$E$4:$E$230,$B40,Kunci_Jurnal_80!$F$4:$F$230)</f>
        <v>2000000</v>
      </c>
      <c r="H40" s="2">
        <f>SUMIF(Kunci_Jurnal_80!$E$4:$E$230,$B40,Kunci_Jurnal_80!$G$4:$G$230)</f>
        <v>2000000</v>
      </c>
      <c r="I40" s="2">
        <f>SUMIF(Kunci_Penyesuaian!$D$4:$D$65,$B40,Kunci_Penyesuaian!$E$4:$E$65)</f>
        <v>0</v>
      </c>
      <c r="J40" s="2">
        <f>SUMIF(Kunci_Penyesuaian!$D$4:$D$65,$B40,Kunci_Penyesuaian!$F$4:$F$65)</f>
        <v>0</v>
      </c>
      <c r="K40" s="2">
        <f t="shared" si="4"/>
        <v>0</v>
      </c>
      <c r="L40" s="2">
        <f t="shared" si="5"/>
        <v>0</v>
      </c>
      <c r="M40" s="2">
        <f>SUMIF(Jurnal_Penutup!$D$5:$D$82,$B40,Jurnal_Penutup!$E$5:$E$82)</f>
        <v>0</v>
      </c>
      <c r="N40" s="2">
        <f>SUMIF(Jurnal_Penutup!$D$5:$D$82,$B40,Jurnal_Penutup!$F$5:$F$82)</f>
        <v>0</v>
      </c>
      <c r="O40" s="2">
        <f t="shared" si="6"/>
        <v>0</v>
      </c>
      <c r="P40" s="2">
        <f t="shared" si="7"/>
        <v>0</v>
      </c>
    </row>
    <row r="41" spans="1:16" x14ac:dyDescent="0.3">
      <c r="A41" t="s">
        <v>220</v>
      </c>
      <c r="B41" t="s">
        <v>221</v>
      </c>
      <c r="C41" t="s">
        <v>198</v>
      </c>
      <c r="D41" t="s">
        <v>188</v>
      </c>
      <c r="E41" s="2">
        <f>SUMIF(Saldo_Awal!$B$4:$B$91,$B41,Saldo_Awal!$C$4:$C$91)</f>
        <v>0</v>
      </c>
      <c r="F41" s="2">
        <f>SUMIF(Saldo_Awal!$B$4:$B$91,$B41,Saldo_Awal!$D$4:$D$91)</f>
        <v>0</v>
      </c>
      <c r="G41" s="2">
        <f>SUMIF(Kunci_Jurnal_80!$E$4:$E$230,$B41,Kunci_Jurnal_80!$F$4:$F$230)</f>
        <v>0</v>
      </c>
      <c r="H41" s="2">
        <f>SUMIF(Kunci_Jurnal_80!$E$4:$E$230,$B41,Kunci_Jurnal_80!$G$4:$G$230)</f>
        <v>0</v>
      </c>
      <c r="I41" s="2">
        <f>SUMIF(Kunci_Penyesuaian!$D$4:$D$65,$B41,Kunci_Penyesuaian!$E$4:$E$65)</f>
        <v>0</v>
      </c>
      <c r="J41" s="2">
        <f>SUMIF(Kunci_Penyesuaian!$D$4:$D$65,$B41,Kunci_Penyesuaian!$F$4:$F$65)</f>
        <v>8000000</v>
      </c>
      <c r="K41" s="2">
        <f t="shared" si="4"/>
        <v>0</v>
      </c>
      <c r="L41" s="2">
        <f t="shared" si="5"/>
        <v>8000000</v>
      </c>
      <c r="M41" s="2">
        <f>SUMIF(Jurnal_Penutup!$D$5:$D$82,$B41,Jurnal_Penutup!$E$5:$E$82)</f>
        <v>0</v>
      </c>
      <c r="N41" s="2">
        <f>SUMIF(Jurnal_Penutup!$D$5:$D$82,$B41,Jurnal_Penutup!$F$5:$F$82)</f>
        <v>0</v>
      </c>
      <c r="O41" s="2">
        <f t="shared" si="6"/>
        <v>0</v>
      </c>
      <c r="P41" s="2">
        <f t="shared" si="7"/>
        <v>8000000</v>
      </c>
    </row>
    <row r="42" spans="1:16" x14ac:dyDescent="0.3">
      <c r="A42" t="s">
        <v>222</v>
      </c>
      <c r="B42" t="s">
        <v>223</v>
      </c>
      <c r="C42" t="s">
        <v>198</v>
      </c>
      <c r="D42" t="s">
        <v>188</v>
      </c>
      <c r="E42" s="2">
        <f>SUMIF(Saldo_Awal!$B$4:$B$91,$B42,Saldo_Awal!$C$4:$C$91)</f>
        <v>0</v>
      </c>
      <c r="F42" s="2">
        <f>SUMIF(Saldo_Awal!$B$4:$B$91,$B42,Saldo_Awal!$D$4:$D$91)</f>
        <v>0</v>
      </c>
      <c r="G42" s="2">
        <f>SUMIF(Kunci_Jurnal_80!$E$4:$E$230,$B42,Kunci_Jurnal_80!$F$4:$F$230)</f>
        <v>0</v>
      </c>
      <c r="H42" s="2">
        <f>SUMIF(Kunci_Jurnal_80!$E$4:$E$230,$B42,Kunci_Jurnal_80!$G$4:$G$230)</f>
        <v>0</v>
      </c>
      <c r="I42" s="2">
        <f>SUMIF(Kunci_Penyesuaian!$D$4:$D$65,$B42,Kunci_Penyesuaian!$E$4:$E$65)</f>
        <v>0</v>
      </c>
      <c r="J42" s="2">
        <f>SUMIF(Kunci_Penyesuaian!$D$4:$D$65,$B42,Kunci_Penyesuaian!$F$4:$F$65)</f>
        <v>800000</v>
      </c>
      <c r="K42" s="2">
        <f t="shared" si="4"/>
        <v>0</v>
      </c>
      <c r="L42" s="2">
        <f t="shared" si="5"/>
        <v>800000</v>
      </c>
      <c r="M42" s="2">
        <f>SUMIF(Jurnal_Penutup!$D$5:$D$82,$B42,Jurnal_Penutup!$E$5:$E$82)</f>
        <v>0</v>
      </c>
      <c r="N42" s="2">
        <f>SUMIF(Jurnal_Penutup!$D$5:$D$82,$B42,Jurnal_Penutup!$F$5:$F$82)</f>
        <v>0</v>
      </c>
      <c r="O42" s="2">
        <f t="shared" si="6"/>
        <v>0</v>
      </c>
      <c r="P42" s="2">
        <f t="shared" si="7"/>
        <v>800000</v>
      </c>
    </row>
    <row r="43" spans="1:16" x14ac:dyDescent="0.3">
      <c r="A43" t="s">
        <v>224</v>
      </c>
      <c r="B43" t="s">
        <v>225</v>
      </c>
      <c r="C43" t="s">
        <v>198</v>
      </c>
      <c r="D43" t="s">
        <v>188</v>
      </c>
      <c r="E43" s="2">
        <f>SUMIF(Saldo_Awal!$B$4:$B$91,$B43,Saldo_Awal!$C$4:$C$91)</f>
        <v>0</v>
      </c>
      <c r="F43" s="2">
        <f>SUMIF(Saldo_Awal!$B$4:$B$91,$B43,Saldo_Awal!$D$4:$D$91)</f>
        <v>0</v>
      </c>
      <c r="G43" s="2">
        <f>SUMIF(Kunci_Jurnal_80!$E$4:$E$230,$B43,Kunci_Jurnal_80!$F$4:$F$230)</f>
        <v>10000000</v>
      </c>
      <c r="H43" s="2">
        <f>SUMIF(Kunci_Jurnal_80!$E$4:$E$230,$B43,Kunci_Jurnal_80!$G$4:$G$230)</f>
        <v>50000000</v>
      </c>
      <c r="I43" s="2">
        <f>SUMIF(Kunci_Penyesuaian!$D$4:$D$65,$B43,Kunci_Penyesuaian!$E$4:$E$65)</f>
        <v>0</v>
      </c>
      <c r="J43" s="2">
        <f>SUMIF(Kunci_Penyesuaian!$D$4:$D$65,$B43,Kunci_Penyesuaian!$F$4:$F$65)</f>
        <v>0</v>
      </c>
      <c r="K43" s="2">
        <f t="shared" si="4"/>
        <v>0</v>
      </c>
      <c r="L43" s="2">
        <f t="shared" si="5"/>
        <v>40000000</v>
      </c>
      <c r="M43" s="2">
        <f>SUMIF(Jurnal_Penutup!$D$5:$D$82,$B43,Jurnal_Penutup!$E$5:$E$82)</f>
        <v>0</v>
      </c>
      <c r="N43" s="2">
        <f>SUMIF(Jurnal_Penutup!$D$5:$D$82,$B43,Jurnal_Penutup!$F$5:$F$82)</f>
        <v>0</v>
      </c>
      <c r="O43" s="2">
        <f t="shared" si="6"/>
        <v>0</v>
      </c>
      <c r="P43" s="2">
        <f t="shared" si="7"/>
        <v>40000000</v>
      </c>
    </row>
    <row r="44" spans="1:16" x14ac:dyDescent="0.3">
      <c r="A44" t="s">
        <v>226</v>
      </c>
      <c r="B44" t="s">
        <v>227</v>
      </c>
      <c r="C44" t="s">
        <v>198</v>
      </c>
      <c r="D44" t="s">
        <v>188</v>
      </c>
      <c r="E44" s="2">
        <f>SUMIF(Saldo_Awal!$B$4:$B$91,$B44,Saldo_Awal!$C$4:$C$91)</f>
        <v>0</v>
      </c>
      <c r="F44" s="2">
        <f>SUMIF(Saldo_Awal!$B$4:$B$91,$B44,Saldo_Awal!$D$4:$D$91)</f>
        <v>200000000</v>
      </c>
      <c r="G44" s="2">
        <f>SUMIF(Kunci_Jurnal_80!$E$4:$E$230,$B44,Kunci_Jurnal_80!$F$4:$F$230)</f>
        <v>20000000</v>
      </c>
      <c r="H44" s="2">
        <f>SUMIF(Kunci_Jurnal_80!$E$4:$E$230,$B44,Kunci_Jurnal_80!$G$4:$G$230)</f>
        <v>200000000</v>
      </c>
      <c r="I44" s="2">
        <f>SUMIF(Kunci_Penyesuaian!$D$4:$D$65,$B44,Kunci_Penyesuaian!$E$4:$E$65)</f>
        <v>0</v>
      </c>
      <c r="J44" s="2">
        <f>SUMIF(Kunci_Penyesuaian!$D$4:$D$65,$B44,Kunci_Penyesuaian!$F$4:$F$65)</f>
        <v>0</v>
      </c>
      <c r="K44" s="2">
        <f t="shared" si="4"/>
        <v>0</v>
      </c>
      <c r="L44" s="2">
        <f t="shared" si="5"/>
        <v>380000000</v>
      </c>
      <c r="M44" s="2">
        <f>SUMIF(Jurnal_Penutup!$D$5:$D$82,$B44,Jurnal_Penutup!$E$5:$E$82)</f>
        <v>0</v>
      </c>
      <c r="N44" s="2">
        <f>SUMIF(Jurnal_Penutup!$D$5:$D$82,$B44,Jurnal_Penutup!$F$5:$F$82)</f>
        <v>0</v>
      </c>
      <c r="O44" s="2">
        <f t="shared" si="6"/>
        <v>0</v>
      </c>
      <c r="P44" s="2">
        <f t="shared" si="7"/>
        <v>380000000</v>
      </c>
    </row>
    <row r="45" spans="1:16" x14ac:dyDescent="0.3">
      <c r="A45" t="s">
        <v>229</v>
      </c>
      <c r="B45" t="s">
        <v>230</v>
      </c>
      <c r="C45" t="s">
        <v>198</v>
      </c>
      <c r="D45" t="s">
        <v>188</v>
      </c>
      <c r="E45" s="2">
        <f>SUMIF(Saldo_Awal!$B$4:$B$91,$B45,Saldo_Awal!$C$4:$C$91)</f>
        <v>0</v>
      </c>
      <c r="F45" s="2">
        <f>SUMIF(Saldo_Awal!$B$4:$B$91,$B45,Saldo_Awal!$D$4:$D$91)</f>
        <v>0</v>
      </c>
      <c r="G45" s="2">
        <f>SUMIF(Kunci_Jurnal_80!$E$4:$E$230,$B45,Kunci_Jurnal_80!$F$4:$F$230)</f>
        <v>40000000</v>
      </c>
      <c r="H45" s="2">
        <f>SUMIF(Kunci_Jurnal_80!$E$4:$E$230,$B45,Kunci_Jurnal_80!$G$4:$G$230)</f>
        <v>44440000</v>
      </c>
      <c r="I45" s="2">
        <f>SUMIF(Kunci_Penyesuaian!$D$4:$D$65,$B45,Kunci_Penyesuaian!$E$4:$E$65)</f>
        <v>4440000</v>
      </c>
      <c r="J45" s="2">
        <f>SUMIF(Kunci_Penyesuaian!$D$4:$D$65,$B45,Kunci_Penyesuaian!$F$4:$F$65)</f>
        <v>0</v>
      </c>
      <c r="K45" s="2">
        <f t="shared" si="4"/>
        <v>0</v>
      </c>
      <c r="L45" s="2">
        <f t="shared" si="5"/>
        <v>0</v>
      </c>
      <c r="M45" s="2">
        <f>SUMIF(Jurnal_Penutup!$D$5:$D$82,$B45,Jurnal_Penutup!$E$5:$E$82)</f>
        <v>0</v>
      </c>
      <c r="N45" s="2">
        <f>SUMIF(Jurnal_Penutup!$D$5:$D$82,$B45,Jurnal_Penutup!$F$5:$F$82)</f>
        <v>0</v>
      </c>
      <c r="O45" s="2">
        <f t="shared" si="6"/>
        <v>0</v>
      </c>
      <c r="P45" s="2">
        <f t="shared" si="7"/>
        <v>0</v>
      </c>
    </row>
    <row r="46" spans="1:16" x14ac:dyDescent="0.3">
      <c r="A46" t="s">
        <v>231</v>
      </c>
      <c r="B46" t="s">
        <v>232</v>
      </c>
      <c r="C46" t="s">
        <v>198</v>
      </c>
      <c r="D46" t="s">
        <v>188</v>
      </c>
      <c r="E46" s="2">
        <f>SUMIF(Saldo_Awal!$B$4:$B$91,$B46,Saldo_Awal!$C$4:$C$91)</f>
        <v>0</v>
      </c>
      <c r="F46" s="2">
        <f>SUMIF(Saldo_Awal!$B$4:$B$91,$B46,Saldo_Awal!$D$4:$D$91)</f>
        <v>0</v>
      </c>
      <c r="G46" s="2">
        <f>SUMIF(Kunci_Jurnal_80!$E$4:$E$230,$B46,Kunci_Jurnal_80!$F$4:$F$230)</f>
        <v>0</v>
      </c>
      <c r="H46" s="2">
        <f>SUMIF(Kunci_Jurnal_80!$E$4:$E$230,$B46,Kunci_Jurnal_80!$G$4:$G$230)</f>
        <v>0</v>
      </c>
      <c r="I46" s="2">
        <f>SUMIF(Kunci_Penyesuaian!$D$4:$D$65,$B46,Kunci_Penyesuaian!$E$4:$E$65)</f>
        <v>0</v>
      </c>
      <c r="J46" s="2">
        <f>SUMIF(Kunci_Penyesuaian!$D$4:$D$65,$B46,Kunci_Penyesuaian!$F$4:$F$65)</f>
        <v>0</v>
      </c>
      <c r="K46" s="2">
        <f t="shared" si="4"/>
        <v>0</v>
      </c>
      <c r="L46" s="2">
        <f t="shared" si="5"/>
        <v>0</v>
      </c>
      <c r="M46" s="2">
        <f>SUMIF(Jurnal_Penutup!$D$5:$D$82,$B46,Jurnal_Penutup!$E$5:$E$82)</f>
        <v>0</v>
      </c>
      <c r="N46" s="2">
        <f>SUMIF(Jurnal_Penutup!$D$5:$D$82,$B46,Jurnal_Penutup!$F$5:$F$82)</f>
        <v>0</v>
      </c>
      <c r="O46" s="2">
        <f t="shared" si="6"/>
        <v>0</v>
      </c>
      <c r="P46" s="2">
        <f t="shared" si="7"/>
        <v>0</v>
      </c>
    </row>
    <row r="47" spans="1:16" x14ac:dyDescent="0.3">
      <c r="A47" t="s">
        <v>233</v>
      </c>
      <c r="B47" t="s">
        <v>234</v>
      </c>
      <c r="C47" t="s">
        <v>198</v>
      </c>
      <c r="D47" t="s">
        <v>188</v>
      </c>
      <c r="E47" s="2">
        <f>SUMIF(Saldo_Awal!$B$4:$B$91,$B47,Saldo_Awal!$C$4:$C$91)</f>
        <v>0</v>
      </c>
      <c r="F47" s="2">
        <f>SUMIF(Saldo_Awal!$B$4:$B$91,$B47,Saldo_Awal!$D$4:$D$91)</f>
        <v>0</v>
      </c>
      <c r="G47" s="2">
        <f>SUMIF(Kunci_Jurnal_80!$E$4:$E$230,$B47,Kunci_Jurnal_80!$F$4:$F$230)</f>
        <v>0</v>
      </c>
      <c r="H47" s="2">
        <f>SUMIF(Kunci_Jurnal_80!$E$4:$E$230,$B47,Kunci_Jurnal_80!$G$4:$G$230)</f>
        <v>0</v>
      </c>
      <c r="I47" s="2">
        <f>SUMIF(Kunci_Penyesuaian!$D$4:$D$65,$B47,Kunci_Penyesuaian!$E$4:$E$65)</f>
        <v>0</v>
      </c>
      <c r="J47" s="2">
        <f>SUMIF(Kunci_Penyesuaian!$D$4:$D$65,$B47,Kunci_Penyesuaian!$F$4:$F$65)</f>
        <v>0</v>
      </c>
      <c r="K47" s="2">
        <f t="shared" si="4"/>
        <v>0</v>
      </c>
      <c r="L47" s="2">
        <f t="shared" si="5"/>
        <v>0</v>
      </c>
      <c r="M47" s="2">
        <f>SUMIF(Jurnal_Penutup!$D$5:$D$82,$B47,Jurnal_Penutup!$E$5:$E$82)</f>
        <v>0</v>
      </c>
      <c r="N47" s="2">
        <f>SUMIF(Jurnal_Penutup!$D$5:$D$82,$B47,Jurnal_Penutup!$F$5:$F$82)</f>
        <v>0</v>
      </c>
      <c r="O47" s="2">
        <f t="shared" si="6"/>
        <v>0</v>
      </c>
      <c r="P47" s="2">
        <f t="shared" si="7"/>
        <v>0</v>
      </c>
    </row>
    <row r="48" spans="1:16" x14ac:dyDescent="0.3">
      <c r="A48" t="s">
        <v>235</v>
      </c>
      <c r="B48" t="s">
        <v>236</v>
      </c>
      <c r="C48" t="s">
        <v>198</v>
      </c>
      <c r="D48" t="s">
        <v>188</v>
      </c>
      <c r="E48" s="2">
        <f>SUMIF(Saldo_Awal!$B$4:$B$91,$B48,Saldo_Awal!$C$4:$C$91)</f>
        <v>0</v>
      </c>
      <c r="F48" s="2">
        <f>SUMIF(Saldo_Awal!$B$4:$B$91,$B48,Saldo_Awal!$D$4:$D$91)</f>
        <v>0</v>
      </c>
      <c r="G48" s="2">
        <f>SUMIF(Kunci_Jurnal_80!$E$4:$E$230,$B48,Kunci_Jurnal_80!$F$4:$F$230)</f>
        <v>15000000</v>
      </c>
      <c r="H48" s="2">
        <f>SUMIF(Kunci_Jurnal_80!$E$4:$E$230,$B48,Kunci_Jurnal_80!$G$4:$G$230)</f>
        <v>15000000</v>
      </c>
      <c r="I48" s="2">
        <f>SUMIF(Kunci_Penyesuaian!$D$4:$D$65,$B48,Kunci_Penyesuaian!$E$4:$E$65)</f>
        <v>0</v>
      </c>
      <c r="J48" s="2">
        <f>SUMIF(Kunci_Penyesuaian!$D$4:$D$65,$B48,Kunci_Penyesuaian!$F$4:$F$65)</f>
        <v>0</v>
      </c>
      <c r="K48" s="2">
        <f t="shared" si="4"/>
        <v>0</v>
      </c>
      <c r="L48" s="2">
        <f t="shared" si="5"/>
        <v>0</v>
      </c>
      <c r="M48" s="2">
        <f>SUMIF(Jurnal_Penutup!$D$5:$D$82,$B48,Jurnal_Penutup!$E$5:$E$82)</f>
        <v>0</v>
      </c>
      <c r="N48" s="2">
        <f>SUMIF(Jurnal_Penutup!$D$5:$D$82,$B48,Jurnal_Penutup!$F$5:$F$82)</f>
        <v>0</v>
      </c>
      <c r="O48" s="2">
        <f t="shared" si="6"/>
        <v>0</v>
      </c>
      <c r="P48" s="2">
        <f t="shared" si="7"/>
        <v>0</v>
      </c>
    </row>
    <row r="49" spans="1:16" x14ac:dyDescent="0.3">
      <c r="A49" t="s">
        <v>237</v>
      </c>
      <c r="B49" t="s">
        <v>238</v>
      </c>
      <c r="C49" t="s">
        <v>239</v>
      </c>
      <c r="D49" t="s">
        <v>188</v>
      </c>
      <c r="E49" s="2">
        <f>SUMIF(Saldo_Awal!$B$4:$B$91,$B49,Saldo_Awal!$C$4:$C$91)</f>
        <v>0</v>
      </c>
      <c r="F49" s="2">
        <f>SUMIF(Saldo_Awal!$B$4:$B$91,$B49,Saldo_Awal!$D$4:$D$91)</f>
        <v>230000000</v>
      </c>
      <c r="G49" s="2">
        <f>SUMIF(Kunci_Jurnal_80!$E$4:$E$230,$B49,Kunci_Jurnal_80!$F$4:$F$230)</f>
        <v>0</v>
      </c>
      <c r="H49" s="2">
        <f>SUMIF(Kunci_Jurnal_80!$E$4:$E$230,$B49,Kunci_Jurnal_80!$G$4:$G$230)</f>
        <v>1500000000</v>
      </c>
      <c r="I49" s="2">
        <f>SUMIF(Kunci_Penyesuaian!$D$4:$D$65,$B49,Kunci_Penyesuaian!$E$4:$E$65)</f>
        <v>0</v>
      </c>
      <c r="J49" s="2">
        <f>SUMIF(Kunci_Penyesuaian!$D$4:$D$65,$B49,Kunci_Penyesuaian!$F$4:$F$65)</f>
        <v>0</v>
      </c>
      <c r="K49" s="2">
        <f t="shared" si="4"/>
        <v>0</v>
      </c>
      <c r="L49" s="2">
        <f t="shared" si="5"/>
        <v>1730000000</v>
      </c>
      <c r="M49" s="2">
        <f>SUMIF(Jurnal_Penutup!$D$5:$D$82,$B49,Jurnal_Penutup!$E$5:$E$82)</f>
        <v>0</v>
      </c>
      <c r="N49" s="2">
        <f>SUMIF(Jurnal_Penutup!$D$5:$D$82,$B49,Jurnal_Penutup!$F$5:$F$82)</f>
        <v>0</v>
      </c>
      <c r="O49" s="2">
        <f t="shared" si="6"/>
        <v>0</v>
      </c>
      <c r="P49" s="2">
        <f t="shared" si="7"/>
        <v>1730000000</v>
      </c>
    </row>
    <row r="50" spans="1:16" x14ac:dyDescent="0.3">
      <c r="A50" t="s">
        <v>241</v>
      </c>
      <c r="B50" t="s">
        <v>242</v>
      </c>
      <c r="C50" t="s">
        <v>243</v>
      </c>
      <c r="D50" t="s">
        <v>140</v>
      </c>
      <c r="E50" s="2">
        <f>SUMIF(Saldo_Awal!$B$4:$B$91,$B50,Saldo_Awal!$C$4:$C$91)</f>
        <v>0</v>
      </c>
      <c r="F50" s="2">
        <f>SUMIF(Saldo_Awal!$B$4:$B$91,$B50,Saldo_Awal!$D$4:$D$91)</f>
        <v>0</v>
      </c>
      <c r="G50" s="2">
        <f>SUMIF(Kunci_Jurnal_80!$E$4:$E$230,$B50,Kunci_Jurnal_80!$F$4:$F$230)</f>
        <v>15000000</v>
      </c>
      <c r="H50" s="2">
        <f>SUMIF(Kunci_Jurnal_80!$E$4:$E$230,$B50,Kunci_Jurnal_80!$G$4:$G$230)</f>
        <v>0</v>
      </c>
      <c r="I50" s="2">
        <f>SUMIF(Kunci_Penyesuaian!$D$4:$D$65,$B50,Kunci_Penyesuaian!$E$4:$E$65)</f>
        <v>0</v>
      </c>
      <c r="J50" s="2">
        <f>SUMIF(Kunci_Penyesuaian!$D$4:$D$65,$B50,Kunci_Penyesuaian!$F$4:$F$65)</f>
        <v>0</v>
      </c>
      <c r="K50" s="2">
        <f t="shared" si="4"/>
        <v>15000000</v>
      </c>
      <c r="L50" s="2">
        <f t="shared" si="5"/>
        <v>0</v>
      </c>
      <c r="M50" s="2">
        <f>SUMIF(Jurnal_Penutup!$D$5:$D$82,$B50,Jurnal_Penutup!$E$5:$E$82)</f>
        <v>0</v>
      </c>
      <c r="N50" s="2">
        <f>SUMIF(Jurnal_Penutup!$D$5:$D$82,$B50,Jurnal_Penutup!$F$5:$F$82)</f>
        <v>15000000</v>
      </c>
      <c r="O50" s="2">
        <f t="shared" si="6"/>
        <v>0</v>
      </c>
      <c r="P50" s="2">
        <f t="shared" si="7"/>
        <v>0</v>
      </c>
    </row>
    <row r="51" spans="1:16" x14ac:dyDescent="0.3">
      <c r="A51" t="s">
        <v>245</v>
      </c>
      <c r="B51" t="s">
        <v>246</v>
      </c>
      <c r="C51" t="s">
        <v>239</v>
      </c>
      <c r="D51" t="s">
        <v>188</v>
      </c>
      <c r="E51" s="2">
        <f>SUMIF(Saldo_Awal!$B$4:$B$91,$B51,Saldo_Awal!$C$4:$C$91)</f>
        <v>0</v>
      </c>
      <c r="F51" s="2">
        <f>SUMIF(Saldo_Awal!$B$4:$B$91,$B51,Saldo_Awal!$D$4:$D$91)</f>
        <v>0</v>
      </c>
      <c r="G51" s="2">
        <f>SUMIF(Kunci_Jurnal_80!$E$4:$E$230,$B51,Kunci_Jurnal_80!$F$4:$F$230)</f>
        <v>0</v>
      </c>
      <c r="H51" s="2">
        <f>SUMIF(Kunci_Jurnal_80!$E$4:$E$230,$B51,Kunci_Jurnal_80!$G$4:$G$230)</f>
        <v>0</v>
      </c>
      <c r="I51" s="2">
        <f>SUMIF(Kunci_Penyesuaian!$D$4:$D$65,$B51,Kunci_Penyesuaian!$E$4:$E$65)</f>
        <v>0</v>
      </c>
      <c r="J51" s="2">
        <f>SUMIF(Kunci_Penyesuaian!$D$4:$D$65,$B51,Kunci_Penyesuaian!$F$4:$F$65)</f>
        <v>0</v>
      </c>
      <c r="K51" s="2">
        <f t="shared" si="4"/>
        <v>0</v>
      </c>
      <c r="L51" s="2">
        <f t="shared" si="5"/>
        <v>0</v>
      </c>
      <c r="M51" s="2">
        <f>SUMIF(Jurnal_Penutup!$D$5:$D$82,$B51,Jurnal_Penutup!$E$5:$E$82)</f>
        <v>15000000</v>
      </c>
      <c r="N51" s="2">
        <f>SUMIF(Jurnal_Penutup!$D$5:$D$82,$B51,Jurnal_Penutup!$F$5:$F$82)</f>
        <v>134800000</v>
      </c>
      <c r="O51" s="2">
        <f t="shared" si="6"/>
        <v>0</v>
      </c>
      <c r="P51" s="2">
        <f t="shared" si="7"/>
        <v>119800000</v>
      </c>
    </row>
    <row r="52" spans="1:16" x14ac:dyDescent="0.3">
      <c r="A52" t="s">
        <v>247</v>
      </c>
      <c r="B52" t="s">
        <v>248</v>
      </c>
      <c r="C52" t="s">
        <v>249</v>
      </c>
      <c r="D52" t="s">
        <v>188</v>
      </c>
      <c r="E52" s="2">
        <f>SUMIF(Saldo_Awal!$B$4:$B$91,$B52,Saldo_Awal!$C$4:$C$91)</f>
        <v>0</v>
      </c>
      <c r="F52" s="2">
        <f>SUMIF(Saldo_Awal!$B$4:$B$91,$B52,Saldo_Awal!$D$4:$D$91)</f>
        <v>0</v>
      </c>
      <c r="G52" s="2">
        <f>SUMIF(Kunci_Jurnal_80!$E$4:$E$230,$B52,Kunci_Jurnal_80!$F$4:$F$230)</f>
        <v>0</v>
      </c>
      <c r="H52" s="2">
        <f>SUMIF(Kunci_Jurnal_80!$E$4:$E$230,$B52,Kunci_Jurnal_80!$G$4:$G$230)</f>
        <v>0</v>
      </c>
      <c r="I52" s="2">
        <f>SUMIF(Kunci_Penyesuaian!$D$4:$D$65,$B52,Kunci_Penyesuaian!$E$4:$E$65)</f>
        <v>0</v>
      </c>
      <c r="J52" s="2">
        <f>SUMIF(Kunci_Penyesuaian!$D$4:$D$65,$B52,Kunci_Penyesuaian!$F$4:$F$65)</f>
        <v>0</v>
      </c>
      <c r="K52" s="2">
        <f t="shared" si="4"/>
        <v>0</v>
      </c>
      <c r="L52" s="2">
        <f t="shared" si="5"/>
        <v>0</v>
      </c>
      <c r="M52" s="2">
        <f>SUMIF(Jurnal_Penutup!$D$5:$D$82,$B52,Jurnal_Penutup!$E$5:$E$82)</f>
        <v>703350000</v>
      </c>
      <c r="N52" s="2">
        <f>SUMIF(Jurnal_Penutup!$D$5:$D$82,$B52,Jurnal_Penutup!$F$5:$F$82)</f>
        <v>703350000</v>
      </c>
      <c r="O52" s="2">
        <f t="shared" si="6"/>
        <v>0</v>
      </c>
      <c r="P52" s="2">
        <f t="shared" si="7"/>
        <v>0</v>
      </c>
    </row>
    <row r="53" spans="1:16" x14ac:dyDescent="0.3">
      <c r="A53" t="s">
        <v>251</v>
      </c>
      <c r="B53" t="s">
        <v>252</v>
      </c>
      <c r="C53" t="s">
        <v>253</v>
      </c>
      <c r="D53" t="s">
        <v>188</v>
      </c>
      <c r="E53" s="2">
        <f>SUMIF(Saldo_Awal!$B$4:$B$91,$B53,Saldo_Awal!$C$4:$C$91)</f>
        <v>0</v>
      </c>
      <c r="F53" s="2">
        <f>SUMIF(Saldo_Awal!$B$4:$B$91,$B53,Saldo_Awal!$D$4:$D$91)</f>
        <v>0</v>
      </c>
      <c r="G53" s="2">
        <f>SUMIF(Kunci_Jurnal_80!$E$4:$E$230,$B53,Kunci_Jurnal_80!$F$4:$F$230)</f>
        <v>0</v>
      </c>
      <c r="H53" s="2">
        <f>SUMIF(Kunci_Jurnal_80!$E$4:$E$230,$B53,Kunci_Jurnal_80!$G$4:$G$230)</f>
        <v>695000000</v>
      </c>
      <c r="I53" s="2">
        <f>SUMIF(Kunci_Penyesuaian!$D$4:$D$65,$B53,Kunci_Penyesuaian!$E$4:$E$65)</f>
        <v>0</v>
      </c>
      <c r="J53" s="2">
        <f>SUMIF(Kunci_Penyesuaian!$D$4:$D$65,$B53,Kunci_Penyesuaian!$F$4:$F$65)</f>
        <v>4000000</v>
      </c>
      <c r="K53" s="2">
        <f t="shared" si="4"/>
        <v>0</v>
      </c>
      <c r="L53" s="2">
        <f t="shared" si="5"/>
        <v>699000000</v>
      </c>
      <c r="M53" s="2">
        <f>SUMIF(Jurnal_Penutup!$D$5:$D$82,$B53,Jurnal_Penutup!$E$5:$E$82)</f>
        <v>699000000</v>
      </c>
      <c r="N53" s="2">
        <f>SUMIF(Jurnal_Penutup!$D$5:$D$82,$B53,Jurnal_Penutup!$F$5:$F$82)</f>
        <v>0</v>
      </c>
      <c r="O53" s="2">
        <f t="shared" si="6"/>
        <v>0</v>
      </c>
      <c r="P53" s="2">
        <f t="shared" si="7"/>
        <v>0</v>
      </c>
    </row>
    <row r="54" spans="1:16" x14ac:dyDescent="0.3">
      <c r="A54" t="s">
        <v>255</v>
      </c>
      <c r="B54" t="s">
        <v>256</v>
      </c>
      <c r="C54" t="s">
        <v>257</v>
      </c>
      <c r="D54" t="s">
        <v>140</v>
      </c>
      <c r="E54" s="2">
        <f>SUMIF(Saldo_Awal!$B$4:$B$91,$B54,Saldo_Awal!$C$4:$C$91)</f>
        <v>0</v>
      </c>
      <c r="F54" s="2">
        <f>SUMIF(Saldo_Awal!$B$4:$B$91,$B54,Saldo_Awal!$D$4:$D$91)</f>
        <v>0</v>
      </c>
      <c r="G54" s="2">
        <f>SUMIF(Kunci_Jurnal_80!$E$4:$E$230,$B54,Kunci_Jurnal_80!$F$4:$F$230)</f>
        <v>25000000</v>
      </c>
      <c r="H54" s="2">
        <f>SUMIF(Kunci_Jurnal_80!$E$4:$E$230,$B54,Kunci_Jurnal_80!$G$4:$G$230)</f>
        <v>0</v>
      </c>
      <c r="I54" s="2">
        <f>SUMIF(Kunci_Penyesuaian!$D$4:$D$65,$B54,Kunci_Penyesuaian!$E$4:$E$65)</f>
        <v>0</v>
      </c>
      <c r="J54" s="2">
        <f>SUMIF(Kunci_Penyesuaian!$D$4:$D$65,$B54,Kunci_Penyesuaian!$F$4:$F$65)</f>
        <v>0</v>
      </c>
      <c r="K54" s="2">
        <f t="shared" si="4"/>
        <v>25000000</v>
      </c>
      <c r="L54" s="2">
        <f t="shared" si="5"/>
        <v>0</v>
      </c>
      <c r="M54" s="2">
        <f>SUMIF(Jurnal_Penutup!$D$5:$D$82,$B54,Jurnal_Penutup!$E$5:$E$82)</f>
        <v>0</v>
      </c>
      <c r="N54" s="2">
        <f>SUMIF(Jurnal_Penutup!$D$5:$D$82,$B54,Jurnal_Penutup!$F$5:$F$82)</f>
        <v>25000000</v>
      </c>
      <c r="O54" s="2">
        <f t="shared" si="6"/>
        <v>0</v>
      </c>
      <c r="P54" s="2">
        <f t="shared" si="7"/>
        <v>0</v>
      </c>
    </row>
    <row r="55" spans="1:16" x14ac:dyDescent="0.3">
      <c r="A55" t="s">
        <v>258</v>
      </c>
      <c r="B55" t="s">
        <v>259</v>
      </c>
      <c r="C55" t="s">
        <v>257</v>
      </c>
      <c r="D55" t="s">
        <v>140</v>
      </c>
      <c r="E55" s="2">
        <f>SUMIF(Saldo_Awal!$B$4:$B$91,$B55,Saldo_Awal!$C$4:$C$91)</f>
        <v>0</v>
      </c>
      <c r="F55" s="2">
        <f>SUMIF(Saldo_Awal!$B$4:$B$91,$B55,Saldo_Awal!$D$4:$D$91)</f>
        <v>0</v>
      </c>
      <c r="G55" s="2">
        <f>SUMIF(Kunci_Jurnal_80!$E$4:$E$230,$B55,Kunci_Jurnal_80!$F$4:$F$230)</f>
        <v>4600000</v>
      </c>
      <c r="H55" s="2">
        <f>SUMIF(Kunci_Jurnal_80!$E$4:$E$230,$B55,Kunci_Jurnal_80!$G$4:$G$230)</f>
        <v>0</v>
      </c>
      <c r="I55" s="2">
        <f>SUMIF(Kunci_Penyesuaian!$D$4:$D$65,$B55,Kunci_Penyesuaian!$E$4:$E$65)</f>
        <v>0</v>
      </c>
      <c r="J55" s="2">
        <f>SUMIF(Kunci_Penyesuaian!$D$4:$D$65,$B55,Kunci_Penyesuaian!$F$4:$F$65)</f>
        <v>0</v>
      </c>
      <c r="K55" s="2">
        <f t="shared" si="4"/>
        <v>4600000</v>
      </c>
      <c r="L55" s="2">
        <f t="shared" si="5"/>
        <v>0</v>
      </c>
      <c r="M55" s="2">
        <f>SUMIF(Jurnal_Penutup!$D$5:$D$82,$B55,Jurnal_Penutup!$E$5:$E$82)</f>
        <v>0</v>
      </c>
      <c r="N55" s="2">
        <f>SUMIF(Jurnal_Penutup!$D$5:$D$82,$B55,Jurnal_Penutup!$F$5:$F$82)</f>
        <v>4600000</v>
      </c>
      <c r="O55" s="2">
        <f t="shared" si="6"/>
        <v>0</v>
      </c>
      <c r="P55" s="2">
        <f t="shared" si="7"/>
        <v>0</v>
      </c>
    </row>
    <row r="56" spans="1:16" x14ac:dyDescent="0.3">
      <c r="A56" t="s">
        <v>260</v>
      </c>
      <c r="B56" t="s">
        <v>261</v>
      </c>
      <c r="C56" t="s">
        <v>253</v>
      </c>
      <c r="D56" t="s">
        <v>188</v>
      </c>
      <c r="E56" s="2">
        <f>SUMIF(Saldo_Awal!$B$4:$B$91,$B56,Saldo_Awal!$C$4:$C$91)</f>
        <v>0</v>
      </c>
      <c r="F56" s="2">
        <f>SUMIF(Saldo_Awal!$B$4:$B$91,$B56,Saldo_Awal!$D$4:$D$91)</f>
        <v>0</v>
      </c>
      <c r="G56" s="2">
        <f>SUMIF(Kunci_Jurnal_80!$E$4:$E$230,$B56,Kunci_Jurnal_80!$F$4:$F$230)</f>
        <v>0</v>
      </c>
      <c r="H56" s="2">
        <f>SUMIF(Kunci_Jurnal_80!$E$4:$E$230,$B56,Kunci_Jurnal_80!$G$4:$G$230)</f>
        <v>0</v>
      </c>
      <c r="I56" s="2">
        <f>SUMIF(Kunci_Penyesuaian!$D$4:$D$65,$B56,Kunci_Penyesuaian!$E$4:$E$65)</f>
        <v>0</v>
      </c>
      <c r="J56" s="2">
        <f>SUMIF(Kunci_Penyesuaian!$D$4:$D$65,$B56,Kunci_Penyesuaian!$F$4:$F$65)</f>
        <v>0</v>
      </c>
      <c r="K56" s="2">
        <f t="shared" si="4"/>
        <v>0</v>
      </c>
      <c r="L56" s="2">
        <f t="shared" si="5"/>
        <v>0</v>
      </c>
      <c r="M56" s="2">
        <f>SUMIF(Jurnal_Penutup!$D$5:$D$82,$B56,Jurnal_Penutup!$E$5:$E$82)</f>
        <v>0</v>
      </c>
      <c r="N56" s="2">
        <f>SUMIF(Jurnal_Penutup!$D$5:$D$82,$B56,Jurnal_Penutup!$F$5:$F$82)</f>
        <v>0</v>
      </c>
      <c r="O56" s="2">
        <f t="shared" si="6"/>
        <v>0</v>
      </c>
      <c r="P56" s="2">
        <f t="shared" si="7"/>
        <v>0</v>
      </c>
    </row>
    <row r="57" spans="1:16" x14ac:dyDescent="0.3">
      <c r="A57" t="s">
        <v>262</v>
      </c>
      <c r="B57" t="s">
        <v>263</v>
      </c>
      <c r="C57" t="s">
        <v>253</v>
      </c>
      <c r="D57" t="s">
        <v>188</v>
      </c>
      <c r="E57" s="2">
        <f>SUMIF(Saldo_Awal!$B$4:$B$91,$B57,Saldo_Awal!$C$4:$C$91)</f>
        <v>0</v>
      </c>
      <c r="F57" s="2">
        <f>SUMIF(Saldo_Awal!$B$4:$B$91,$B57,Saldo_Awal!$D$4:$D$91)</f>
        <v>0</v>
      </c>
      <c r="G57" s="2">
        <f>SUMIF(Kunci_Jurnal_80!$E$4:$E$230,$B57,Kunci_Jurnal_80!$F$4:$F$230)</f>
        <v>0</v>
      </c>
      <c r="H57" s="2">
        <f>SUMIF(Kunci_Jurnal_80!$E$4:$E$230,$B57,Kunci_Jurnal_80!$G$4:$G$230)</f>
        <v>1500000</v>
      </c>
      <c r="I57" s="2">
        <f>SUMIF(Kunci_Penyesuaian!$D$4:$D$65,$B57,Kunci_Penyesuaian!$E$4:$E$65)</f>
        <v>0</v>
      </c>
      <c r="J57" s="2">
        <f>SUMIF(Kunci_Penyesuaian!$D$4:$D$65,$B57,Kunci_Penyesuaian!$F$4:$F$65)</f>
        <v>700000</v>
      </c>
      <c r="K57" s="2">
        <f t="shared" si="4"/>
        <v>0</v>
      </c>
      <c r="L57" s="2">
        <f t="shared" si="5"/>
        <v>2200000</v>
      </c>
      <c r="M57" s="2">
        <f>SUMIF(Jurnal_Penutup!$D$5:$D$82,$B57,Jurnal_Penutup!$E$5:$E$82)</f>
        <v>2200000</v>
      </c>
      <c r="N57" s="2">
        <f>SUMIF(Jurnal_Penutup!$D$5:$D$82,$B57,Jurnal_Penutup!$F$5:$F$82)</f>
        <v>0</v>
      </c>
      <c r="O57" s="2">
        <f t="shared" si="6"/>
        <v>0</v>
      </c>
      <c r="P57" s="2">
        <f t="shared" si="7"/>
        <v>0</v>
      </c>
    </row>
    <row r="58" spans="1:16" x14ac:dyDescent="0.3">
      <c r="A58" t="s">
        <v>265</v>
      </c>
      <c r="B58" t="s">
        <v>266</v>
      </c>
      <c r="C58" t="s">
        <v>253</v>
      </c>
      <c r="D58" t="s">
        <v>188</v>
      </c>
      <c r="E58" s="2">
        <f>SUMIF(Saldo_Awal!$B$4:$B$91,$B58,Saldo_Awal!$C$4:$C$91)</f>
        <v>0</v>
      </c>
      <c r="F58" s="2">
        <f>SUMIF(Saldo_Awal!$B$4:$B$91,$B58,Saldo_Awal!$D$4:$D$91)</f>
        <v>0</v>
      </c>
      <c r="G58" s="2">
        <f>SUMIF(Kunci_Jurnal_80!$E$4:$E$230,$B58,Kunci_Jurnal_80!$F$4:$F$230)</f>
        <v>0</v>
      </c>
      <c r="H58" s="2">
        <f>SUMIF(Kunci_Jurnal_80!$E$4:$E$230,$B58,Kunci_Jurnal_80!$G$4:$G$230)</f>
        <v>2000000</v>
      </c>
      <c r="I58" s="2">
        <f>SUMIF(Kunci_Penyesuaian!$D$4:$D$65,$B58,Kunci_Penyesuaian!$E$4:$E$65)</f>
        <v>0</v>
      </c>
      <c r="J58" s="2">
        <f>SUMIF(Kunci_Penyesuaian!$D$4:$D$65,$B58,Kunci_Penyesuaian!$F$4:$F$65)</f>
        <v>0</v>
      </c>
      <c r="K58" s="2">
        <f t="shared" si="4"/>
        <v>0</v>
      </c>
      <c r="L58" s="2">
        <f t="shared" si="5"/>
        <v>2000000</v>
      </c>
      <c r="M58" s="2">
        <f>SUMIF(Jurnal_Penutup!$D$5:$D$82,$B58,Jurnal_Penutup!$E$5:$E$82)</f>
        <v>2000000</v>
      </c>
      <c r="N58" s="2">
        <f>SUMIF(Jurnal_Penutup!$D$5:$D$82,$B58,Jurnal_Penutup!$F$5:$F$82)</f>
        <v>0</v>
      </c>
      <c r="O58" s="2">
        <f t="shared" si="6"/>
        <v>0</v>
      </c>
      <c r="P58" s="2">
        <f t="shared" si="7"/>
        <v>0</v>
      </c>
    </row>
    <row r="59" spans="1:16" x14ac:dyDescent="0.3">
      <c r="A59" t="s">
        <v>267</v>
      </c>
      <c r="B59" t="s">
        <v>268</v>
      </c>
      <c r="C59" t="s">
        <v>253</v>
      </c>
      <c r="D59" t="s">
        <v>188</v>
      </c>
      <c r="E59" s="2">
        <f>SUMIF(Saldo_Awal!$B$4:$B$91,$B59,Saldo_Awal!$C$4:$C$91)</f>
        <v>0</v>
      </c>
      <c r="F59" s="2">
        <f>SUMIF(Saldo_Awal!$B$4:$B$91,$B59,Saldo_Awal!$D$4:$D$91)</f>
        <v>0</v>
      </c>
      <c r="G59" s="2">
        <f>SUMIF(Kunci_Jurnal_80!$E$4:$E$230,$B59,Kunci_Jurnal_80!$F$4:$F$230)</f>
        <v>0</v>
      </c>
      <c r="H59" s="2">
        <f>SUMIF(Kunci_Jurnal_80!$E$4:$E$230,$B59,Kunci_Jurnal_80!$G$4:$G$230)</f>
        <v>150000</v>
      </c>
      <c r="I59" s="2">
        <f>SUMIF(Kunci_Penyesuaian!$D$4:$D$65,$B59,Kunci_Penyesuaian!$E$4:$E$65)</f>
        <v>0</v>
      </c>
      <c r="J59" s="2">
        <f>SUMIF(Kunci_Penyesuaian!$D$4:$D$65,$B59,Kunci_Penyesuaian!$F$4:$F$65)</f>
        <v>0</v>
      </c>
      <c r="K59" s="2">
        <f t="shared" si="4"/>
        <v>0</v>
      </c>
      <c r="L59" s="2">
        <f t="shared" si="5"/>
        <v>150000</v>
      </c>
      <c r="M59" s="2">
        <f>SUMIF(Jurnal_Penutup!$D$5:$D$82,$B59,Jurnal_Penutup!$E$5:$E$82)</f>
        <v>150000</v>
      </c>
      <c r="N59" s="2">
        <f>SUMIF(Jurnal_Penutup!$D$5:$D$82,$B59,Jurnal_Penutup!$F$5:$F$82)</f>
        <v>0</v>
      </c>
      <c r="O59" s="2">
        <f t="shared" si="6"/>
        <v>0</v>
      </c>
      <c r="P59" s="2">
        <f t="shared" si="7"/>
        <v>0</v>
      </c>
    </row>
    <row r="60" spans="1:16" x14ac:dyDescent="0.3">
      <c r="A60" t="s">
        <v>269</v>
      </c>
      <c r="B60" t="s">
        <v>16</v>
      </c>
      <c r="C60" t="s">
        <v>270</v>
      </c>
      <c r="D60" t="s">
        <v>140</v>
      </c>
      <c r="E60" s="2">
        <f>SUMIF(Saldo_Awal!$B$4:$B$91,$B60,Saldo_Awal!$C$4:$C$91)</f>
        <v>0</v>
      </c>
      <c r="F60" s="2">
        <f>SUMIF(Saldo_Awal!$B$4:$B$91,$B60,Saldo_Awal!$D$4:$D$91)</f>
        <v>0</v>
      </c>
      <c r="G60" s="2">
        <f>SUMIF(Kunci_Jurnal_80!$E$4:$E$230,$B60,Kunci_Jurnal_80!$F$4:$F$230)</f>
        <v>404000000</v>
      </c>
      <c r="H60" s="2">
        <f>SUMIF(Kunci_Jurnal_80!$E$4:$E$230,$B60,Kunci_Jurnal_80!$G$4:$G$230)</f>
        <v>15000000</v>
      </c>
      <c r="I60" s="2">
        <f>SUMIF(Kunci_Penyesuaian!$D$4:$D$65,$B60,Kunci_Penyesuaian!$E$4:$E$65)</f>
        <v>2400000</v>
      </c>
      <c r="J60" s="2">
        <f>SUMIF(Kunci_Penyesuaian!$D$4:$D$65,$B60,Kunci_Penyesuaian!$F$4:$F$65)</f>
        <v>0</v>
      </c>
      <c r="K60" s="2">
        <f t="shared" si="4"/>
        <v>391400000</v>
      </c>
      <c r="L60" s="2">
        <f t="shared" si="5"/>
        <v>0</v>
      </c>
      <c r="M60" s="2">
        <f>SUMIF(Jurnal_Penutup!$D$5:$D$82,$B60,Jurnal_Penutup!$E$5:$E$82)</f>
        <v>0</v>
      </c>
      <c r="N60" s="2">
        <f>SUMIF(Jurnal_Penutup!$D$5:$D$82,$B60,Jurnal_Penutup!$F$5:$F$82)</f>
        <v>391400000</v>
      </c>
      <c r="O60" s="2">
        <f t="shared" si="6"/>
        <v>0</v>
      </c>
      <c r="P60" s="2">
        <f t="shared" si="7"/>
        <v>0</v>
      </c>
    </row>
    <row r="61" spans="1:16" x14ac:dyDescent="0.3">
      <c r="A61" t="s">
        <v>272</v>
      </c>
      <c r="B61" t="s">
        <v>273</v>
      </c>
      <c r="C61" t="s">
        <v>274</v>
      </c>
      <c r="D61" t="s">
        <v>140</v>
      </c>
      <c r="E61" s="2">
        <f>SUMIF(Saldo_Awal!$B$4:$B$91,$B61,Saldo_Awal!$C$4:$C$91)</f>
        <v>0</v>
      </c>
      <c r="F61" s="2">
        <f>SUMIF(Saldo_Awal!$B$4:$B$91,$B61,Saldo_Awal!$D$4:$D$91)</f>
        <v>0</v>
      </c>
      <c r="G61" s="2">
        <f>SUMIF(Kunci_Jurnal_80!$E$4:$E$230,$B61,Kunci_Jurnal_80!$F$4:$F$230)</f>
        <v>25000000</v>
      </c>
      <c r="H61" s="2">
        <f>SUMIF(Kunci_Jurnal_80!$E$4:$E$230,$B61,Kunci_Jurnal_80!$G$4:$G$230)</f>
        <v>0</v>
      </c>
      <c r="I61" s="2">
        <f>SUMIF(Kunci_Penyesuaian!$D$4:$D$65,$B61,Kunci_Penyesuaian!$E$4:$E$65)</f>
        <v>5000000</v>
      </c>
      <c r="J61" s="2">
        <f>SUMIF(Kunci_Penyesuaian!$D$4:$D$65,$B61,Kunci_Penyesuaian!$F$4:$F$65)</f>
        <v>0</v>
      </c>
      <c r="K61" s="2">
        <f t="shared" si="4"/>
        <v>30000000</v>
      </c>
      <c r="L61" s="2">
        <f t="shared" si="5"/>
        <v>0</v>
      </c>
      <c r="M61" s="2">
        <f>SUMIF(Jurnal_Penutup!$D$5:$D$82,$B61,Jurnal_Penutup!$E$5:$E$82)</f>
        <v>0</v>
      </c>
      <c r="N61" s="2">
        <f>SUMIF(Jurnal_Penutup!$D$5:$D$82,$B61,Jurnal_Penutup!$F$5:$F$82)</f>
        <v>30000000</v>
      </c>
      <c r="O61" s="2">
        <f t="shared" si="6"/>
        <v>0</v>
      </c>
      <c r="P61" s="2">
        <f t="shared" si="7"/>
        <v>0</v>
      </c>
    </row>
    <row r="62" spans="1:16" x14ac:dyDescent="0.3">
      <c r="A62" t="s">
        <v>276</v>
      </c>
      <c r="B62" t="s">
        <v>277</v>
      </c>
      <c r="C62" t="s">
        <v>274</v>
      </c>
      <c r="D62" t="s">
        <v>140</v>
      </c>
      <c r="E62" s="2">
        <f>SUMIF(Saldo_Awal!$B$4:$B$91,$B62,Saldo_Awal!$C$4:$C$91)</f>
        <v>0</v>
      </c>
      <c r="F62" s="2">
        <f>SUMIF(Saldo_Awal!$B$4:$B$91,$B62,Saldo_Awal!$D$4:$D$91)</f>
        <v>0</v>
      </c>
      <c r="G62" s="2">
        <f>SUMIF(Kunci_Jurnal_80!$E$4:$E$230,$B62,Kunci_Jurnal_80!$F$4:$F$230)</f>
        <v>2000000</v>
      </c>
      <c r="H62" s="2">
        <f>SUMIF(Kunci_Jurnal_80!$E$4:$E$230,$B62,Kunci_Jurnal_80!$G$4:$G$230)</f>
        <v>0</v>
      </c>
      <c r="I62" s="2">
        <f>SUMIF(Kunci_Penyesuaian!$D$4:$D$65,$B62,Kunci_Penyesuaian!$E$4:$E$65)</f>
        <v>1500000</v>
      </c>
      <c r="J62" s="2">
        <f>SUMIF(Kunci_Penyesuaian!$D$4:$D$65,$B62,Kunci_Penyesuaian!$F$4:$F$65)</f>
        <v>0</v>
      </c>
      <c r="K62" s="2">
        <f t="shared" si="4"/>
        <v>3500000</v>
      </c>
      <c r="L62" s="2">
        <f t="shared" si="5"/>
        <v>0</v>
      </c>
      <c r="M62" s="2">
        <f>SUMIF(Jurnal_Penutup!$D$5:$D$82,$B62,Jurnal_Penutup!$E$5:$E$82)</f>
        <v>0</v>
      </c>
      <c r="N62" s="2">
        <f>SUMIF(Jurnal_Penutup!$D$5:$D$82,$B62,Jurnal_Penutup!$F$5:$F$82)</f>
        <v>3500000</v>
      </c>
      <c r="O62" s="2">
        <f t="shared" si="6"/>
        <v>0</v>
      </c>
      <c r="P62" s="2">
        <f t="shared" si="7"/>
        <v>0</v>
      </c>
    </row>
    <row r="63" spans="1:16" x14ac:dyDescent="0.3">
      <c r="A63" t="s">
        <v>278</v>
      </c>
      <c r="B63" t="s">
        <v>279</v>
      </c>
      <c r="C63" t="s">
        <v>274</v>
      </c>
      <c r="D63" t="s">
        <v>140</v>
      </c>
      <c r="E63" s="2">
        <f>SUMIF(Saldo_Awal!$B$4:$B$91,$B63,Saldo_Awal!$C$4:$C$91)</f>
        <v>0</v>
      </c>
      <c r="F63" s="2">
        <f>SUMIF(Saldo_Awal!$B$4:$B$91,$B63,Saldo_Awal!$D$4:$D$91)</f>
        <v>0</v>
      </c>
      <c r="G63" s="2">
        <f>SUMIF(Kunci_Jurnal_80!$E$4:$E$230,$B63,Kunci_Jurnal_80!$F$4:$F$230)</f>
        <v>20000000</v>
      </c>
      <c r="H63" s="2">
        <f>SUMIF(Kunci_Jurnal_80!$E$4:$E$230,$B63,Kunci_Jurnal_80!$G$4:$G$230)</f>
        <v>0</v>
      </c>
      <c r="I63" s="2">
        <f>SUMIF(Kunci_Penyesuaian!$D$4:$D$65,$B63,Kunci_Penyesuaian!$E$4:$E$65)</f>
        <v>6000000</v>
      </c>
      <c r="J63" s="2">
        <f>SUMIF(Kunci_Penyesuaian!$D$4:$D$65,$B63,Kunci_Penyesuaian!$F$4:$F$65)</f>
        <v>0</v>
      </c>
      <c r="K63" s="2">
        <f t="shared" si="4"/>
        <v>26000000</v>
      </c>
      <c r="L63" s="2">
        <f t="shared" si="5"/>
        <v>0</v>
      </c>
      <c r="M63" s="2">
        <f>SUMIF(Jurnal_Penutup!$D$5:$D$82,$B63,Jurnal_Penutup!$E$5:$E$82)</f>
        <v>0</v>
      </c>
      <c r="N63" s="2">
        <f>SUMIF(Jurnal_Penutup!$D$5:$D$82,$B63,Jurnal_Penutup!$F$5:$F$82)</f>
        <v>26000000</v>
      </c>
      <c r="O63" s="2">
        <f t="shared" si="6"/>
        <v>0</v>
      </c>
      <c r="P63" s="2">
        <f t="shared" si="7"/>
        <v>0</v>
      </c>
    </row>
    <row r="64" spans="1:16" x14ac:dyDescent="0.3">
      <c r="A64" t="s">
        <v>280</v>
      </c>
      <c r="B64" t="s">
        <v>281</v>
      </c>
      <c r="C64" t="s">
        <v>274</v>
      </c>
      <c r="D64" t="s">
        <v>140</v>
      </c>
      <c r="E64" s="2">
        <f>SUMIF(Saldo_Awal!$B$4:$B$91,$B64,Saldo_Awal!$C$4:$C$91)</f>
        <v>0</v>
      </c>
      <c r="F64" s="2">
        <f>SUMIF(Saldo_Awal!$B$4:$B$91,$B64,Saldo_Awal!$D$4:$D$91)</f>
        <v>0</v>
      </c>
      <c r="G64" s="2">
        <f>SUMIF(Kunci_Jurnal_80!$E$4:$E$230,$B64,Kunci_Jurnal_80!$F$4:$F$230)</f>
        <v>0</v>
      </c>
      <c r="H64" s="2">
        <f>SUMIF(Kunci_Jurnal_80!$E$4:$E$230,$B64,Kunci_Jurnal_80!$G$4:$G$230)</f>
        <v>0</v>
      </c>
      <c r="I64" s="2">
        <f>SUMIF(Kunci_Penyesuaian!$D$4:$D$65,$B64,Kunci_Penyesuaian!$E$4:$E$65)</f>
        <v>1500000</v>
      </c>
      <c r="J64" s="2">
        <f>SUMIF(Kunci_Penyesuaian!$D$4:$D$65,$B64,Kunci_Penyesuaian!$F$4:$F$65)</f>
        <v>0</v>
      </c>
      <c r="K64" s="2">
        <f t="shared" si="4"/>
        <v>1500000</v>
      </c>
      <c r="L64" s="2">
        <f t="shared" si="5"/>
        <v>0</v>
      </c>
      <c r="M64" s="2">
        <f>SUMIF(Jurnal_Penutup!$D$5:$D$82,$B64,Jurnal_Penutup!$E$5:$E$82)</f>
        <v>0</v>
      </c>
      <c r="N64" s="2">
        <f>SUMIF(Jurnal_Penutup!$D$5:$D$82,$B64,Jurnal_Penutup!$F$5:$F$82)</f>
        <v>1500000</v>
      </c>
      <c r="O64" s="2">
        <f t="shared" si="6"/>
        <v>0</v>
      </c>
      <c r="P64" s="2">
        <f t="shared" si="7"/>
        <v>0</v>
      </c>
    </row>
    <row r="65" spans="1:16" x14ac:dyDescent="0.3">
      <c r="A65" t="s">
        <v>282</v>
      </c>
      <c r="B65" t="s">
        <v>283</v>
      </c>
      <c r="C65" t="s">
        <v>274</v>
      </c>
      <c r="D65" t="s">
        <v>140</v>
      </c>
      <c r="E65" s="2">
        <f>SUMIF(Saldo_Awal!$B$4:$B$91,$B65,Saldo_Awal!$C$4:$C$91)</f>
        <v>0</v>
      </c>
      <c r="F65" s="2">
        <f>SUMIF(Saldo_Awal!$B$4:$B$91,$B65,Saldo_Awal!$D$4:$D$91)</f>
        <v>0</v>
      </c>
      <c r="G65" s="2">
        <f>SUMIF(Kunci_Jurnal_80!$E$4:$E$230,$B65,Kunci_Jurnal_80!$F$4:$F$230)</f>
        <v>0</v>
      </c>
      <c r="H65" s="2">
        <f>SUMIF(Kunci_Jurnal_80!$E$4:$E$230,$B65,Kunci_Jurnal_80!$G$4:$G$230)</f>
        <v>0</v>
      </c>
      <c r="I65" s="2">
        <f>SUMIF(Kunci_Penyesuaian!$D$4:$D$65,$B65,Kunci_Penyesuaian!$E$4:$E$65)</f>
        <v>2200000</v>
      </c>
      <c r="J65" s="2">
        <f>SUMIF(Kunci_Penyesuaian!$D$4:$D$65,$B65,Kunci_Penyesuaian!$F$4:$F$65)</f>
        <v>0</v>
      </c>
      <c r="K65" s="2">
        <f t="shared" si="4"/>
        <v>2200000</v>
      </c>
      <c r="L65" s="2">
        <f t="shared" si="5"/>
        <v>0</v>
      </c>
      <c r="M65" s="2">
        <f>SUMIF(Jurnal_Penutup!$D$5:$D$82,$B65,Jurnal_Penutup!$E$5:$E$82)</f>
        <v>0</v>
      </c>
      <c r="N65" s="2">
        <f>SUMIF(Jurnal_Penutup!$D$5:$D$82,$B65,Jurnal_Penutup!$F$5:$F$82)</f>
        <v>2200000</v>
      </c>
      <c r="O65" s="2">
        <f t="shared" si="6"/>
        <v>0</v>
      </c>
      <c r="P65" s="2">
        <f t="shared" si="7"/>
        <v>0</v>
      </c>
    </row>
    <row r="66" spans="1:16" x14ac:dyDescent="0.3">
      <c r="A66" t="s">
        <v>284</v>
      </c>
      <c r="B66" t="s">
        <v>285</v>
      </c>
      <c r="C66" t="s">
        <v>274</v>
      </c>
      <c r="D66" t="s">
        <v>140</v>
      </c>
      <c r="E66" s="2">
        <f>SUMIF(Saldo_Awal!$B$4:$B$91,$B66,Saldo_Awal!$C$4:$C$91)</f>
        <v>0</v>
      </c>
      <c r="F66" s="2">
        <f>SUMIF(Saldo_Awal!$B$4:$B$91,$B66,Saldo_Awal!$D$4:$D$91)</f>
        <v>0</v>
      </c>
      <c r="G66" s="2">
        <f>SUMIF(Kunci_Jurnal_80!$E$4:$E$230,$B66,Kunci_Jurnal_80!$F$4:$F$230)</f>
        <v>0</v>
      </c>
      <c r="H66" s="2">
        <f>SUMIF(Kunci_Jurnal_80!$E$4:$E$230,$B66,Kunci_Jurnal_80!$G$4:$G$230)</f>
        <v>0</v>
      </c>
      <c r="I66" s="2">
        <f>SUMIF(Kunci_Penyesuaian!$D$4:$D$65,$B66,Kunci_Penyesuaian!$E$4:$E$65)</f>
        <v>1000000</v>
      </c>
      <c r="J66" s="2">
        <f>SUMIF(Kunci_Penyesuaian!$D$4:$D$65,$B66,Kunci_Penyesuaian!$F$4:$F$65)</f>
        <v>0</v>
      </c>
      <c r="K66" s="2">
        <f t="shared" si="4"/>
        <v>1000000</v>
      </c>
      <c r="L66" s="2">
        <f t="shared" si="5"/>
        <v>0</v>
      </c>
      <c r="M66" s="2">
        <f>SUMIF(Jurnal_Penutup!$D$5:$D$82,$B66,Jurnal_Penutup!$E$5:$E$82)</f>
        <v>0</v>
      </c>
      <c r="N66" s="2">
        <f>SUMIF(Jurnal_Penutup!$D$5:$D$82,$B66,Jurnal_Penutup!$F$5:$F$82)</f>
        <v>1000000</v>
      </c>
      <c r="O66" s="2">
        <f t="shared" si="6"/>
        <v>0</v>
      </c>
      <c r="P66" s="2">
        <f t="shared" si="7"/>
        <v>0</v>
      </c>
    </row>
    <row r="67" spans="1:16" x14ac:dyDescent="0.3">
      <c r="A67" t="s">
        <v>286</v>
      </c>
      <c r="B67" t="s">
        <v>287</v>
      </c>
      <c r="C67" t="s">
        <v>274</v>
      </c>
      <c r="D67" t="s">
        <v>140</v>
      </c>
      <c r="E67" s="2">
        <f>SUMIF(Saldo_Awal!$B$4:$B$91,$B67,Saldo_Awal!$C$4:$C$91)</f>
        <v>0</v>
      </c>
      <c r="F67" s="2">
        <f>SUMIF(Saldo_Awal!$B$4:$B$91,$B67,Saldo_Awal!$D$4:$D$91)</f>
        <v>0</v>
      </c>
      <c r="G67" s="2">
        <f>SUMIF(Kunci_Jurnal_80!$E$4:$E$230,$B67,Kunci_Jurnal_80!$F$4:$F$230)</f>
        <v>0</v>
      </c>
      <c r="H67" s="2">
        <f>SUMIF(Kunci_Jurnal_80!$E$4:$E$230,$B67,Kunci_Jurnal_80!$G$4:$G$230)</f>
        <v>0</v>
      </c>
      <c r="I67" s="2">
        <f>SUMIF(Kunci_Penyesuaian!$D$4:$D$65,$B67,Kunci_Penyesuaian!$E$4:$E$65)</f>
        <v>400000</v>
      </c>
      <c r="J67" s="2">
        <f>SUMIF(Kunci_Penyesuaian!$D$4:$D$65,$B67,Kunci_Penyesuaian!$F$4:$F$65)</f>
        <v>0</v>
      </c>
      <c r="K67" s="2">
        <f t="shared" si="4"/>
        <v>400000</v>
      </c>
      <c r="L67" s="2">
        <f t="shared" si="5"/>
        <v>0</v>
      </c>
      <c r="M67" s="2">
        <f>SUMIF(Jurnal_Penutup!$D$5:$D$82,$B67,Jurnal_Penutup!$E$5:$E$82)</f>
        <v>0</v>
      </c>
      <c r="N67" s="2">
        <f>SUMIF(Jurnal_Penutup!$D$5:$D$82,$B67,Jurnal_Penutup!$F$5:$F$82)</f>
        <v>400000</v>
      </c>
      <c r="O67" s="2">
        <f t="shared" si="6"/>
        <v>0</v>
      </c>
      <c r="P67" s="2">
        <f t="shared" si="7"/>
        <v>0</v>
      </c>
    </row>
    <row r="68" spans="1:16" x14ac:dyDescent="0.3">
      <c r="A68" t="s">
        <v>288</v>
      </c>
      <c r="B68" t="s">
        <v>289</v>
      </c>
      <c r="C68" t="s">
        <v>274</v>
      </c>
      <c r="D68" t="s">
        <v>140</v>
      </c>
      <c r="E68" s="2">
        <f>SUMIF(Saldo_Awal!$B$4:$B$91,$B68,Saldo_Awal!$C$4:$C$91)</f>
        <v>0</v>
      </c>
      <c r="F68" s="2">
        <f>SUMIF(Saldo_Awal!$B$4:$B$91,$B68,Saldo_Awal!$D$4:$D$91)</f>
        <v>0</v>
      </c>
      <c r="G68" s="2">
        <f>SUMIF(Kunci_Jurnal_80!$E$4:$E$230,$B68,Kunci_Jurnal_80!$F$4:$F$230)</f>
        <v>0</v>
      </c>
      <c r="H68" s="2">
        <f>SUMIF(Kunci_Jurnal_80!$E$4:$E$230,$B68,Kunci_Jurnal_80!$G$4:$G$230)</f>
        <v>0</v>
      </c>
      <c r="I68" s="2">
        <f>SUMIF(Kunci_Penyesuaian!$D$4:$D$65,$B68,Kunci_Penyesuaian!$E$4:$E$65)</f>
        <v>1250000</v>
      </c>
      <c r="J68" s="2">
        <f>SUMIF(Kunci_Penyesuaian!$D$4:$D$65,$B68,Kunci_Penyesuaian!$F$4:$F$65)</f>
        <v>0</v>
      </c>
      <c r="K68" s="2">
        <f t="shared" ref="K68:K91" si="8">IF(E68+G68+I68-F68-H68-J68&gt;0,E68+G68+I68-F68-H68-J68,0)</f>
        <v>1250000</v>
      </c>
      <c r="L68" s="2">
        <f t="shared" ref="L68:L91" si="9">IF(F68+H68+J68-E68-G68-I68&gt;0,F68+H68+J68-E68-G68-I68,0)</f>
        <v>0</v>
      </c>
      <c r="M68" s="2">
        <f>SUMIF(Jurnal_Penutup!$D$5:$D$82,$B68,Jurnal_Penutup!$E$5:$E$82)</f>
        <v>0</v>
      </c>
      <c r="N68" s="2">
        <f>SUMIF(Jurnal_Penutup!$D$5:$D$82,$B68,Jurnal_Penutup!$F$5:$F$82)</f>
        <v>1250000</v>
      </c>
      <c r="O68" s="2">
        <f t="shared" ref="O68:O91" si="10">IF(K68+M68-L68-N68&gt;0,K68+M68-L68-N68,0)</f>
        <v>0</v>
      </c>
      <c r="P68" s="2">
        <f t="shared" ref="P68:P91" si="11">IF(L68+N68-K68-M68&gt;0,L68+N68-K68-M68,0)</f>
        <v>0</v>
      </c>
    </row>
    <row r="69" spans="1:16" x14ac:dyDescent="0.3">
      <c r="A69" t="s">
        <v>290</v>
      </c>
      <c r="B69" t="s">
        <v>291</v>
      </c>
      <c r="C69" t="s">
        <v>274</v>
      </c>
      <c r="D69" t="s">
        <v>140</v>
      </c>
      <c r="E69" s="2">
        <f>SUMIF(Saldo_Awal!$B$4:$B$91,$B69,Saldo_Awal!$C$4:$C$91)</f>
        <v>0</v>
      </c>
      <c r="F69" s="2">
        <f>SUMIF(Saldo_Awal!$B$4:$B$91,$B69,Saldo_Awal!$D$4:$D$91)</f>
        <v>0</v>
      </c>
      <c r="G69" s="2">
        <f>SUMIF(Kunci_Jurnal_80!$E$4:$E$230,$B69,Kunci_Jurnal_80!$F$4:$F$230)</f>
        <v>0</v>
      </c>
      <c r="H69" s="2">
        <f>SUMIF(Kunci_Jurnal_80!$E$4:$E$230,$B69,Kunci_Jurnal_80!$G$4:$G$230)</f>
        <v>0</v>
      </c>
      <c r="I69" s="2">
        <f>SUMIF(Kunci_Penyesuaian!$D$4:$D$65,$B69,Kunci_Penyesuaian!$E$4:$E$65)</f>
        <v>333333.33</v>
      </c>
      <c r="J69" s="2">
        <f>SUMIF(Kunci_Penyesuaian!$D$4:$D$65,$B69,Kunci_Penyesuaian!$F$4:$F$65)</f>
        <v>0</v>
      </c>
      <c r="K69" s="2">
        <f t="shared" si="8"/>
        <v>333333.33</v>
      </c>
      <c r="L69" s="2">
        <f t="shared" si="9"/>
        <v>0</v>
      </c>
      <c r="M69" s="2">
        <f>SUMIF(Jurnal_Penutup!$D$5:$D$82,$B69,Jurnal_Penutup!$E$5:$E$82)</f>
        <v>0</v>
      </c>
      <c r="N69" s="2">
        <f>SUMIF(Jurnal_Penutup!$D$5:$D$82,$B69,Jurnal_Penutup!$F$5:$F$82)</f>
        <v>333333.33</v>
      </c>
      <c r="O69" s="2">
        <f t="shared" si="10"/>
        <v>0</v>
      </c>
      <c r="P69" s="2">
        <f t="shared" si="11"/>
        <v>0</v>
      </c>
    </row>
    <row r="70" spans="1:16" x14ac:dyDescent="0.3">
      <c r="A70" t="s">
        <v>292</v>
      </c>
      <c r="B70" t="s">
        <v>293</v>
      </c>
      <c r="C70" t="s">
        <v>274</v>
      </c>
      <c r="D70" t="s">
        <v>140</v>
      </c>
      <c r="E70" s="2">
        <f>SUMIF(Saldo_Awal!$B$4:$B$91,$B70,Saldo_Awal!$C$4:$C$91)</f>
        <v>0</v>
      </c>
      <c r="F70" s="2">
        <f>SUMIF(Saldo_Awal!$B$4:$B$91,$B70,Saldo_Awal!$D$4:$D$91)</f>
        <v>0</v>
      </c>
      <c r="G70" s="2">
        <f>SUMIF(Kunci_Jurnal_80!$E$4:$E$230,$B70,Kunci_Jurnal_80!$F$4:$F$230)</f>
        <v>0</v>
      </c>
      <c r="H70" s="2">
        <f>SUMIF(Kunci_Jurnal_80!$E$4:$E$230,$B70,Kunci_Jurnal_80!$G$4:$G$230)</f>
        <v>0</v>
      </c>
      <c r="I70" s="2">
        <f>SUMIF(Kunci_Penyesuaian!$D$4:$D$65,$B70,Kunci_Penyesuaian!$E$4:$E$65)</f>
        <v>4166666.67</v>
      </c>
      <c r="J70" s="2">
        <f>SUMIF(Kunci_Penyesuaian!$D$4:$D$65,$B70,Kunci_Penyesuaian!$F$4:$F$65)</f>
        <v>0</v>
      </c>
      <c r="K70" s="2">
        <f t="shared" si="8"/>
        <v>4166666.67</v>
      </c>
      <c r="L70" s="2">
        <f t="shared" si="9"/>
        <v>0</v>
      </c>
      <c r="M70" s="2">
        <f>SUMIF(Jurnal_Penutup!$D$5:$D$82,$B70,Jurnal_Penutup!$E$5:$E$82)</f>
        <v>0</v>
      </c>
      <c r="N70" s="2">
        <f>SUMIF(Jurnal_Penutup!$D$5:$D$82,$B70,Jurnal_Penutup!$F$5:$F$82)</f>
        <v>4166666.67</v>
      </c>
      <c r="O70" s="2">
        <f t="shared" si="10"/>
        <v>0</v>
      </c>
      <c r="P70" s="2">
        <f t="shared" si="11"/>
        <v>0</v>
      </c>
    </row>
    <row r="71" spans="1:16" x14ac:dyDescent="0.3">
      <c r="A71" t="s">
        <v>294</v>
      </c>
      <c r="B71" t="s">
        <v>295</v>
      </c>
      <c r="C71" t="s">
        <v>274</v>
      </c>
      <c r="D71" t="s">
        <v>140</v>
      </c>
      <c r="E71" s="2">
        <f>SUMIF(Saldo_Awal!$B$4:$B$91,$B71,Saldo_Awal!$C$4:$C$91)</f>
        <v>0</v>
      </c>
      <c r="F71" s="2">
        <f>SUMIF(Saldo_Awal!$B$4:$B$91,$B71,Saldo_Awal!$D$4:$D$91)</f>
        <v>0</v>
      </c>
      <c r="G71" s="2">
        <f>SUMIF(Kunci_Jurnal_80!$E$4:$E$230,$B71,Kunci_Jurnal_80!$F$4:$F$230)</f>
        <v>5600000</v>
      </c>
      <c r="H71" s="2">
        <f>SUMIF(Kunci_Jurnal_80!$E$4:$E$230,$B71,Kunci_Jurnal_80!$G$4:$G$230)</f>
        <v>0</v>
      </c>
      <c r="I71" s="2">
        <f>SUMIF(Kunci_Penyesuaian!$D$4:$D$65,$B71,Kunci_Penyesuaian!$E$4:$E$65)</f>
        <v>1800000</v>
      </c>
      <c r="J71" s="2">
        <f>SUMIF(Kunci_Penyesuaian!$D$4:$D$65,$B71,Kunci_Penyesuaian!$F$4:$F$65)</f>
        <v>0</v>
      </c>
      <c r="K71" s="2">
        <f t="shared" si="8"/>
        <v>7400000</v>
      </c>
      <c r="L71" s="2">
        <f t="shared" si="9"/>
        <v>0</v>
      </c>
      <c r="M71" s="2">
        <f>SUMIF(Jurnal_Penutup!$D$5:$D$82,$B71,Jurnal_Penutup!$E$5:$E$82)</f>
        <v>0</v>
      </c>
      <c r="N71" s="2">
        <f>SUMIF(Jurnal_Penutup!$D$5:$D$82,$B71,Jurnal_Penutup!$F$5:$F$82)</f>
        <v>7400000</v>
      </c>
      <c r="O71" s="2">
        <f t="shared" si="10"/>
        <v>0</v>
      </c>
      <c r="P71" s="2">
        <f t="shared" si="11"/>
        <v>0</v>
      </c>
    </row>
    <row r="72" spans="1:16" x14ac:dyDescent="0.3">
      <c r="A72" t="s">
        <v>296</v>
      </c>
      <c r="B72" t="s">
        <v>297</v>
      </c>
      <c r="C72" t="s">
        <v>274</v>
      </c>
      <c r="D72" t="s">
        <v>140</v>
      </c>
      <c r="E72" s="2">
        <f>SUMIF(Saldo_Awal!$B$4:$B$91,$B72,Saldo_Awal!$C$4:$C$91)</f>
        <v>0</v>
      </c>
      <c r="F72" s="2">
        <f>SUMIF(Saldo_Awal!$B$4:$B$91,$B72,Saldo_Awal!$D$4:$D$91)</f>
        <v>0</v>
      </c>
      <c r="G72" s="2">
        <f>SUMIF(Kunci_Jurnal_80!$E$4:$E$230,$B72,Kunci_Jurnal_80!$F$4:$F$230)</f>
        <v>3500000</v>
      </c>
      <c r="H72" s="2">
        <f>SUMIF(Kunci_Jurnal_80!$E$4:$E$230,$B72,Kunci_Jurnal_80!$G$4:$G$230)</f>
        <v>0</v>
      </c>
      <c r="I72" s="2">
        <f>SUMIF(Kunci_Penyesuaian!$D$4:$D$65,$B72,Kunci_Penyesuaian!$E$4:$E$65)</f>
        <v>0</v>
      </c>
      <c r="J72" s="2">
        <f>SUMIF(Kunci_Penyesuaian!$D$4:$D$65,$B72,Kunci_Penyesuaian!$F$4:$F$65)</f>
        <v>0</v>
      </c>
      <c r="K72" s="2">
        <f t="shared" si="8"/>
        <v>3500000</v>
      </c>
      <c r="L72" s="2">
        <f t="shared" si="9"/>
        <v>0</v>
      </c>
      <c r="M72" s="2">
        <f>SUMIF(Jurnal_Penutup!$D$5:$D$82,$B72,Jurnal_Penutup!$E$5:$E$82)</f>
        <v>0</v>
      </c>
      <c r="N72" s="2">
        <f>SUMIF(Jurnal_Penutup!$D$5:$D$82,$B72,Jurnal_Penutup!$F$5:$F$82)</f>
        <v>3500000</v>
      </c>
      <c r="O72" s="2">
        <f t="shared" si="10"/>
        <v>0</v>
      </c>
      <c r="P72" s="2">
        <f t="shared" si="11"/>
        <v>0</v>
      </c>
    </row>
    <row r="73" spans="1:16" x14ac:dyDescent="0.3">
      <c r="A73" t="s">
        <v>298</v>
      </c>
      <c r="B73" t="s">
        <v>299</v>
      </c>
      <c r="C73" t="s">
        <v>274</v>
      </c>
      <c r="D73" t="s">
        <v>140</v>
      </c>
      <c r="E73" s="2">
        <f>SUMIF(Saldo_Awal!$B$4:$B$91,$B73,Saldo_Awal!$C$4:$C$91)</f>
        <v>0</v>
      </c>
      <c r="F73" s="2">
        <f>SUMIF(Saldo_Awal!$B$4:$B$91,$B73,Saldo_Awal!$D$4:$D$91)</f>
        <v>0</v>
      </c>
      <c r="G73" s="2">
        <f>SUMIF(Kunci_Jurnal_80!$E$4:$E$230,$B73,Kunci_Jurnal_80!$F$4:$F$230)</f>
        <v>8000000</v>
      </c>
      <c r="H73" s="2">
        <f>SUMIF(Kunci_Jurnal_80!$E$4:$E$230,$B73,Kunci_Jurnal_80!$G$4:$G$230)</f>
        <v>0</v>
      </c>
      <c r="I73" s="2">
        <f>SUMIF(Kunci_Penyesuaian!$D$4:$D$65,$B73,Kunci_Penyesuaian!$E$4:$E$65)</f>
        <v>10000000</v>
      </c>
      <c r="J73" s="2">
        <f>SUMIF(Kunci_Penyesuaian!$D$4:$D$65,$B73,Kunci_Penyesuaian!$F$4:$F$65)</f>
        <v>0</v>
      </c>
      <c r="K73" s="2">
        <f t="shared" si="8"/>
        <v>18000000</v>
      </c>
      <c r="L73" s="2">
        <f t="shared" si="9"/>
        <v>0</v>
      </c>
      <c r="M73" s="2">
        <f>SUMIF(Jurnal_Penutup!$D$5:$D$82,$B73,Jurnal_Penutup!$E$5:$E$82)</f>
        <v>0</v>
      </c>
      <c r="N73" s="2">
        <f>SUMIF(Jurnal_Penutup!$D$5:$D$82,$B73,Jurnal_Penutup!$F$5:$F$82)</f>
        <v>18000000</v>
      </c>
      <c r="O73" s="2">
        <f t="shared" si="10"/>
        <v>0</v>
      </c>
      <c r="P73" s="2">
        <f t="shared" si="11"/>
        <v>0</v>
      </c>
    </row>
    <row r="74" spans="1:16" x14ac:dyDescent="0.3">
      <c r="A74" t="s">
        <v>300</v>
      </c>
      <c r="B74" t="s">
        <v>301</v>
      </c>
      <c r="C74" t="s">
        <v>274</v>
      </c>
      <c r="D74" t="s">
        <v>140</v>
      </c>
      <c r="E74" s="2">
        <f>SUMIF(Saldo_Awal!$B$4:$B$91,$B74,Saldo_Awal!$C$4:$C$91)</f>
        <v>0</v>
      </c>
      <c r="F74" s="2">
        <f>SUMIF(Saldo_Awal!$B$4:$B$91,$B74,Saldo_Awal!$D$4:$D$91)</f>
        <v>0</v>
      </c>
      <c r="G74" s="2">
        <f>SUMIF(Kunci_Jurnal_80!$E$4:$E$230,$B74,Kunci_Jurnal_80!$F$4:$F$230)</f>
        <v>3000000</v>
      </c>
      <c r="H74" s="2">
        <f>SUMIF(Kunci_Jurnal_80!$E$4:$E$230,$B74,Kunci_Jurnal_80!$G$4:$G$230)</f>
        <v>0</v>
      </c>
      <c r="I74" s="2">
        <f>SUMIF(Kunci_Penyesuaian!$D$4:$D$65,$B74,Kunci_Penyesuaian!$E$4:$E$65)</f>
        <v>0</v>
      </c>
      <c r="J74" s="2">
        <f>SUMIF(Kunci_Penyesuaian!$D$4:$D$65,$B74,Kunci_Penyesuaian!$F$4:$F$65)</f>
        <v>0</v>
      </c>
      <c r="K74" s="2">
        <f t="shared" si="8"/>
        <v>3000000</v>
      </c>
      <c r="L74" s="2">
        <f t="shared" si="9"/>
        <v>0</v>
      </c>
      <c r="M74" s="2">
        <f>SUMIF(Jurnal_Penutup!$D$5:$D$82,$B74,Jurnal_Penutup!$E$5:$E$82)</f>
        <v>0</v>
      </c>
      <c r="N74" s="2">
        <f>SUMIF(Jurnal_Penutup!$D$5:$D$82,$B74,Jurnal_Penutup!$F$5:$F$82)</f>
        <v>3000000</v>
      </c>
      <c r="O74" s="2">
        <f t="shared" si="10"/>
        <v>0</v>
      </c>
      <c r="P74" s="2">
        <f t="shared" si="11"/>
        <v>0</v>
      </c>
    </row>
    <row r="75" spans="1:16" x14ac:dyDescent="0.3">
      <c r="A75" t="s">
        <v>302</v>
      </c>
      <c r="B75" t="s">
        <v>303</v>
      </c>
      <c r="C75" t="s">
        <v>274</v>
      </c>
      <c r="D75" t="s">
        <v>140</v>
      </c>
      <c r="E75" s="2">
        <f>SUMIF(Saldo_Awal!$B$4:$B$91,$B75,Saldo_Awal!$C$4:$C$91)</f>
        <v>0</v>
      </c>
      <c r="F75" s="2">
        <f>SUMIF(Saldo_Awal!$B$4:$B$91,$B75,Saldo_Awal!$D$4:$D$91)</f>
        <v>0</v>
      </c>
      <c r="G75" s="2">
        <f>SUMIF(Kunci_Jurnal_80!$E$4:$E$230,$B75,Kunci_Jurnal_80!$F$4:$F$230)</f>
        <v>0</v>
      </c>
      <c r="H75" s="2">
        <f>SUMIF(Kunci_Jurnal_80!$E$4:$E$230,$B75,Kunci_Jurnal_80!$G$4:$G$230)</f>
        <v>0</v>
      </c>
      <c r="I75" s="2">
        <f>SUMIF(Kunci_Penyesuaian!$D$4:$D$65,$B75,Kunci_Penyesuaian!$E$4:$E$65)</f>
        <v>0</v>
      </c>
      <c r="J75" s="2">
        <f>SUMIF(Kunci_Penyesuaian!$D$4:$D$65,$B75,Kunci_Penyesuaian!$F$4:$F$65)</f>
        <v>0</v>
      </c>
      <c r="K75" s="2">
        <f t="shared" si="8"/>
        <v>0</v>
      </c>
      <c r="L75" s="2">
        <f t="shared" si="9"/>
        <v>0</v>
      </c>
      <c r="M75" s="2">
        <f>SUMIF(Jurnal_Penutup!$D$5:$D$82,$B75,Jurnal_Penutup!$E$5:$E$82)</f>
        <v>0</v>
      </c>
      <c r="N75" s="2">
        <f>SUMIF(Jurnal_Penutup!$D$5:$D$82,$B75,Jurnal_Penutup!$F$5:$F$82)</f>
        <v>0</v>
      </c>
      <c r="O75" s="2">
        <f t="shared" si="10"/>
        <v>0</v>
      </c>
      <c r="P75" s="2">
        <f t="shared" si="11"/>
        <v>0</v>
      </c>
    </row>
    <row r="76" spans="1:16" x14ac:dyDescent="0.3">
      <c r="A76" t="s">
        <v>304</v>
      </c>
      <c r="B76" t="s">
        <v>305</v>
      </c>
      <c r="C76" t="s">
        <v>274</v>
      </c>
      <c r="D76" t="s">
        <v>140</v>
      </c>
      <c r="E76" s="2">
        <f>SUMIF(Saldo_Awal!$B$4:$B$91,$B76,Saldo_Awal!$C$4:$C$91)</f>
        <v>0</v>
      </c>
      <c r="F76" s="2">
        <f>SUMIF(Saldo_Awal!$B$4:$B$91,$B76,Saldo_Awal!$D$4:$D$91)</f>
        <v>0</v>
      </c>
      <c r="G76" s="2">
        <f>SUMIF(Kunci_Jurnal_80!$E$4:$E$230,$B76,Kunci_Jurnal_80!$F$4:$F$230)</f>
        <v>3000000</v>
      </c>
      <c r="H76" s="2">
        <f>SUMIF(Kunci_Jurnal_80!$E$4:$E$230,$B76,Kunci_Jurnal_80!$G$4:$G$230)</f>
        <v>0</v>
      </c>
      <c r="I76" s="2">
        <f>SUMIF(Kunci_Penyesuaian!$D$4:$D$65,$B76,Kunci_Penyesuaian!$E$4:$E$65)</f>
        <v>1200000</v>
      </c>
      <c r="J76" s="2">
        <f>SUMIF(Kunci_Penyesuaian!$D$4:$D$65,$B76,Kunci_Penyesuaian!$F$4:$F$65)</f>
        <v>0</v>
      </c>
      <c r="K76" s="2">
        <f t="shared" si="8"/>
        <v>4200000</v>
      </c>
      <c r="L76" s="2">
        <f t="shared" si="9"/>
        <v>0</v>
      </c>
      <c r="M76" s="2">
        <f>SUMIF(Jurnal_Penutup!$D$5:$D$82,$B76,Jurnal_Penutup!$E$5:$E$82)</f>
        <v>0</v>
      </c>
      <c r="N76" s="2">
        <f>SUMIF(Jurnal_Penutup!$D$5:$D$82,$B76,Jurnal_Penutup!$F$5:$F$82)</f>
        <v>4200000</v>
      </c>
      <c r="O76" s="2">
        <f t="shared" si="10"/>
        <v>0</v>
      </c>
      <c r="P76" s="2">
        <f t="shared" si="11"/>
        <v>0</v>
      </c>
    </row>
    <row r="77" spans="1:16" x14ac:dyDescent="0.3">
      <c r="A77" t="s">
        <v>306</v>
      </c>
      <c r="B77" t="s">
        <v>307</v>
      </c>
      <c r="C77" t="s">
        <v>274</v>
      </c>
      <c r="D77" t="s">
        <v>140</v>
      </c>
      <c r="E77" s="2">
        <f>SUMIF(Saldo_Awal!$B$4:$B$91,$B77,Saldo_Awal!$C$4:$C$91)</f>
        <v>0</v>
      </c>
      <c r="F77" s="2">
        <f>SUMIF(Saldo_Awal!$B$4:$B$91,$B77,Saldo_Awal!$D$4:$D$91)</f>
        <v>0</v>
      </c>
      <c r="G77" s="2">
        <f>SUMIF(Kunci_Jurnal_80!$E$4:$E$230,$B77,Kunci_Jurnal_80!$F$4:$F$230)</f>
        <v>1800000</v>
      </c>
      <c r="H77" s="2">
        <f>SUMIF(Kunci_Jurnal_80!$E$4:$E$230,$B77,Kunci_Jurnal_80!$G$4:$G$230)</f>
        <v>0</v>
      </c>
      <c r="I77" s="2">
        <f>SUMIF(Kunci_Penyesuaian!$D$4:$D$65,$B77,Kunci_Penyesuaian!$E$4:$E$65)</f>
        <v>2000000</v>
      </c>
      <c r="J77" s="2">
        <f>SUMIF(Kunci_Penyesuaian!$D$4:$D$65,$B77,Kunci_Penyesuaian!$F$4:$F$65)</f>
        <v>0</v>
      </c>
      <c r="K77" s="2">
        <f t="shared" si="8"/>
        <v>3800000</v>
      </c>
      <c r="L77" s="2">
        <f t="shared" si="9"/>
        <v>0</v>
      </c>
      <c r="M77" s="2">
        <f>SUMIF(Jurnal_Penutup!$D$5:$D$82,$B77,Jurnal_Penutup!$E$5:$E$82)</f>
        <v>0</v>
      </c>
      <c r="N77" s="2">
        <f>SUMIF(Jurnal_Penutup!$D$5:$D$82,$B77,Jurnal_Penutup!$F$5:$F$82)</f>
        <v>3800000</v>
      </c>
      <c r="O77" s="2">
        <f t="shared" si="10"/>
        <v>0</v>
      </c>
      <c r="P77" s="2">
        <f t="shared" si="11"/>
        <v>0</v>
      </c>
    </row>
    <row r="78" spans="1:16" x14ac:dyDescent="0.3">
      <c r="A78" t="s">
        <v>308</v>
      </c>
      <c r="B78" t="s">
        <v>309</v>
      </c>
      <c r="C78" t="s">
        <v>274</v>
      </c>
      <c r="D78" t="s">
        <v>140</v>
      </c>
      <c r="E78" s="2">
        <f>SUMIF(Saldo_Awal!$B$4:$B$91,$B78,Saldo_Awal!$C$4:$C$91)</f>
        <v>0</v>
      </c>
      <c r="F78" s="2">
        <f>SUMIF(Saldo_Awal!$B$4:$B$91,$B78,Saldo_Awal!$D$4:$D$91)</f>
        <v>0</v>
      </c>
      <c r="G78" s="2">
        <f>SUMIF(Kunci_Jurnal_80!$E$4:$E$230,$B78,Kunci_Jurnal_80!$F$4:$F$230)</f>
        <v>0</v>
      </c>
      <c r="H78" s="2">
        <f>SUMIF(Kunci_Jurnal_80!$E$4:$E$230,$B78,Kunci_Jurnal_80!$G$4:$G$230)</f>
        <v>0</v>
      </c>
      <c r="I78" s="2">
        <f>SUMIF(Kunci_Penyesuaian!$D$4:$D$65,$B78,Kunci_Penyesuaian!$E$4:$E$65)</f>
        <v>7500000</v>
      </c>
      <c r="J78" s="2">
        <f>SUMIF(Kunci_Penyesuaian!$D$4:$D$65,$B78,Kunci_Penyesuaian!$F$4:$F$65)</f>
        <v>0</v>
      </c>
      <c r="K78" s="2">
        <f t="shared" si="8"/>
        <v>7500000</v>
      </c>
      <c r="L78" s="2">
        <f t="shared" si="9"/>
        <v>0</v>
      </c>
      <c r="M78" s="2">
        <f>SUMIF(Jurnal_Penutup!$D$5:$D$82,$B78,Jurnal_Penutup!$E$5:$E$82)</f>
        <v>0</v>
      </c>
      <c r="N78" s="2">
        <f>SUMIF(Jurnal_Penutup!$D$5:$D$82,$B78,Jurnal_Penutup!$F$5:$F$82)</f>
        <v>7500000</v>
      </c>
      <c r="O78" s="2">
        <f t="shared" si="10"/>
        <v>0</v>
      </c>
      <c r="P78" s="2">
        <f t="shared" si="11"/>
        <v>0</v>
      </c>
    </row>
    <row r="79" spans="1:16" x14ac:dyDescent="0.3">
      <c r="A79" t="s">
        <v>310</v>
      </c>
      <c r="B79" t="s">
        <v>311</v>
      </c>
      <c r="C79" t="s">
        <v>274</v>
      </c>
      <c r="D79" t="s">
        <v>140</v>
      </c>
      <c r="E79" s="2">
        <f>SUMIF(Saldo_Awal!$B$4:$B$91,$B79,Saldo_Awal!$C$4:$C$91)</f>
        <v>0</v>
      </c>
      <c r="F79" s="2">
        <f>SUMIF(Saldo_Awal!$B$4:$B$91,$B79,Saldo_Awal!$D$4:$D$91)</f>
        <v>0</v>
      </c>
      <c r="G79" s="2">
        <f>SUMIF(Kunci_Jurnal_80!$E$4:$E$230,$B79,Kunci_Jurnal_80!$F$4:$F$230)</f>
        <v>0</v>
      </c>
      <c r="H79" s="2">
        <f>SUMIF(Kunci_Jurnal_80!$E$4:$E$230,$B79,Kunci_Jurnal_80!$G$4:$G$230)</f>
        <v>0</v>
      </c>
      <c r="I79" s="2">
        <f>SUMIF(Kunci_Penyesuaian!$D$4:$D$65,$B79,Kunci_Penyesuaian!$E$4:$E$65)</f>
        <v>4500000</v>
      </c>
      <c r="J79" s="2">
        <f>SUMIF(Kunci_Penyesuaian!$D$4:$D$65,$B79,Kunci_Penyesuaian!$F$4:$F$65)</f>
        <v>0</v>
      </c>
      <c r="K79" s="2">
        <f t="shared" si="8"/>
        <v>4500000</v>
      </c>
      <c r="L79" s="2">
        <f t="shared" si="9"/>
        <v>0</v>
      </c>
      <c r="M79" s="2">
        <f>SUMIF(Jurnal_Penutup!$D$5:$D$82,$B79,Jurnal_Penutup!$E$5:$E$82)</f>
        <v>0</v>
      </c>
      <c r="N79" s="2">
        <f>SUMIF(Jurnal_Penutup!$D$5:$D$82,$B79,Jurnal_Penutup!$F$5:$F$82)</f>
        <v>4500000</v>
      </c>
      <c r="O79" s="2">
        <f t="shared" si="10"/>
        <v>0</v>
      </c>
      <c r="P79" s="2">
        <f t="shared" si="11"/>
        <v>0</v>
      </c>
    </row>
    <row r="80" spans="1:16" x14ac:dyDescent="0.3">
      <c r="A80" t="s">
        <v>312</v>
      </c>
      <c r="B80" t="s">
        <v>313</v>
      </c>
      <c r="C80" t="s">
        <v>274</v>
      </c>
      <c r="D80" t="s">
        <v>140</v>
      </c>
      <c r="E80" s="2">
        <f>SUMIF(Saldo_Awal!$B$4:$B$91,$B80,Saldo_Awal!$C$4:$C$91)</f>
        <v>0</v>
      </c>
      <c r="F80" s="2">
        <f>SUMIF(Saldo_Awal!$B$4:$B$91,$B80,Saldo_Awal!$D$4:$D$91)</f>
        <v>0</v>
      </c>
      <c r="G80" s="2">
        <f>SUMIF(Kunci_Jurnal_80!$E$4:$E$230,$B80,Kunci_Jurnal_80!$F$4:$F$230)</f>
        <v>7000000</v>
      </c>
      <c r="H80" s="2">
        <f>SUMIF(Kunci_Jurnal_80!$E$4:$E$230,$B80,Kunci_Jurnal_80!$G$4:$G$230)</f>
        <v>0</v>
      </c>
      <c r="I80" s="2">
        <f>SUMIF(Kunci_Penyesuaian!$D$4:$D$65,$B80,Kunci_Penyesuaian!$E$4:$E$65)</f>
        <v>3500000</v>
      </c>
      <c r="J80" s="2">
        <f>SUMIF(Kunci_Penyesuaian!$D$4:$D$65,$B80,Kunci_Penyesuaian!$F$4:$F$65)</f>
        <v>0</v>
      </c>
      <c r="K80" s="2">
        <f t="shared" si="8"/>
        <v>10500000</v>
      </c>
      <c r="L80" s="2">
        <f t="shared" si="9"/>
        <v>0</v>
      </c>
      <c r="M80" s="2">
        <f>SUMIF(Jurnal_Penutup!$D$5:$D$82,$B80,Jurnal_Penutup!$E$5:$E$82)</f>
        <v>0</v>
      </c>
      <c r="N80" s="2">
        <f>SUMIF(Jurnal_Penutup!$D$5:$D$82,$B80,Jurnal_Penutup!$F$5:$F$82)</f>
        <v>10500000</v>
      </c>
      <c r="O80" s="2">
        <f t="shared" si="10"/>
        <v>0</v>
      </c>
      <c r="P80" s="2">
        <f t="shared" si="11"/>
        <v>0</v>
      </c>
    </row>
    <row r="81" spans="1:16" x14ac:dyDescent="0.3">
      <c r="A81" t="s">
        <v>314</v>
      </c>
      <c r="B81" t="s">
        <v>315</v>
      </c>
      <c r="C81" t="s">
        <v>274</v>
      </c>
      <c r="D81" t="s">
        <v>140</v>
      </c>
      <c r="E81" s="2">
        <f>SUMIF(Saldo_Awal!$B$4:$B$91,$B81,Saldo_Awal!$C$4:$C$91)</f>
        <v>0</v>
      </c>
      <c r="F81" s="2">
        <f>SUMIF(Saldo_Awal!$B$4:$B$91,$B81,Saldo_Awal!$D$4:$D$91)</f>
        <v>0</v>
      </c>
      <c r="G81" s="2">
        <f>SUMIF(Kunci_Jurnal_80!$E$4:$E$230,$B81,Kunci_Jurnal_80!$F$4:$F$230)</f>
        <v>0</v>
      </c>
      <c r="H81" s="2">
        <f>SUMIF(Kunci_Jurnal_80!$E$4:$E$230,$B81,Kunci_Jurnal_80!$G$4:$G$230)</f>
        <v>0</v>
      </c>
      <c r="I81" s="2">
        <f>SUMIF(Kunci_Penyesuaian!$D$4:$D$65,$B81,Kunci_Penyesuaian!$E$4:$E$65)</f>
        <v>800000</v>
      </c>
      <c r="J81" s="2">
        <f>SUMIF(Kunci_Penyesuaian!$D$4:$D$65,$B81,Kunci_Penyesuaian!$F$4:$F$65)</f>
        <v>0</v>
      </c>
      <c r="K81" s="2">
        <f t="shared" si="8"/>
        <v>800000</v>
      </c>
      <c r="L81" s="2">
        <f t="shared" si="9"/>
        <v>0</v>
      </c>
      <c r="M81" s="2">
        <f>SUMIF(Jurnal_Penutup!$D$5:$D$82,$B81,Jurnal_Penutup!$E$5:$E$82)</f>
        <v>0</v>
      </c>
      <c r="N81" s="2">
        <f>SUMIF(Jurnal_Penutup!$D$5:$D$82,$B81,Jurnal_Penutup!$F$5:$F$82)</f>
        <v>800000</v>
      </c>
      <c r="O81" s="2">
        <f t="shared" si="10"/>
        <v>0</v>
      </c>
      <c r="P81" s="2">
        <f t="shared" si="11"/>
        <v>0</v>
      </c>
    </row>
    <row r="82" spans="1:16" x14ac:dyDescent="0.3">
      <c r="A82" t="s">
        <v>316</v>
      </c>
      <c r="B82" t="s">
        <v>317</v>
      </c>
      <c r="C82" t="s">
        <v>274</v>
      </c>
      <c r="D82" t="s">
        <v>140</v>
      </c>
      <c r="E82" s="2">
        <f>SUMIF(Saldo_Awal!$B$4:$B$91,$B82,Saldo_Awal!$C$4:$C$91)</f>
        <v>0</v>
      </c>
      <c r="F82" s="2">
        <f>SUMIF(Saldo_Awal!$B$4:$B$91,$B82,Saldo_Awal!$D$4:$D$91)</f>
        <v>0</v>
      </c>
      <c r="G82" s="2">
        <f>SUMIF(Kunci_Jurnal_80!$E$4:$E$230,$B82,Kunci_Jurnal_80!$F$4:$F$230)</f>
        <v>250000</v>
      </c>
      <c r="H82" s="2">
        <f>SUMIF(Kunci_Jurnal_80!$E$4:$E$230,$B82,Kunci_Jurnal_80!$G$4:$G$230)</f>
        <v>0</v>
      </c>
      <c r="I82" s="2">
        <f>SUMIF(Kunci_Penyesuaian!$D$4:$D$65,$B82,Kunci_Penyesuaian!$E$4:$E$65)</f>
        <v>150000</v>
      </c>
      <c r="J82" s="2">
        <f>SUMIF(Kunci_Penyesuaian!$D$4:$D$65,$B82,Kunci_Penyesuaian!$F$4:$F$65)</f>
        <v>0</v>
      </c>
      <c r="K82" s="2">
        <f t="shared" si="8"/>
        <v>400000</v>
      </c>
      <c r="L82" s="2">
        <f t="shared" si="9"/>
        <v>0</v>
      </c>
      <c r="M82" s="2">
        <f>SUMIF(Jurnal_Penutup!$D$5:$D$82,$B82,Jurnal_Penutup!$E$5:$E$82)</f>
        <v>0</v>
      </c>
      <c r="N82" s="2">
        <f>SUMIF(Jurnal_Penutup!$D$5:$D$82,$B82,Jurnal_Penutup!$F$5:$F$82)</f>
        <v>400000</v>
      </c>
      <c r="O82" s="2">
        <f t="shared" si="10"/>
        <v>0</v>
      </c>
      <c r="P82" s="2">
        <f t="shared" si="11"/>
        <v>0</v>
      </c>
    </row>
    <row r="83" spans="1:16" x14ac:dyDescent="0.3">
      <c r="A83" t="s">
        <v>318</v>
      </c>
      <c r="B83" t="s">
        <v>319</v>
      </c>
      <c r="C83" t="s">
        <v>274</v>
      </c>
      <c r="D83" t="s">
        <v>140</v>
      </c>
      <c r="E83" s="2">
        <f>SUMIF(Saldo_Awal!$B$4:$B$91,$B83,Saldo_Awal!$C$4:$C$91)</f>
        <v>0</v>
      </c>
      <c r="F83" s="2">
        <f>SUMIF(Saldo_Awal!$B$4:$B$91,$B83,Saldo_Awal!$D$4:$D$91)</f>
        <v>0</v>
      </c>
      <c r="G83" s="2">
        <f>SUMIF(Kunci_Jurnal_80!$E$4:$E$230,$B83,Kunci_Jurnal_80!$F$4:$F$230)</f>
        <v>0</v>
      </c>
      <c r="H83" s="2">
        <f>SUMIF(Kunci_Jurnal_80!$E$4:$E$230,$B83,Kunci_Jurnal_80!$G$4:$G$230)</f>
        <v>0</v>
      </c>
      <c r="I83" s="2">
        <f>SUMIF(Kunci_Penyesuaian!$D$4:$D$65,$B83,Kunci_Penyesuaian!$E$4:$E$65)</f>
        <v>8000000</v>
      </c>
      <c r="J83" s="2">
        <f>SUMIF(Kunci_Penyesuaian!$D$4:$D$65,$B83,Kunci_Penyesuaian!$F$4:$F$65)</f>
        <v>0</v>
      </c>
      <c r="K83" s="2">
        <f t="shared" si="8"/>
        <v>8000000</v>
      </c>
      <c r="L83" s="2">
        <f t="shared" si="9"/>
        <v>0</v>
      </c>
      <c r="M83" s="2">
        <f>SUMIF(Jurnal_Penutup!$D$5:$D$82,$B83,Jurnal_Penutup!$E$5:$E$82)</f>
        <v>0</v>
      </c>
      <c r="N83" s="2">
        <f>SUMIF(Jurnal_Penutup!$D$5:$D$82,$B83,Jurnal_Penutup!$F$5:$F$82)</f>
        <v>8000000</v>
      </c>
      <c r="O83" s="2">
        <f t="shared" si="10"/>
        <v>0</v>
      </c>
      <c r="P83" s="2">
        <f t="shared" si="11"/>
        <v>0</v>
      </c>
    </row>
    <row r="84" spans="1:16" x14ac:dyDescent="0.3">
      <c r="A84" t="s">
        <v>321</v>
      </c>
      <c r="B84" t="s">
        <v>322</v>
      </c>
      <c r="C84" t="s">
        <v>274</v>
      </c>
      <c r="D84" t="s">
        <v>140</v>
      </c>
      <c r="E84" s="2">
        <f>SUMIF(Saldo_Awal!$B$4:$B$91,$B84,Saldo_Awal!$C$4:$C$91)</f>
        <v>0</v>
      </c>
      <c r="F84" s="2">
        <f>SUMIF(Saldo_Awal!$B$4:$B$91,$B84,Saldo_Awal!$D$4:$D$91)</f>
        <v>0</v>
      </c>
      <c r="G84" s="2">
        <f>SUMIF(Kunci_Jurnal_80!$E$4:$E$230,$B84,Kunci_Jurnal_80!$F$4:$F$230)</f>
        <v>2000000</v>
      </c>
      <c r="H84" s="2">
        <f>SUMIF(Kunci_Jurnal_80!$E$4:$E$230,$B84,Kunci_Jurnal_80!$G$4:$G$230)</f>
        <v>0</v>
      </c>
      <c r="I84" s="2">
        <f>SUMIF(Kunci_Penyesuaian!$D$4:$D$65,$B84,Kunci_Penyesuaian!$E$4:$E$65)</f>
        <v>0</v>
      </c>
      <c r="J84" s="2">
        <f>SUMIF(Kunci_Penyesuaian!$D$4:$D$65,$B84,Kunci_Penyesuaian!$F$4:$F$65)</f>
        <v>0</v>
      </c>
      <c r="K84" s="2">
        <f t="shared" si="8"/>
        <v>2000000</v>
      </c>
      <c r="L84" s="2">
        <f t="shared" si="9"/>
        <v>0</v>
      </c>
      <c r="M84" s="2">
        <f>SUMIF(Jurnal_Penutup!$D$5:$D$82,$B84,Jurnal_Penutup!$E$5:$E$82)</f>
        <v>0</v>
      </c>
      <c r="N84" s="2">
        <f>SUMIF(Jurnal_Penutup!$D$5:$D$82,$B84,Jurnal_Penutup!$F$5:$F$82)</f>
        <v>2000000</v>
      </c>
      <c r="O84" s="2">
        <f t="shared" si="10"/>
        <v>0</v>
      </c>
      <c r="P84" s="2">
        <f t="shared" si="11"/>
        <v>0</v>
      </c>
    </row>
    <row r="85" spans="1:16" x14ac:dyDescent="0.3">
      <c r="A85" t="s">
        <v>323</v>
      </c>
      <c r="B85" t="s">
        <v>324</v>
      </c>
      <c r="C85" t="s">
        <v>274</v>
      </c>
      <c r="D85" t="s">
        <v>140</v>
      </c>
      <c r="E85" s="2">
        <f>SUMIF(Saldo_Awal!$B$4:$B$91,$B85,Saldo_Awal!$C$4:$C$91)</f>
        <v>0</v>
      </c>
      <c r="F85" s="2">
        <f>SUMIF(Saldo_Awal!$B$4:$B$91,$B85,Saldo_Awal!$D$4:$D$91)</f>
        <v>0</v>
      </c>
      <c r="G85" s="2">
        <f>SUMIF(Kunci_Jurnal_80!$E$4:$E$230,$B85,Kunci_Jurnal_80!$F$4:$F$230)</f>
        <v>1500000</v>
      </c>
      <c r="H85" s="2">
        <f>SUMIF(Kunci_Jurnal_80!$E$4:$E$230,$B85,Kunci_Jurnal_80!$G$4:$G$230)</f>
        <v>0</v>
      </c>
      <c r="I85" s="2">
        <f>SUMIF(Kunci_Penyesuaian!$D$4:$D$65,$B85,Kunci_Penyesuaian!$E$4:$E$65)</f>
        <v>0</v>
      </c>
      <c r="J85" s="2">
        <f>SUMIF(Kunci_Penyesuaian!$D$4:$D$65,$B85,Kunci_Penyesuaian!$F$4:$F$65)</f>
        <v>0</v>
      </c>
      <c r="K85" s="2">
        <f t="shared" si="8"/>
        <v>1500000</v>
      </c>
      <c r="L85" s="2">
        <f t="shared" si="9"/>
        <v>0</v>
      </c>
      <c r="M85" s="2">
        <f>SUMIF(Jurnal_Penutup!$D$5:$D$82,$B85,Jurnal_Penutup!$E$5:$E$82)</f>
        <v>0</v>
      </c>
      <c r="N85" s="2">
        <f>SUMIF(Jurnal_Penutup!$D$5:$D$82,$B85,Jurnal_Penutup!$F$5:$F$82)</f>
        <v>1500000</v>
      </c>
      <c r="O85" s="2">
        <f t="shared" si="10"/>
        <v>0</v>
      </c>
      <c r="P85" s="2">
        <f t="shared" si="11"/>
        <v>0</v>
      </c>
    </row>
    <row r="86" spans="1:16" x14ac:dyDescent="0.3">
      <c r="A86" t="s">
        <v>325</v>
      </c>
      <c r="B86" t="s">
        <v>326</v>
      </c>
      <c r="C86" t="s">
        <v>274</v>
      </c>
      <c r="D86" t="s">
        <v>140</v>
      </c>
      <c r="E86" s="2">
        <f>SUMIF(Saldo_Awal!$B$4:$B$91,$B86,Saldo_Awal!$C$4:$C$91)</f>
        <v>0</v>
      </c>
      <c r="F86" s="2">
        <f>SUMIF(Saldo_Awal!$B$4:$B$91,$B86,Saldo_Awal!$D$4:$D$91)</f>
        <v>0</v>
      </c>
      <c r="G86" s="2">
        <f>SUMIF(Kunci_Jurnal_80!$E$4:$E$230,$B86,Kunci_Jurnal_80!$F$4:$F$230)</f>
        <v>800000</v>
      </c>
      <c r="H86" s="2">
        <f>SUMIF(Kunci_Jurnal_80!$E$4:$E$230,$B86,Kunci_Jurnal_80!$G$4:$G$230)</f>
        <v>0</v>
      </c>
      <c r="I86" s="2">
        <f>SUMIF(Kunci_Penyesuaian!$D$4:$D$65,$B86,Kunci_Penyesuaian!$E$4:$E$65)</f>
        <v>0</v>
      </c>
      <c r="J86" s="2">
        <f>SUMIF(Kunci_Penyesuaian!$D$4:$D$65,$B86,Kunci_Penyesuaian!$F$4:$F$65)</f>
        <v>0</v>
      </c>
      <c r="K86" s="2">
        <f t="shared" si="8"/>
        <v>800000</v>
      </c>
      <c r="L86" s="2">
        <f t="shared" si="9"/>
        <v>0</v>
      </c>
      <c r="M86" s="2">
        <f>SUMIF(Jurnal_Penutup!$D$5:$D$82,$B86,Jurnal_Penutup!$E$5:$E$82)</f>
        <v>0</v>
      </c>
      <c r="N86" s="2">
        <f>SUMIF(Jurnal_Penutup!$D$5:$D$82,$B86,Jurnal_Penutup!$F$5:$F$82)</f>
        <v>800000</v>
      </c>
      <c r="O86" s="2">
        <f t="shared" si="10"/>
        <v>0</v>
      </c>
      <c r="P86" s="2">
        <f t="shared" si="11"/>
        <v>0</v>
      </c>
    </row>
    <row r="87" spans="1:16" x14ac:dyDescent="0.3">
      <c r="A87" t="s">
        <v>327</v>
      </c>
      <c r="B87" t="s">
        <v>328</v>
      </c>
      <c r="C87" t="s">
        <v>274</v>
      </c>
      <c r="D87" t="s">
        <v>140</v>
      </c>
      <c r="E87" s="2">
        <f>SUMIF(Saldo_Awal!$B$4:$B$91,$B87,Saldo_Awal!$C$4:$C$91)</f>
        <v>0</v>
      </c>
      <c r="F87" s="2">
        <f>SUMIF(Saldo_Awal!$B$4:$B$91,$B87,Saldo_Awal!$D$4:$D$91)</f>
        <v>0</v>
      </c>
      <c r="G87" s="2">
        <f>SUMIF(Kunci_Jurnal_80!$E$4:$E$230,$B87,Kunci_Jurnal_80!$F$4:$F$230)</f>
        <v>300000</v>
      </c>
      <c r="H87" s="2">
        <f>SUMIF(Kunci_Jurnal_80!$E$4:$E$230,$B87,Kunci_Jurnal_80!$G$4:$G$230)</f>
        <v>0</v>
      </c>
      <c r="I87" s="2">
        <f>SUMIF(Kunci_Penyesuaian!$D$4:$D$65,$B87,Kunci_Penyesuaian!$E$4:$E$65)</f>
        <v>0</v>
      </c>
      <c r="J87" s="2">
        <f>SUMIF(Kunci_Penyesuaian!$D$4:$D$65,$B87,Kunci_Penyesuaian!$F$4:$F$65)</f>
        <v>0</v>
      </c>
      <c r="K87" s="2">
        <f t="shared" si="8"/>
        <v>300000</v>
      </c>
      <c r="L87" s="2">
        <f t="shared" si="9"/>
        <v>0</v>
      </c>
      <c r="M87" s="2">
        <f>SUMIF(Jurnal_Penutup!$D$5:$D$82,$B87,Jurnal_Penutup!$E$5:$E$82)</f>
        <v>0</v>
      </c>
      <c r="N87" s="2">
        <f>SUMIF(Jurnal_Penutup!$D$5:$D$82,$B87,Jurnal_Penutup!$F$5:$F$82)</f>
        <v>300000</v>
      </c>
      <c r="O87" s="2">
        <f t="shared" si="10"/>
        <v>0</v>
      </c>
      <c r="P87" s="2">
        <f t="shared" si="11"/>
        <v>0</v>
      </c>
    </row>
    <row r="88" spans="1:16" x14ac:dyDescent="0.3">
      <c r="A88" t="s">
        <v>329</v>
      </c>
      <c r="B88" t="s">
        <v>330</v>
      </c>
      <c r="C88" t="s">
        <v>274</v>
      </c>
      <c r="D88" t="s">
        <v>140</v>
      </c>
      <c r="E88" s="2">
        <f>SUMIF(Saldo_Awal!$B$4:$B$91,$B88,Saldo_Awal!$C$4:$C$91)</f>
        <v>0</v>
      </c>
      <c r="F88" s="2">
        <f>SUMIF(Saldo_Awal!$B$4:$B$91,$B88,Saldo_Awal!$D$4:$D$91)</f>
        <v>0</v>
      </c>
      <c r="G88" s="2">
        <f>SUMIF(Kunci_Jurnal_80!$E$4:$E$230,$B88,Kunci_Jurnal_80!$F$4:$F$230)</f>
        <v>1000000</v>
      </c>
      <c r="H88" s="2">
        <f>SUMIF(Kunci_Jurnal_80!$E$4:$E$230,$B88,Kunci_Jurnal_80!$G$4:$G$230)</f>
        <v>0</v>
      </c>
      <c r="I88" s="2">
        <f>SUMIF(Kunci_Penyesuaian!$D$4:$D$65,$B88,Kunci_Penyesuaian!$E$4:$E$65)</f>
        <v>0</v>
      </c>
      <c r="J88" s="2">
        <f>SUMIF(Kunci_Penyesuaian!$D$4:$D$65,$B88,Kunci_Penyesuaian!$F$4:$F$65)</f>
        <v>0</v>
      </c>
      <c r="K88" s="2">
        <f t="shared" si="8"/>
        <v>1000000</v>
      </c>
      <c r="L88" s="2">
        <f t="shared" si="9"/>
        <v>0</v>
      </c>
      <c r="M88" s="2">
        <f>SUMIF(Jurnal_Penutup!$D$5:$D$82,$B88,Jurnal_Penutup!$E$5:$E$82)</f>
        <v>0</v>
      </c>
      <c r="N88" s="2">
        <f>SUMIF(Jurnal_Penutup!$D$5:$D$82,$B88,Jurnal_Penutup!$F$5:$F$82)</f>
        <v>1000000</v>
      </c>
      <c r="O88" s="2">
        <f t="shared" si="10"/>
        <v>0</v>
      </c>
      <c r="P88" s="2">
        <f t="shared" si="11"/>
        <v>0</v>
      </c>
    </row>
    <row r="89" spans="1:16" x14ac:dyDescent="0.3">
      <c r="A89" t="s">
        <v>332</v>
      </c>
      <c r="B89" t="s">
        <v>333</v>
      </c>
      <c r="C89" t="s">
        <v>274</v>
      </c>
      <c r="D89" t="s">
        <v>140</v>
      </c>
      <c r="E89" s="2">
        <f>SUMIF(Saldo_Awal!$B$4:$B$91,$B89,Saldo_Awal!$C$4:$C$91)</f>
        <v>0</v>
      </c>
      <c r="F89" s="2">
        <f>SUMIF(Saldo_Awal!$B$4:$B$91,$B89,Saldo_Awal!$D$4:$D$91)</f>
        <v>0</v>
      </c>
      <c r="G89" s="2">
        <f>SUMIF(Kunci_Jurnal_80!$E$4:$E$230,$B89,Kunci_Jurnal_80!$F$4:$F$230)</f>
        <v>0</v>
      </c>
      <c r="H89" s="2">
        <f>SUMIF(Kunci_Jurnal_80!$E$4:$E$230,$B89,Kunci_Jurnal_80!$G$4:$G$230)</f>
        <v>0</v>
      </c>
      <c r="I89" s="2">
        <f>SUMIF(Kunci_Penyesuaian!$D$4:$D$65,$B89,Kunci_Penyesuaian!$E$4:$E$65)</f>
        <v>0</v>
      </c>
      <c r="J89" s="2">
        <f>SUMIF(Kunci_Penyesuaian!$D$4:$D$65,$B89,Kunci_Penyesuaian!$F$4:$F$65)</f>
        <v>0</v>
      </c>
      <c r="K89" s="2">
        <f t="shared" si="8"/>
        <v>0</v>
      </c>
      <c r="L89" s="2">
        <f t="shared" si="9"/>
        <v>0</v>
      </c>
      <c r="M89" s="2">
        <f>SUMIF(Jurnal_Penutup!$D$5:$D$82,$B89,Jurnal_Penutup!$E$5:$E$82)</f>
        <v>0</v>
      </c>
      <c r="N89" s="2">
        <f>SUMIF(Jurnal_Penutup!$D$5:$D$82,$B89,Jurnal_Penutup!$F$5:$F$82)</f>
        <v>0</v>
      </c>
      <c r="O89" s="2">
        <f t="shared" si="10"/>
        <v>0</v>
      </c>
      <c r="P89" s="2">
        <f t="shared" si="11"/>
        <v>0</v>
      </c>
    </row>
    <row r="90" spans="1:16" x14ac:dyDescent="0.3">
      <c r="A90" t="s">
        <v>334</v>
      </c>
      <c r="B90" t="s">
        <v>335</v>
      </c>
      <c r="C90" t="s">
        <v>198</v>
      </c>
      <c r="D90" t="s">
        <v>188</v>
      </c>
      <c r="E90" s="2">
        <f>SUMIF(Saldo_Awal!$B$4:$B$91,$B90,Saldo_Awal!$C$4:$C$91)</f>
        <v>0</v>
      </c>
      <c r="F90" s="2">
        <f>SUMIF(Saldo_Awal!$B$4:$B$91,$B90,Saldo_Awal!$D$4:$D$91)</f>
        <v>0</v>
      </c>
      <c r="G90" s="2">
        <f>SUMIF(Kunci_Jurnal_80!$E$4:$E$230,$B90,Kunci_Jurnal_80!$F$4:$F$230)</f>
        <v>0</v>
      </c>
      <c r="H90" s="2">
        <f>SUMIF(Kunci_Jurnal_80!$E$4:$E$230,$B90,Kunci_Jurnal_80!$G$4:$G$230)</f>
        <v>0</v>
      </c>
      <c r="I90" s="2">
        <f>SUMIF(Kunci_Penyesuaian!$D$4:$D$65,$B90,Kunci_Penyesuaian!$E$4:$E$65)</f>
        <v>0</v>
      </c>
      <c r="J90" s="2">
        <f>SUMIF(Kunci_Penyesuaian!$D$4:$D$65,$B90,Kunci_Penyesuaian!$F$4:$F$65)</f>
        <v>12100000</v>
      </c>
      <c r="K90" s="2">
        <f t="shared" si="8"/>
        <v>0</v>
      </c>
      <c r="L90" s="2">
        <f t="shared" si="9"/>
        <v>12100000</v>
      </c>
      <c r="M90" s="2">
        <f>SUMIF(Jurnal_Penutup!$D$5:$D$82,$B90,Jurnal_Penutup!$E$5:$E$82)</f>
        <v>0</v>
      </c>
      <c r="N90" s="2">
        <f>SUMIF(Jurnal_Penutup!$D$5:$D$82,$B90,Jurnal_Penutup!$F$5:$F$82)</f>
        <v>0</v>
      </c>
      <c r="O90" s="2">
        <f t="shared" si="10"/>
        <v>0</v>
      </c>
      <c r="P90" s="2">
        <f t="shared" si="11"/>
        <v>12100000</v>
      </c>
    </row>
    <row r="91" spans="1:16" x14ac:dyDescent="0.3">
      <c r="A91" t="s">
        <v>336</v>
      </c>
      <c r="B91" t="s">
        <v>337</v>
      </c>
      <c r="C91" t="s">
        <v>198</v>
      </c>
      <c r="D91" t="s">
        <v>188</v>
      </c>
      <c r="E91" s="2">
        <f>SUMIF(Saldo_Awal!$B$4:$B$91,$B91,Saldo_Awal!$C$4:$C$91)</f>
        <v>0</v>
      </c>
      <c r="F91" s="2">
        <f>SUMIF(Saldo_Awal!$B$4:$B$91,$B91,Saldo_Awal!$D$4:$D$91)</f>
        <v>0</v>
      </c>
      <c r="G91" s="2">
        <f>SUMIF(Kunci_Jurnal_80!$E$4:$E$230,$B91,Kunci_Jurnal_80!$F$4:$F$230)</f>
        <v>3256000</v>
      </c>
      <c r="H91" s="2">
        <f>SUMIF(Kunci_Jurnal_80!$E$4:$E$230,$B91,Kunci_Jurnal_80!$G$4:$G$230)</f>
        <v>77770000</v>
      </c>
      <c r="I91" s="2">
        <f>SUMIF(Kunci_Penyesuaian!$D$4:$D$65,$B91,Kunci_Penyesuaian!$E$4:$E$65)</f>
        <v>74954000</v>
      </c>
      <c r="J91" s="2">
        <f>SUMIF(Kunci_Penyesuaian!$D$4:$D$65,$B91,Kunci_Penyesuaian!$F$4:$F$65)</f>
        <v>440000</v>
      </c>
      <c r="K91" s="2">
        <f t="shared" si="8"/>
        <v>0</v>
      </c>
      <c r="L91" s="2">
        <f t="shared" si="9"/>
        <v>0</v>
      </c>
      <c r="M91" s="2">
        <f>SUMIF(Jurnal_Penutup!$D$5:$D$82,$B91,Jurnal_Penutup!$E$5:$E$82)</f>
        <v>0</v>
      </c>
      <c r="N91" s="2">
        <f>SUMIF(Jurnal_Penutup!$D$5:$D$82,$B91,Jurnal_Penutup!$F$5:$F$82)</f>
        <v>0</v>
      </c>
      <c r="O91" s="2">
        <f t="shared" si="10"/>
        <v>0</v>
      </c>
      <c r="P91" s="2">
        <f t="shared" si="11"/>
        <v>0</v>
      </c>
    </row>
    <row r="92" spans="1:16" x14ac:dyDescent="0.3">
      <c r="A92" t="s">
        <v>922</v>
      </c>
      <c r="E92" s="2">
        <f t="shared" ref="E92:P92" si="12">SUM(E4:E91)</f>
        <v>569000000</v>
      </c>
      <c r="F92" s="2">
        <f t="shared" si="12"/>
        <v>569000000</v>
      </c>
      <c r="G92" s="2">
        <f t="shared" si="12"/>
        <v>5183570000</v>
      </c>
      <c r="H92" s="2">
        <f t="shared" si="12"/>
        <v>5183570000</v>
      </c>
      <c r="I92" s="2">
        <f t="shared" si="12"/>
        <v>147294000</v>
      </c>
      <c r="J92" s="2">
        <f t="shared" si="12"/>
        <v>147294000</v>
      </c>
      <c r="K92" s="2">
        <f t="shared" si="12"/>
        <v>3097950000</v>
      </c>
      <c r="L92" s="2">
        <f t="shared" si="12"/>
        <v>3097950000</v>
      </c>
      <c r="M92" s="2">
        <f t="shared" si="12"/>
        <v>1421700000</v>
      </c>
      <c r="N92" s="2">
        <f t="shared" si="12"/>
        <v>1421700000</v>
      </c>
      <c r="O92" s="2">
        <f t="shared" si="12"/>
        <v>2514400000</v>
      </c>
      <c r="P92" s="2">
        <f t="shared" si="12"/>
        <v>2514400000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workbookViewId="0">
      <selection activeCell="F20" sqref="F20"/>
    </sheetView>
  </sheetViews>
  <sheetFormatPr defaultRowHeight="14.4" x14ac:dyDescent="0.3"/>
  <cols>
    <col min="1" max="1" width="23.6640625" customWidth="1"/>
    <col min="2" max="2" width="15.77734375" style="2" customWidth="1"/>
    <col min="3" max="3" width="25.109375" style="2" customWidth="1"/>
    <col min="4" max="4" width="14" style="2" bestFit="1" customWidth="1"/>
    <col min="5" max="5" width="13.5546875" style="2" customWidth="1"/>
    <col min="6" max="6" width="12.88671875" style="2" bestFit="1" customWidth="1"/>
    <col min="7" max="7" width="12.44140625" style="2" customWidth="1"/>
    <col min="8" max="8" width="13.33203125" style="2" customWidth="1"/>
    <col min="9" max="9" width="14" style="2" bestFit="1" customWidth="1"/>
    <col min="10" max="10" width="35.21875" customWidth="1"/>
  </cols>
  <sheetData>
    <row r="1" spans="1:10" x14ac:dyDescent="0.3">
      <c r="A1" t="s">
        <v>923</v>
      </c>
    </row>
    <row r="3" spans="1:10" x14ac:dyDescent="0.3">
      <c r="A3" t="s">
        <v>340</v>
      </c>
      <c r="B3" s="2" t="s">
        <v>924</v>
      </c>
      <c r="C3" s="2" t="s">
        <v>925</v>
      </c>
      <c r="D3" s="2" t="s">
        <v>926</v>
      </c>
      <c r="E3" s="2" t="s">
        <v>927</v>
      </c>
      <c r="F3" s="2" t="s">
        <v>928</v>
      </c>
      <c r="G3" s="2" t="s">
        <v>909</v>
      </c>
      <c r="H3" s="2" t="s">
        <v>929</v>
      </c>
      <c r="I3" s="2" t="s">
        <v>930</v>
      </c>
      <c r="J3" t="s">
        <v>931</v>
      </c>
    </row>
    <row r="4" spans="1:10" x14ac:dyDescent="0.3">
      <c r="A4" t="s">
        <v>350</v>
      </c>
      <c r="B4" s="2">
        <v>0</v>
      </c>
      <c r="C4" s="2">
        <v>277500000</v>
      </c>
      <c r="D4" s="2">
        <v>16650000</v>
      </c>
      <c r="E4" s="2">
        <v>255800000</v>
      </c>
      <c r="F4" s="2">
        <v>2400000</v>
      </c>
      <c r="G4" s="2">
        <f t="shared" ref="G4:G9" si="0">B4+C4-D4-E4-F4</f>
        <v>2650000</v>
      </c>
      <c r="H4" s="2">
        <v>2650000</v>
      </c>
      <c r="I4" s="2">
        <v>0</v>
      </c>
      <c r="J4" t="s">
        <v>932</v>
      </c>
    </row>
    <row r="5" spans="1:10" x14ac:dyDescent="0.3">
      <c r="A5" t="s">
        <v>358</v>
      </c>
      <c r="B5" s="2">
        <v>0</v>
      </c>
      <c r="C5" s="2">
        <v>111000000</v>
      </c>
      <c r="D5" s="2">
        <v>0</v>
      </c>
      <c r="E5" s="2">
        <v>90000000</v>
      </c>
      <c r="F5" s="2">
        <v>0</v>
      </c>
      <c r="G5" s="2">
        <f t="shared" si="0"/>
        <v>21000000</v>
      </c>
      <c r="H5" s="2">
        <v>21000000</v>
      </c>
      <c r="I5" s="2">
        <v>0</v>
      </c>
      <c r="J5" t="s">
        <v>933</v>
      </c>
    </row>
    <row r="6" spans="1:10" x14ac:dyDescent="0.3">
      <c r="A6" t="s">
        <v>396</v>
      </c>
      <c r="B6" s="2">
        <v>70000000</v>
      </c>
      <c r="C6" s="2">
        <v>0</v>
      </c>
      <c r="D6" s="2">
        <v>0</v>
      </c>
      <c r="E6" s="2">
        <v>0</v>
      </c>
      <c r="F6" s="2">
        <v>0</v>
      </c>
      <c r="G6" s="2">
        <f t="shared" si="0"/>
        <v>70000000</v>
      </c>
      <c r="H6" s="2">
        <v>0</v>
      </c>
      <c r="I6" s="2">
        <v>70000000</v>
      </c>
      <c r="J6" t="s">
        <v>934</v>
      </c>
    </row>
    <row r="7" spans="1:10" x14ac:dyDescent="0.3">
      <c r="A7" t="s">
        <v>847</v>
      </c>
      <c r="B7" s="2">
        <v>0</v>
      </c>
      <c r="C7" s="2">
        <v>54750000</v>
      </c>
      <c r="D7" s="2">
        <v>0</v>
      </c>
      <c r="E7" s="2">
        <v>0</v>
      </c>
      <c r="F7" s="2">
        <v>0</v>
      </c>
      <c r="G7" s="2">
        <f t="shared" si="0"/>
        <v>54750000</v>
      </c>
      <c r="H7" s="2">
        <v>54750000</v>
      </c>
      <c r="I7" s="2">
        <v>0</v>
      </c>
      <c r="J7" t="s">
        <v>848</v>
      </c>
    </row>
    <row r="8" spans="1:10" x14ac:dyDescent="0.3">
      <c r="A8" t="s">
        <v>374</v>
      </c>
      <c r="B8" s="2">
        <v>0</v>
      </c>
      <c r="C8" s="2">
        <v>44400000</v>
      </c>
      <c r="D8" s="2">
        <v>0</v>
      </c>
      <c r="E8" s="2">
        <v>44400000</v>
      </c>
      <c r="F8" s="2">
        <v>0</v>
      </c>
      <c r="G8" s="2">
        <f t="shared" si="0"/>
        <v>0</v>
      </c>
      <c r="H8" s="2">
        <v>0</v>
      </c>
      <c r="I8" s="2">
        <v>0</v>
      </c>
      <c r="J8" t="s">
        <v>935</v>
      </c>
    </row>
    <row r="9" spans="1:10" x14ac:dyDescent="0.3">
      <c r="A9" t="s">
        <v>402</v>
      </c>
      <c r="B9" s="2">
        <v>0</v>
      </c>
      <c r="C9" s="2">
        <v>3330000</v>
      </c>
      <c r="D9" s="2">
        <v>0</v>
      </c>
      <c r="E9" s="2">
        <v>3330000</v>
      </c>
      <c r="F9" s="2">
        <v>0</v>
      </c>
      <c r="G9" s="2">
        <f t="shared" si="0"/>
        <v>0</v>
      </c>
      <c r="H9" s="2">
        <v>0</v>
      </c>
      <c r="I9" s="2">
        <v>0</v>
      </c>
      <c r="J9" t="s">
        <v>936</v>
      </c>
    </row>
    <row r="11" spans="1:10" x14ac:dyDescent="0.3">
      <c r="A11" t="s">
        <v>937</v>
      </c>
      <c r="G11" s="14">
        <f>SUM(G4:G9)</f>
        <v>148400000</v>
      </c>
      <c r="H11" s="14">
        <f>SUM(H4:H9)</f>
        <v>78400000</v>
      </c>
      <c r="I11" s="14">
        <f>SUM(I4:I9)</f>
        <v>70000000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8"/>
  <sheetViews>
    <sheetView workbookViewId="0">
      <selection activeCell="F23" sqref="F23"/>
    </sheetView>
  </sheetViews>
  <sheetFormatPr defaultRowHeight="14.4" x14ac:dyDescent="0.3"/>
  <cols>
    <col min="1" max="1" width="15.5546875" customWidth="1"/>
    <col min="2" max="2" width="13.33203125" customWidth="1"/>
    <col min="3" max="3" width="23.33203125" customWidth="1"/>
    <col min="4" max="4" width="15.109375" customWidth="1"/>
    <col min="5" max="5" width="17.77734375" customWidth="1"/>
    <col min="6" max="6" width="13" customWidth="1"/>
    <col min="7" max="7" width="9" bestFit="1" customWidth="1"/>
    <col min="8" max="8" width="14.33203125" customWidth="1"/>
    <col min="9" max="9" width="12.44140625" customWidth="1"/>
    <col min="10" max="10" width="13.33203125" customWidth="1"/>
    <col min="11" max="11" width="14" bestFit="1" customWidth="1"/>
    <col min="12" max="12" width="40.6640625" customWidth="1"/>
  </cols>
  <sheetData>
    <row r="1" spans="1:12" x14ac:dyDescent="0.3">
      <c r="A1" t="s">
        <v>938</v>
      </c>
    </row>
    <row r="3" spans="1:12" x14ac:dyDescent="0.3">
      <c r="A3" s="2" t="s">
        <v>345</v>
      </c>
      <c r="B3" s="2" t="s">
        <v>924</v>
      </c>
      <c r="C3" s="2" t="s">
        <v>939</v>
      </c>
      <c r="D3" s="2" t="s">
        <v>940</v>
      </c>
      <c r="E3" s="2" t="s">
        <v>941</v>
      </c>
      <c r="F3" s="2" t="s">
        <v>942</v>
      </c>
      <c r="G3" s="2" t="s">
        <v>928</v>
      </c>
      <c r="H3" s="2" t="s">
        <v>943</v>
      </c>
      <c r="I3" s="2" t="s">
        <v>909</v>
      </c>
      <c r="J3" s="2" t="s">
        <v>929</v>
      </c>
      <c r="K3" s="2" t="s">
        <v>930</v>
      </c>
      <c r="L3" s="2" t="s">
        <v>931</v>
      </c>
    </row>
    <row r="4" spans="1:12" x14ac:dyDescent="0.3">
      <c r="A4" s="2" t="s">
        <v>355</v>
      </c>
      <c r="B4" s="2">
        <v>0</v>
      </c>
      <c r="C4" s="2">
        <v>177600000</v>
      </c>
      <c r="D4" s="2">
        <v>11100000</v>
      </c>
      <c r="E4" s="2">
        <v>3000000</v>
      </c>
      <c r="F4" s="2">
        <v>163300000</v>
      </c>
      <c r="G4" s="2">
        <v>0</v>
      </c>
      <c r="H4" s="2">
        <v>0</v>
      </c>
      <c r="I4" s="2">
        <f>B4+C4-D4+E4-F4-G4-H4</f>
        <v>6200000</v>
      </c>
      <c r="J4" s="2">
        <v>6200000</v>
      </c>
      <c r="K4" s="2">
        <v>0</v>
      </c>
      <c r="L4" s="2" t="s">
        <v>944</v>
      </c>
    </row>
    <row r="5" spans="1:12" x14ac:dyDescent="0.3">
      <c r="A5" s="2" t="s">
        <v>370</v>
      </c>
      <c r="B5" s="2">
        <v>0</v>
      </c>
      <c r="C5" s="2">
        <v>233100000</v>
      </c>
      <c r="D5" s="2">
        <v>21090000</v>
      </c>
      <c r="E5" s="2">
        <v>0</v>
      </c>
      <c r="F5" s="2">
        <v>190000000</v>
      </c>
      <c r="G5" s="2">
        <v>0</v>
      </c>
      <c r="H5" s="2">
        <v>0</v>
      </c>
      <c r="I5" s="2">
        <f>B5+C5-D5+E5-F5-G5-H5</f>
        <v>22010000</v>
      </c>
      <c r="J5" s="2">
        <v>22010000</v>
      </c>
      <c r="K5" s="2">
        <v>0</v>
      </c>
      <c r="L5" s="2" t="s">
        <v>945</v>
      </c>
    </row>
    <row r="6" spans="1:12" x14ac:dyDescent="0.3">
      <c r="A6" s="2" t="s">
        <v>384</v>
      </c>
      <c r="B6" s="2">
        <v>0</v>
      </c>
      <c r="C6" s="2">
        <v>99900000</v>
      </c>
      <c r="D6" s="2">
        <v>0</v>
      </c>
      <c r="E6" s="2">
        <v>0</v>
      </c>
      <c r="F6" s="2">
        <v>69970000</v>
      </c>
      <c r="G6" s="2">
        <v>0</v>
      </c>
      <c r="H6" s="2">
        <v>0</v>
      </c>
      <c r="I6" s="2">
        <f>B6+C6-D6+E6-F6-G6-H6</f>
        <v>29930000</v>
      </c>
      <c r="J6" s="2">
        <v>29930000</v>
      </c>
      <c r="K6" s="2">
        <v>0</v>
      </c>
      <c r="L6" s="2" t="s">
        <v>946</v>
      </c>
    </row>
    <row r="7" spans="1:12" x14ac:dyDescent="0.3">
      <c r="A7" s="2" t="s">
        <v>399</v>
      </c>
      <c r="B7" s="2">
        <v>60000000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2000000</v>
      </c>
      <c r="I7" s="2">
        <f>B7+C7-D7+E7-F7-G7-H7</f>
        <v>58000000</v>
      </c>
      <c r="J7" s="2">
        <v>0</v>
      </c>
      <c r="K7" s="2">
        <v>58000000</v>
      </c>
      <c r="L7" s="2" t="s">
        <v>947</v>
      </c>
    </row>
    <row r="8" spans="1:12" x14ac:dyDescent="0.3">
      <c r="A8" s="2" t="s">
        <v>937</v>
      </c>
      <c r="B8" s="2"/>
      <c r="C8" s="2"/>
      <c r="D8" s="2"/>
      <c r="E8" s="2"/>
      <c r="F8" s="2"/>
      <c r="G8" s="2"/>
      <c r="H8" s="2"/>
      <c r="I8" s="2">
        <f>SUM(I4:I7)</f>
        <v>116140000</v>
      </c>
      <c r="J8" s="2">
        <f>SUM(J4:J7)</f>
        <v>58140000</v>
      </c>
      <c r="K8" s="2">
        <f>SUM(K4:K7)</f>
        <v>58000000</v>
      </c>
      <c r="L8" s="2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"/>
  <sheetViews>
    <sheetView topLeftCell="D1" workbookViewId="0">
      <selection activeCell="E9" sqref="E9"/>
    </sheetView>
  </sheetViews>
  <sheetFormatPr defaultRowHeight="14.4" x14ac:dyDescent="0.3"/>
  <cols>
    <col min="1" max="1" width="10.77734375" customWidth="1"/>
    <col min="3" max="3" width="12.44140625" customWidth="1"/>
    <col min="4" max="4" width="13.33203125" customWidth="1"/>
    <col min="5" max="5" width="15.44140625" customWidth="1"/>
    <col min="6" max="6" width="14" bestFit="1" customWidth="1"/>
    <col min="7" max="7" width="13" customWidth="1"/>
    <col min="8" max="8" width="14" bestFit="1" customWidth="1"/>
    <col min="9" max="9" width="12.33203125" customWidth="1"/>
    <col min="10" max="10" width="14" bestFit="1" customWidth="1"/>
  </cols>
  <sheetData>
    <row r="1" spans="1:10" x14ac:dyDescent="0.3">
      <c r="A1" t="s">
        <v>948</v>
      </c>
    </row>
    <row r="2" spans="1:10" x14ac:dyDescent="0.3">
      <c r="A2" t="s">
        <v>949</v>
      </c>
    </row>
    <row r="3" spans="1:10" x14ac:dyDescent="0.3">
      <c r="A3" s="2" t="s">
        <v>454</v>
      </c>
      <c r="B3" s="2" t="s">
        <v>419</v>
      </c>
      <c r="C3" s="2" t="s">
        <v>778</v>
      </c>
      <c r="D3" s="2" t="s">
        <v>950</v>
      </c>
      <c r="E3" s="2" t="s">
        <v>951</v>
      </c>
      <c r="F3" s="2" t="s">
        <v>952</v>
      </c>
      <c r="G3" s="2" t="s">
        <v>953</v>
      </c>
      <c r="H3" s="2" t="s">
        <v>954</v>
      </c>
      <c r="I3" s="2" t="s">
        <v>955</v>
      </c>
      <c r="J3" s="2" t="s">
        <v>956</v>
      </c>
    </row>
    <row r="4" spans="1:10" x14ac:dyDescent="0.3">
      <c r="A4" s="2">
        <v>46389</v>
      </c>
      <c r="B4" s="2" t="s">
        <v>426</v>
      </c>
      <c r="C4" s="2" t="s">
        <v>957</v>
      </c>
      <c r="D4" s="2">
        <v>20</v>
      </c>
      <c r="E4" s="2">
        <v>2500000</v>
      </c>
      <c r="F4" s="2">
        <f t="shared" ref="F4:F13" si="0">IF(D4="","",D4*E4)</f>
        <v>50000000</v>
      </c>
      <c r="G4" s="2"/>
      <c r="H4" s="2"/>
      <c r="I4" s="2">
        <f>IF(D4="",0,D4)-IF(G4="",0,G4)</f>
        <v>20</v>
      </c>
      <c r="J4" s="2">
        <f>IF(F4="",0,F4)-IF(H4="",0,H4)</f>
        <v>50000000</v>
      </c>
    </row>
    <row r="5" spans="1:10" x14ac:dyDescent="0.3">
      <c r="A5" s="2">
        <v>46392</v>
      </c>
      <c r="B5" s="2" t="s">
        <v>426</v>
      </c>
      <c r="C5" s="2" t="s">
        <v>958</v>
      </c>
      <c r="D5" s="2"/>
      <c r="E5" s="2"/>
      <c r="F5" s="2" t="str">
        <f t="shared" si="0"/>
        <v/>
      </c>
      <c r="G5" s="2">
        <v>8</v>
      </c>
      <c r="H5" s="2">
        <f>8*2500000</f>
        <v>20000000</v>
      </c>
      <c r="I5" s="2">
        <f t="shared" ref="I5:I13" si="1">I4+IF(D5="",0,D5)-IF(G5="",0,G5)</f>
        <v>12</v>
      </c>
      <c r="J5" s="2">
        <f t="shared" ref="J5:J13" si="2">J4+IF(F5="",0,F5)-IF(H5="",0,H5)</f>
        <v>30000000</v>
      </c>
    </row>
    <row r="6" spans="1:10" x14ac:dyDescent="0.3">
      <c r="A6" s="2">
        <v>46395</v>
      </c>
      <c r="B6" s="2" t="s">
        <v>426</v>
      </c>
      <c r="C6" s="2" t="s">
        <v>959</v>
      </c>
      <c r="D6" s="2">
        <v>10</v>
      </c>
      <c r="E6" s="2">
        <v>2600000</v>
      </c>
      <c r="F6" s="2">
        <f t="shared" si="0"/>
        <v>26000000</v>
      </c>
      <c r="G6" s="2"/>
      <c r="H6" s="2"/>
      <c r="I6" s="2">
        <f t="shared" si="1"/>
        <v>22</v>
      </c>
      <c r="J6" s="2">
        <f t="shared" si="2"/>
        <v>56000000</v>
      </c>
    </row>
    <row r="7" spans="1:10" x14ac:dyDescent="0.3">
      <c r="A7" s="2">
        <v>46399</v>
      </c>
      <c r="B7" s="2" t="s">
        <v>426</v>
      </c>
      <c r="C7" s="2" t="s">
        <v>960</v>
      </c>
      <c r="D7" s="2"/>
      <c r="E7" s="2"/>
      <c r="F7" s="2" t="str">
        <f t="shared" si="0"/>
        <v/>
      </c>
      <c r="G7" s="2">
        <v>12</v>
      </c>
      <c r="H7" s="2"/>
      <c r="I7" s="2">
        <f t="shared" si="1"/>
        <v>10</v>
      </c>
      <c r="J7" s="2">
        <f t="shared" si="2"/>
        <v>56000000</v>
      </c>
    </row>
    <row r="8" spans="1:10" x14ac:dyDescent="0.3">
      <c r="A8" s="2">
        <v>46402</v>
      </c>
      <c r="B8" s="2" t="s">
        <v>426</v>
      </c>
      <c r="C8" s="2" t="s">
        <v>961</v>
      </c>
      <c r="D8" s="2"/>
      <c r="E8" s="2"/>
      <c r="F8" s="2" t="str">
        <f t="shared" si="0"/>
        <v/>
      </c>
      <c r="G8" s="2">
        <v>5</v>
      </c>
      <c r="H8" s="2">
        <f>10*2500000+2*2600000</f>
        <v>30200000</v>
      </c>
      <c r="I8" s="2">
        <f t="shared" si="1"/>
        <v>5</v>
      </c>
      <c r="J8" s="2">
        <f t="shared" si="2"/>
        <v>25800000</v>
      </c>
    </row>
    <row r="9" spans="1:10" x14ac:dyDescent="0.3">
      <c r="A9" s="2">
        <v>46390</v>
      </c>
      <c r="B9" s="2" t="s">
        <v>433</v>
      </c>
      <c r="C9" s="2" t="s">
        <v>962</v>
      </c>
      <c r="D9" s="2">
        <v>100</v>
      </c>
      <c r="E9" s="2">
        <v>45000</v>
      </c>
      <c r="F9" s="2">
        <f t="shared" si="0"/>
        <v>4500000</v>
      </c>
      <c r="G9" s="2"/>
      <c r="H9" s="2">
        <f>5*2600000</f>
        <v>13000000</v>
      </c>
      <c r="I9" s="2">
        <f t="shared" si="1"/>
        <v>105</v>
      </c>
      <c r="J9" s="2">
        <f t="shared" si="2"/>
        <v>17300000</v>
      </c>
    </row>
    <row r="10" spans="1:10" x14ac:dyDescent="0.3">
      <c r="A10" s="2">
        <v>46397</v>
      </c>
      <c r="B10" s="2" t="s">
        <v>433</v>
      </c>
      <c r="C10" s="2" t="s">
        <v>963</v>
      </c>
      <c r="D10" s="2">
        <v>50</v>
      </c>
      <c r="E10" s="2">
        <v>47000</v>
      </c>
      <c r="F10" s="2">
        <f t="shared" si="0"/>
        <v>2350000</v>
      </c>
      <c r="G10" s="2"/>
      <c r="H10" s="2"/>
      <c r="I10" s="2">
        <f t="shared" si="1"/>
        <v>155</v>
      </c>
      <c r="J10" s="2">
        <f t="shared" si="2"/>
        <v>19650000</v>
      </c>
    </row>
    <row r="11" spans="1:10" x14ac:dyDescent="0.3">
      <c r="A11" s="2">
        <v>46403</v>
      </c>
      <c r="B11" s="2" t="s">
        <v>433</v>
      </c>
      <c r="C11" s="2" t="s">
        <v>964</v>
      </c>
      <c r="D11" s="2"/>
      <c r="E11" s="2"/>
      <c r="F11" s="2" t="str">
        <f t="shared" si="0"/>
        <v/>
      </c>
      <c r="G11" s="2">
        <v>120</v>
      </c>
      <c r="H11" s="2">
        <f>100*45000+20*47000</f>
        <v>5440000</v>
      </c>
      <c r="I11" s="2">
        <f t="shared" si="1"/>
        <v>35</v>
      </c>
      <c r="J11" s="2">
        <f t="shared" si="2"/>
        <v>14210000</v>
      </c>
    </row>
    <row r="12" spans="1:10" x14ac:dyDescent="0.3">
      <c r="A12" s="2">
        <v>46407</v>
      </c>
      <c r="B12" s="2" t="s">
        <v>433</v>
      </c>
      <c r="C12" s="2" t="s">
        <v>965</v>
      </c>
      <c r="D12" s="2">
        <v>80</v>
      </c>
      <c r="E12" s="2">
        <v>48000</v>
      </c>
      <c r="F12" s="2">
        <f t="shared" si="0"/>
        <v>3840000</v>
      </c>
      <c r="G12" s="2"/>
      <c r="H12" s="2"/>
      <c r="I12" s="2">
        <f t="shared" si="1"/>
        <v>115</v>
      </c>
      <c r="J12" s="2">
        <f t="shared" si="2"/>
        <v>18050000</v>
      </c>
    </row>
    <row r="13" spans="1:10" x14ac:dyDescent="0.3">
      <c r="A13" s="2">
        <v>46412</v>
      </c>
      <c r="B13" s="2" t="s">
        <v>433</v>
      </c>
      <c r="C13" s="2" t="s">
        <v>966</v>
      </c>
      <c r="D13" s="2"/>
      <c r="E13" s="2"/>
      <c r="F13" s="2" t="str">
        <f t="shared" si="0"/>
        <v/>
      </c>
      <c r="G13" s="2">
        <v>50</v>
      </c>
      <c r="H13" s="2">
        <f>50*47000</f>
        <v>2350000</v>
      </c>
      <c r="I13" s="2">
        <f t="shared" si="1"/>
        <v>65</v>
      </c>
      <c r="J13" s="2">
        <f t="shared" si="2"/>
        <v>15700000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3"/>
  <sheetViews>
    <sheetView workbookViewId="0">
      <selection activeCell="E9" sqref="E9"/>
    </sheetView>
  </sheetViews>
  <sheetFormatPr defaultRowHeight="14.4" x14ac:dyDescent="0.3"/>
  <cols>
    <col min="2" max="2" width="9.21875" customWidth="1"/>
    <col min="3" max="3" width="13.21875" customWidth="1"/>
    <col min="4" max="4" width="16.44140625" customWidth="1"/>
    <col min="5" max="5" width="14" bestFit="1" customWidth="1"/>
    <col min="6" max="6" width="17.5546875" customWidth="1"/>
    <col min="7" max="7" width="15.5546875" customWidth="1"/>
    <col min="8" max="8" width="17.21875" customWidth="1"/>
    <col min="9" max="9" width="20.33203125" customWidth="1"/>
    <col min="10" max="10" width="19.88671875" customWidth="1"/>
    <col min="11" max="11" width="31.6640625" customWidth="1"/>
  </cols>
  <sheetData>
    <row r="1" spans="1:11" x14ac:dyDescent="0.3">
      <c r="A1" t="s">
        <v>967</v>
      </c>
    </row>
    <row r="3" spans="1:11" x14ac:dyDescent="0.3">
      <c r="A3" s="2" t="s">
        <v>968</v>
      </c>
      <c r="B3" s="2" t="s">
        <v>969</v>
      </c>
      <c r="C3" s="2" t="s">
        <v>970</v>
      </c>
      <c r="D3" s="2" t="s">
        <v>971</v>
      </c>
      <c r="E3" s="2" t="s">
        <v>972</v>
      </c>
      <c r="F3" s="2" t="s">
        <v>973</v>
      </c>
      <c r="G3" s="2" t="s">
        <v>974</v>
      </c>
      <c r="H3" s="2" t="s">
        <v>975</v>
      </c>
      <c r="I3" s="2" t="s">
        <v>976</v>
      </c>
      <c r="J3" s="2" t="s">
        <v>977</v>
      </c>
      <c r="K3" s="2" t="s">
        <v>978</v>
      </c>
    </row>
    <row r="4" spans="1:11" x14ac:dyDescent="0.3">
      <c r="A4" s="2" t="s">
        <v>979</v>
      </c>
      <c r="B4" s="2" t="s">
        <v>980</v>
      </c>
      <c r="C4" s="2">
        <v>5000000</v>
      </c>
      <c r="D4" s="2">
        <v>0</v>
      </c>
      <c r="E4" s="2">
        <f t="shared" ref="E4:E9" si="0">C4+D4</f>
        <v>5000000</v>
      </c>
      <c r="F4" s="2">
        <f t="shared" ref="F4:G9" ca="1" si="1">F4</f>
        <v>0</v>
      </c>
      <c r="G4" s="2">
        <f t="shared" ca="1" si="1"/>
        <v>0</v>
      </c>
      <c r="H4" s="2">
        <f t="shared" ref="H4:H9" ca="1" si="2">E4-F4-G4</f>
        <v>5000000</v>
      </c>
      <c r="I4" s="2">
        <f t="shared" ref="I4:I9" si="3">E4*8%</f>
        <v>400000</v>
      </c>
      <c r="J4" s="2">
        <f t="shared" ref="J4:J9" si="4">E4+I4</f>
        <v>5400000</v>
      </c>
      <c r="K4" s="2" t="str">
        <f t="shared" ref="K4:K9" si="5">IF(ROW()=4,"Dr Beban Gaji / Cr PPh21, BPJS, Bank","")</f>
        <v>Dr Beban Gaji / Cr PPh21, BPJS, Bank</v>
      </c>
    </row>
    <row r="5" spans="1:11" x14ac:dyDescent="0.3">
      <c r="A5" s="2" t="s">
        <v>981</v>
      </c>
      <c r="B5" s="2" t="s">
        <v>982</v>
      </c>
      <c r="C5" s="2">
        <v>4500000</v>
      </c>
      <c r="D5" s="2">
        <v>0</v>
      </c>
      <c r="E5" s="2">
        <f t="shared" si="0"/>
        <v>4500000</v>
      </c>
      <c r="F5" s="2">
        <f t="shared" ca="1" si="1"/>
        <v>0</v>
      </c>
      <c r="G5" s="2">
        <f t="shared" ca="1" si="1"/>
        <v>0</v>
      </c>
      <c r="H5" s="2">
        <f t="shared" ca="1" si="2"/>
        <v>4500000</v>
      </c>
      <c r="I5" s="2">
        <f t="shared" si="3"/>
        <v>360000</v>
      </c>
      <c r="J5" s="2">
        <f t="shared" si="4"/>
        <v>4860000</v>
      </c>
      <c r="K5" s="2" t="str">
        <f t="shared" si="5"/>
        <v/>
      </c>
    </row>
    <row r="6" spans="1:11" x14ac:dyDescent="0.3">
      <c r="A6" s="2" t="s">
        <v>983</v>
      </c>
      <c r="B6" s="2" t="s">
        <v>984</v>
      </c>
      <c r="C6" s="2">
        <v>4000000</v>
      </c>
      <c r="D6" s="2">
        <v>0</v>
      </c>
      <c r="E6" s="2">
        <f t="shared" si="0"/>
        <v>4000000</v>
      </c>
      <c r="F6" s="2">
        <f t="shared" ca="1" si="1"/>
        <v>0</v>
      </c>
      <c r="G6" s="2">
        <f t="shared" ca="1" si="1"/>
        <v>0</v>
      </c>
      <c r="H6" s="2">
        <f t="shared" ca="1" si="2"/>
        <v>4000000</v>
      </c>
      <c r="I6" s="2">
        <f t="shared" si="3"/>
        <v>320000</v>
      </c>
      <c r="J6" s="2">
        <f t="shared" si="4"/>
        <v>4320000</v>
      </c>
      <c r="K6" s="2" t="str">
        <f t="shared" si="5"/>
        <v/>
      </c>
    </row>
    <row r="7" spans="1:11" x14ac:dyDescent="0.3">
      <c r="A7" s="2" t="s">
        <v>985</v>
      </c>
      <c r="B7" s="2" t="s">
        <v>986</v>
      </c>
      <c r="C7" s="2">
        <v>3500000</v>
      </c>
      <c r="D7" s="2">
        <v>0</v>
      </c>
      <c r="E7" s="2">
        <f t="shared" si="0"/>
        <v>3500000</v>
      </c>
      <c r="F7" s="2">
        <f t="shared" ca="1" si="1"/>
        <v>0</v>
      </c>
      <c r="G7" s="2">
        <f t="shared" ca="1" si="1"/>
        <v>0</v>
      </c>
      <c r="H7" s="2">
        <f t="shared" ca="1" si="2"/>
        <v>3500000</v>
      </c>
      <c r="I7" s="2">
        <f t="shared" si="3"/>
        <v>280000</v>
      </c>
      <c r="J7" s="2">
        <f t="shared" si="4"/>
        <v>3780000</v>
      </c>
      <c r="K7" s="2" t="str">
        <f t="shared" si="5"/>
        <v/>
      </c>
    </row>
    <row r="8" spans="1:11" x14ac:dyDescent="0.3">
      <c r="A8" s="2" t="s">
        <v>987</v>
      </c>
      <c r="B8" s="2" t="s">
        <v>988</v>
      </c>
      <c r="C8" s="2">
        <v>4000000</v>
      </c>
      <c r="D8" s="2">
        <v>0</v>
      </c>
      <c r="E8" s="2">
        <f t="shared" si="0"/>
        <v>4000000</v>
      </c>
      <c r="F8" s="2">
        <f t="shared" ca="1" si="1"/>
        <v>0</v>
      </c>
      <c r="G8" s="2">
        <f t="shared" ca="1" si="1"/>
        <v>0</v>
      </c>
      <c r="H8" s="2">
        <f t="shared" ca="1" si="2"/>
        <v>4000000</v>
      </c>
      <c r="I8" s="2">
        <f t="shared" si="3"/>
        <v>320000</v>
      </c>
      <c r="J8" s="2">
        <f t="shared" si="4"/>
        <v>4320000</v>
      </c>
      <c r="K8" s="2" t="str">
        <f t="shared" si="5"/>
        <v/>
      </c>
    </row>
    <row r="9" spans="1:11" x14ac:dyDescent="0.3">
      <c r="A9" s="2" t="s">
        <v>989</v>
      </c>
      <c r="B9" s="2" t="s">
        <v>990</v>
      </c>
      <c r="C9" s="2">
        <v>4000000</v>
      </c>
      <c r="D9" s="2">
        <v>2000000</v>
      </c>
      <c r="E9" s="2">
        <f t="shared" si="0"/>
        <v>6000000</v>
      </c>
      <c r="F9" s="2">
        <f t="shared" ca="1" si="1"/>
        <v>0</v>
      </c>
      <c r="G9" s="2">
        <f t="shared" ca="1" si="1"/>
        <v>0</v>
      </c>
      <c r="H9" s="2">
        <f t="shared" ca="1" si="2"/>
        <v>6000000</v>
      </c>
      <c r="I9" s="2">
        <f t="shared" si="3"/>
        <v>480000</v>
      </c>
      <c r="J9" s="2">
        <f t="shared" si="4"/>
        <v>6480000</v>
      </c>
      <c r="K9" s="2" t="str">
        <f t="shared" si="5"/>
        <v/>
      </c>
    </row>
    <row r="11" spans="1:11" x14ac:dyDescent="0.3">
      <c r="A11" s="2" t="s">
        <v>922</v>
      </c>
      <c r="B11" s="2"/>
      <c r="C11" s="2">
        <f>SUM(C4:C9)</f>
        <v>25000000</v>
      </c>
      <c r="D11" s="2"/>
      <c r="E11" s="2">
        <f t="shared" ref="E11:J11" si="6">SUM(E4:E9)</f>
        <v>27000000</v>
      </c>
      <c r="F11" s="2">
        <f t="shared" ca="1" si="6"/>
        <v>0</v>
      </c>
      <c r="G11" s="2">
        <f t="shared" ca="1" si="6"/>
        <v>0</v>
      </c>
      <c r="H11" s="2">
        <f t="shared" ca="1" si="6"/>
        <v>27000000</v>
      </c>
      <c r="I11" s="2">
        <f t="shared" si="6"/>
        <v>2160000</v>
      </c>
      <c r="J11" s="2">
        <f t="shared" si="6"/>
        <v>29160000</v>
      </c>
    </row>
    <row r="13" spans="1:11" x14ac:dyDescent="0.3">
      <c r="A13" t="s">
        <v>991</v>
      </c>
      <c r="B13" t="s">
        <v>992</v>
      </c>
      <c r="C13" t="s">
        <v>993</v>
      </c>
      <c r="D13" t="s">
        <v>994</v>
      </c>
      <c r="E13" t="s">
        <v>995</v>
      </c>
      <c r="F13" t="s">
        <v>996</v>
      </c>
      <c r="G13" t="s">
        <v>997</v>
      </c>
      <c r="H13" t="s">
        <v>998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6"/>
  <sheetViews>
    <sheetView workbookViewId="0">
      <selection activeCell="B16" sqref="B16"/>
    </sheetView>
  </sheetViews>
  <sheetFormatPr defaultRowHeight="14.4" x14ac:dyDescent="0.3"/>
  <cols>
    <col min="1" max="1" width="34.6640625" customWidth="1"/>
    <col min="2" max="2" width="16.5546875" bestFit="1" customWidth="1"/>
    <col min="3" max="3" width="9.44140625" customWidth="1"/>
    <col min="4" max="4" width="22.21875" customWidth="1"/>
    <col min="6" max="6" width="40.88671875" customWidth="1"/>
  </cols>
  <sheetData>
    <row r="1" spans="1:6" x14ac:dyDescent="0.3">
      <c r="A1" t="s">
        <v>999</v>
      </c>
    </row>
    <row r="3" spans="1:6" x14ac:dyDescent="0.3">
      <c r="A3" s="2" t="s">
        <v>1000</v>
      </c>
      <c r="B3" s="2" t="s">
        <v>1001</v>
      </c>
      <c r="C3" s="2" t="s">
        <v>1002</v>
      </c>
      <c r="D3" s="2" t="s">
        <v>1003</v>
      </c>
      <c r="E3" s="2" t="s">
        <v>1004</v>
      </c>
      <c r="F3" s="2" t="s">
        <v>425</v>
      </c>
    </row>
    <row r="4" spans="1:6" x14ac:dyDescent="0.3">
      <c r="A4" s="2" t="s">
        <v>1005</v>
      </c>
      <c r="B4" s="2">
        <v>1403427000</v>
      </c>
      <c r="C4" s="2"/>
      <c r="D4" s="2">
        <v>0</v>
      </c>
      <c r="E4" s="2" t="s">
        <v>1006</v>
      </c>
      <c r="F4" s="2" t="s">
        <v>1007</v>
      </c>
    </row>
    <row r="5" spans="1:6" x14ac:dyDescent="0.3">
      <c r="A5" s="2" t="s">
        <v>1008</v>
      </c>
      <c r="B5" s="2">
        <v>1407177000</v>
      </c>
      <c r="C5" s="2"/>
      <c r="D5" s="2">
        <v>0</v>
      </c>
      <c r="E5" s="2" t="s">
        <v>138</v>
      </c>
      <c r="F5" s="2" t="s">
        <v>1009</v>
      </c>
    </row>
    <row r="6" spans="1:6" x14ac:dyDescent="0.3">
      <c r="A6" s="2" t="s">
        <v>1010</v>
      </c>
      <c r="B6" s="2">
        <v>8000000</v>
      </c>
      <c r="C6" s="2" t="s">
        <v>1011</v>
      </c>
      <c r="D6" s="2">
        <v>8000000</v>
      </c>
      <c r="E6" s="2" t="s">
        <v>138</v>
      </c>
      <c r="F6" s="2" t="s">
        <v>1012</v>
      </c>
    </row>
    <row r="7" spans="1:6" x14ac:dyDescent="0.3">
      <c r="A7" s="2" t="s">
        <v>1013</v>
      </c>
      <c r="B7" s="2">
        <v>6000000</v>
      </c>
      <c r="C7" s="2" t="s">
        <v>1014</v>
      </c>
      <c r="D7" s="2">
        <v>-6000000</v>
      </c>
      <c r="E7" s="2" t="s">
        <v>138</v>
      </c>
      <c r="F7" s="2" t="s">
        <v>1015</v>
      </c>
    </row>
    <row r="8" spans="1:6" x14ac:dyDescent="0.3">
      <c r="A8" s="2" t="s">
        <v>1016</v>
      </c>
      <c r="B8" s="2">
        <v>2000000</v>
      </c>
      <c r="C8" s="2" t="s">
        <v>1011</v>
      </c>
      <c r="D8" s="2">
        <v>2000000</v>
      </c>
      <c r="E8" s="2" t="s">
        <v>1006</v>
      </c>
      <c r="F8" s="2" t="s">
        <v>1017</v>
      </c>
    </row>
    <row r="9" spans="1:6" x14ac:dyDescent="0.3">
      <c r="A9" s="2" t="s">
        <v>1018</v>
      </c>
      <c r="B9" s="2">
        <v>5000000</v>
      </c>
      <c r="C9" s="2" t="s">
        <v>1011</v>
      </c>
      <c r="D9" s="2">
        <v>5000000</v>
      </c>
      <c r="E9" s="2" t="s">
        <v>1006</v>
      </c>
      <c r="F9" s="2" t="s">
        <v>1017</v>
      </c>
    </row>
    <row r="10" spans="1:6" x14ac:dyDescent="0.3">
      <c r="A10" s="2" t="s">
        <v>1019</v>
      </c>
      <c r="B10" s="2">
        <v>1250000</v>
      </c>
      <c r="C10" s="2" t="s">
        <v>1014</v>
      </c>
      <c r="D10" s="2">
        <v>-1250000</v>
      </c>
      <c r="E10" s="2" t="s">
        <v>1006</v>
      </c>
      <c r="F10" s="2" t="s">
        <v>1020</v>
      </c>
    </row>
    <row r="11" spans="1:6" x14ac:dyDescent="0.3">
      <c r="A11" s="2" t="s">
        <v>1021</v>
      </c>
      <c r="B11" s="14">
        <f>B5+B6+D7</f>
        <v>1409177000</v>
      </c>
      <c r="C11" s="2"/>
      <c r="D11" s="14">
        <f>B4+D8+D9+D10</f>
        <v>1409177000</v>
      </c>
      <c r="E11" s="2"/>
      <c r="F11" s="2"/>
    </row>
    <row r="13" spans="1:6" x14ac:dyDescent="0.3">
      <c r="A13" t="s">
        <v>1022</v>
      </c>
      <c r="B13" s="9" t="str">
        <f>IF(ABS(B11-D11)&lt;0.01,"BALANCE","PERIKSA")</f>
        <v>BALANCE</v>
      </c>
    </row>
    <row r="16" spans="1:6" x14ac:dyDescent="0.3">
      <c r="A16" t="s">
        <v>1023</v>
      </c>
      <c r="B16" t="s">
        <v>1024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"/>
  <sheetViews>
    <sheetView workbookViewId="0">
      <selection activeCell="F22" sqref="F22"/>
    </sheetView>
  </sheetViews>
  <sheetFormatPr defaultRowHeight="14.4" x14ac:dyDescent="0.3"/>
  <cols>
    <col min="1" max="1" width="18.109375" customWidth="1"/>
    <col min="2" max="2" width="19.44140625" customWidth="1"/>
    <col min="3" max="3" width="19.6640625" customWidth="1"/>
    <col min="4" max="4" width="15" bestFit="1" customWidth="1"/>
    <col min="5" max="5" width="15" customWidth="1"/>
    <col min="6" max="6" width="105.109375" customWidth="1"/>
    <col min="7" max="7" width="60.33203125" customWidth="1"/>
    <col min="8" max="8" width="19.6640625" customWidth="1"/>
  </cols>
  <sheetData>
    <row r="1" spans="1:8" x14ac:dyDescent="0.3">
      <c r="A1" t="s">
        <v>1025</v>
      </c>
    </row>
    <row r="3" spans="1:8" x14ac:dyDescent="0.3">
      <c r="A3" s="2" t="s">
        <v>773</v>
      </c>
      <c r="B3" s="2" t="s">
        <v>1026</v>
      </c>
      <c r="C3" s="2" t="s">
        <v>1027</v>
      </c>
      <c r="D3" s="2" t="s">
        <v>1028</v>
      </c>
      <c r="E3" s="2" t="s">
        <v>4</v>
      </c>
      <c r="F3" s="2" t="s">
        <v>1029</v>
      </c>
      <c r="G3" s="2" t="s">
        <v>1030</v>
      </c>
      <c r="H3" s="2" t="s">
        <v>1031</v>
      </c>
    </row>
    <row r="4" spans="1:8" x14ac:dyDescent="0.3">
      <c r="A4" s="2" t="s">
        <v>197</v>
      </c>
      <c r="B4" s="2">
        <f>Rekap_AP!G11</f>
        <v>148400000</v>
      </c>
      <c r="C4" s="2">
        <f>Buku_Besar!$P$30</f>
        <v>148400000</v>
      </c>
      <c r="D4" s="2">
        <f>C4-B4</f>
        <v>0</v>
      </c>
      <c r="E4" s="2" t="str">
        <f>IF(ABS(D4)&lt;0.01,"TIED","PERIKSA")</f>
        <v>TIED</v>
      </c>
      <c r="F4" s="2" t="s">
        <v>1032</v>
      </c>
      <c r="G4" s="2" t="s">
        <v>1033</v>
      </c>
      <c r="H4" s="2" t="s">
        <v>1034</v>
      </c>
    </row>
    <row r="5" spans="1:8" x14ac:dyDescent="0.3">
      <c r="A5" s="2" t="s">
        <v>145</v>
      </c>
      <c r="B5" s="2">
        <f>Rekap_AR!I8</f>
        <v>116140000</v>
      </c>
      <c r="C5" s="2">
        <f>Buku_Besar!$O$6</f>
        <v>116140000</v>
      </c>
      <c r="D5" s="2">
        <f>C5-B5</f>
        <v>0</v>
      </c>
      <c r="E5" s="2" t="str">
        <f>IF(ABS(D5)&lt;0.01,"TIED","PERIKSA")</f>
        <v>TIED</v>
      </c>
      <c r="F5" s="2" t="s">
        <v>1035</v>
      </c>
      <c r="G5" s="2" t="s">
        <v>1036</v>
      </c>
      <c r="H5" s="2" t="s">
        <v>1037</v>
      </c>
    </row>
    <row r="6" spans="1:8" x14ac:dyDescent="0.3">
      <c r="A6" s="2" t="s">
        <v>1038</v>
      </c>
      <c r="B6" s="2">
        <f>Inventory_Kartu!J13</f>
        <v>15700000</v>
      </c>
      <c r="C6" s="2">
        <f>Buku_Besar!$O$10</f>
        <v>251800000</v>
      </c>
      <c r="D6" s="2">
        <f>C6-B6</f>
        <v>236100000</v>
      </c>
      <c r="E6" s="2" t="str">
        <f>"CONTROL ONLY"</f>
        <v>CONTROL ONLY</v>
      </c>
      <c r="F6" s="2" t="s">
        <v>1039</v>
      </c>
      <c r="G6" s="2" t="s">
        <v>1040</v>
      </c>
      <c r="H6" s="2" t="s">
        <v>1041</v>
      </c>
    </row>
    <row r="7" spans="1:8" x14ac:dyDescent="0.3">
      <c r="A7" s="2" t="s">
        <v>1042</v>
      </c>
      <c r="B7" s="2">
        <f>Buku_Besar!$O$11</f>
        <v>26158000</v>
      </c>
      <c r="C7" s="2">
        <f>Buku_Besar!$O$11</f>
        <v>26158000</v>
      </c>
      <c r="D7" s="2">
        <f>C7-B7</f>
        <v>0</v>
      </c>
      <c r="E7" s="2" t="str">
        <f>IF(ABS(D7)&lt;0.01,"TIED","PERIKSA")</f>
        <v>TIED</v>
      </c>
      <c r="F7" s="2" t="s">
        <v>1043</v>
      </c>
      <c r="G7" s="2" t="s">
        <v>1044</v>
      </c>
      <c r="H7" s="2" t="s">
        <v>1045</v>
      </c>
    </row>
    <row r="8" spans="1:8" x14ac:dyDescent="0.3">
      <c r="A8" s="2" t="s">
        <v>823</v>
      </c>
      <c r="B8" s="2">
        <f>Payroll!E11</f>
        <v>27000000</v>
      </c>
      <c r="C8" s="2">
        <f>Buku_Besar!$O$61</f>
        <v>0</v>
      </c>
      <c r="D8" s="2">
        <f>C8-B8</f>
        <v>-27000000</v>
      </c>
      <c r="E8" s="2" t="str">
        <f>"CONTROL ONLY"</f>
        <v>CONTROL ONLY</v>
      </c>
      <c r="F8" s="2" t="s">
        <v>1046</v>
      </c>
      <c r="G8" s="2" t="s">
        <v>1047</v>
      </c>
      <c r="H8" s="2" t="s">
        <v>1048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92"/>
  <sheetViews>
    <sheetView topLeftCell="A67" workbookViewId="0">
      <selection activeCell="D40" sqref="D40"/>
    </sheetView>
  </sheetViews>
  <sheetFormatPr defaultRowHeight="14.4" x14ac:dyDescent="0.3"/>
  <cols>
    <col min="1" max="1" width="12.109375" customWidth="1"/>
    <col min="2" max="2" width="36.44140625" customWidth="1"/>
    <col min="3" max="3" width="21.21875" customWidth="1"/>
    <col min="4" max="4" width="14.21875" customWidth="1"/>
    <col min="5" max="5" width="16.5546875" customWidth="1"/>
    <col min="6" max="6" width="15.5546875" customWidth="1"/>
  </cols>
  <sheetData>
    <row r="1" spans="1:6" x14ac:dyDescent="0.3">
      <c r="A1" t="s">
        <v>1049</v>
      </c>
    </row>
    <row r="2" spans="1:6" x14ac:dyDescent="0.3">
      <c r="A2" t="s">
        <v>1050</v>
      </c>
    </row>
    <row r="3" spans="1:6" x14ac:dyDescent="0.3">
      <c r="A3" s="2" t="s">
        <v>132</v>
      </c>
      <c r="B3" s="2" t="s">
        <v>133</v>
      </c>
      <c r="C3" s="2" t="s">
        <v>134</v>
      </c>
      <c r="D3" s="2" t="s">
        <v>135</v>
      </c>
      <c r="E3" s="2" t="s">
        <v>774</v>
      </c>
      <c r="F3" s="2" t="s">
        <v>775</v>
      </c>
    </row>
    <row r="4" spans="1:6" x14ac:dyDescent="0.3">
      <c r="A4" s="2" t="s">
        <v>137</v>
      </c>
      <c r="B4" s="2" t="s">
        <v>138</v>
      </c>
      <c r="C4" s="2" t="s">
        <v>139</v>
      </c>
      <c r="D4" s="2" t="s">
        <v>140</v>
      </c>
      <c r="E4" s="2">
        <f>Buku_Besar!E4+Buku_Besar!G4</f>
        <v>2568414000</v>
      </c>
      <c r="F4" s="2">
        <f>Buku_Besar!F4+Buku_Besar!H4</f>
        <v>1164987000</v>
      </c>
    </row>
    <row r="5" spans="1:6" x14ac:dyDescent="0.3">
      <c r="A5" s="2" t="s">
        <v>142</v>
      </c>
      <c r="B5" s="2" t="s">
        <v>143</v>
      </c>
      <c r="C5" s="2" t="s">
        <v>139</v>
      </c>
      <c r="D5" s="2" t="s">
        <v>140</v>
      </c>
      <c r="E5" s="2">
        <f>Buku_Besar!E5+Buku_Besar!G5</f>
        <v>40150000</v>
      </c>
      <c r="F5" s="2">
        <f>Buku_Besar!F5+Buku_Besar!H5</f>
        <v>2300000</v>
      </c>
    </row>
    <row r="6" spans="1:6" x14ac:dyDescent="0.3">
      <c r="A6" s="2" t="s">
        <v>144</v>
      </c>
      <c r="B6" s="2" t="s">
        <v>145</v>
      </c>
      <c r="C6" s="2" t="s">
        <v>139</v>
      </c>
      <c r="D6" s="2" t="s">
        <v>140</v>
      </c>
      <c r="E6" s="2">
        <f>Buku_Besar!E6+Buku_Besar!G6</f>
        <v>543630000</v>
      </c>
      <c r="F6" s="2">
        <f>Buku_Besar!F6+Buku_Besar!H6</f>
        <v>425490000</v>
      </c>
    </row>
    <row r="7" spans="1:6" x14ac:dyDescent="0.3">
      <c r="A7" s="2" t="s">
        <v>146</v>
      </c>
      <c r="B7" s="2" t="s">
        <v>147</v>
      </c>
      <c r="C7" s="2" t="s">
        <v>139</v>
      </c>
      <c r="D7" s="2" t="s">
        <v>140</v>
      </c>
      <c r="E7" s="2">
        <f>Buku_Besar!E7+Buku_Besar!G7</f>
        <v>5000000</v>
      </c>
      <c r="F7" s="2">
        <f>Buku_Besar!F7+Buku_Besar!H7</f>
        <v>2000000</v>
      </c>
    </row>
    <row r="8" spans="1:6" x14ac:dyDescent="0.3">
      <c r="A8" s="2" t="s">
        <v>148</v>
      </c>
      <c r="B8" s="2" t="s">
        <v>149</v>
      </c>
      <c r="C8" s="2" t="s">
        <v>139</v>
      </c>
      <c r="D8" s="2" t="s">
        <v>140</v>
      </c>
      <c r="E8" s="2">
        <f>Buku_Besar!E8+Buku_Besar!G8</f>
        <v>0</v>
      </c>
      <c r="F8" s="2">
        <f>Buku_Besar!F8+Buku_Besar!H8</f>
        <v>0</v>
      </c>
    </row>
    <row r="9" spans="1:6" x14ac:dyDescent="0.3">
      <c r="A9" s="2" t="s">
        <v>150</v>
      </c>
      <c r="B9" s="2" t="s">
        <v>151</v>
      </c>
      <c r="C9" s="2" t="s">
        <v>139</v>
      </c>
      <c r="D9" s="2" t="s">
        <v>140</v>
      </c>
      <c r="E9" s="2">
        <f>Buku_Besar!E9+Buku_Besar!G9</f>
        <v>0</v>
      </c>
      <c r="F9" s="2">
        <f>Buku_Besar!F9+Buku_Besar!H9</f>
        <v>0</v>
      </c>
    </row>
    <row r="10" spans="1:6" x14ac:dyDescent="0.3">
      <c r="A10" s="2" t="s">
        <v>152</v>
      </c>
      <c r="B10" s="2" t="s">
        <v>153</v>
      </c>
      <c r="C10" s="2" t="s">
        <v>139</v>
      </c>
      <c r="D10" s="2" t="s">
        <v>140</v>
      </c>
      <c r="E10" s="2">
        <f>Buku_Besar!E10+Buku_Besar!G10</f>
        <v>694000000</v>
      </c>
      <c r="F10" s="2">
        <f>Buku_Besar!F10+Buku_Besar!H10</f>
        <v>436300000</v>
      </c>
    </row>
    <row r="11" spans="1:6" x14ac:dyDescent="0.3">
      <c r="A11" s="2" t="s">
        <v>154</v>
      </c>
      <c r="B11" s="2" t="s">
        <v>155</v>
      </c>
      <c r="C11" s="2" t="s">
        <v>139</v>
      </c>
      <c r="D11" s="2" t="s">
        <v>140</v>
      </c>
      <c r="E11" s="2">
        <f>Buku_Besar!E11+Buku_Besar!G11</f>
        <v>103125000</v>
      </c>
      <c r="F11" s="2">
        <f>Buku_Besar!F11+Buku_Besar!H11</f>
        <v>2013000</v>
      </c>
    </row>
    <row r="12" spans="1:6" x14ac:dyDescent="0.3">
      <c r="A12" s="2" t="s">
        <v>156</v>
      </c>
      <c r="B12" s="2" t="s">
        <v>157</v>
      </c>
      <c r="C12" s="2" t="s">
        <v>139</v>
      </c>
      <c r="D12" s="2" t="s">
        <v>140</v>
      </c>
      <c r="E12" s="2">
        <f>Buku_Besar!E12+Buku_Besar!G12</f>
        <v>2625000</v>
      </c>
      <c r="F12" s="2">
        <f>Buku_Besar!F12+Buku_Besar!H12</f>
        <v>0</v>
      </c>
    </row>
    <row r="13" spans="1:6" x14ac:dyDescent="0.3">
      <c r="A13" s="2" t="s">
        <v>158</v>
      </c>
      <c r="B13" s="2" t="s">
        <v>159</v>
      </c>
      <c r="C13" s="2" t="s">
        <v>139</v>
      </c>
      <c r="D13" s="2" t="s">
        <v>140</v>
      </c>
      <c r="E13" s="2">
        <f>Buku_Besar!E13+Buku_Besar!G13</f>
        <v>0</v>
      </c>
      <c r="F13" s="2">
        <f>Buku_Besar!F13+Buku_Besar!H13</f>
        <v>0</v>
      </c>
    </row>
    <row r="14" spans="1:6" x14ac:dyDescent="0.3">
      <c r="A14" s="2" t="s">
        <v>160</v>
      </c>
      <c r="B14" s="2" t="s">
        <v>161</v>
      </c>
      <c r="C14" s="2" t="s">
        <v>139</v>
      </c>
      <c r="D14" s="2" t="s">
        <v>140</v>
      </c>
      <c r="E14" s="2">
        <f>Buku_Besar!E14+Buku_Besar!G14</f>
        <v>0</v>
      </c>
      <c r="F14" s="2">
        <f>Buku_Besar!F14+Buku_Besar!H14</f>
        <v>0</v>
      </c>
    </row>
    <row r="15" spans="1:6" x14ac:dyDescent="0.3">
      <c r="A15" s="2" t="s">
        <v>162</v>
      </c>
      <c r="B15" s="2" t="s">
        <v>163</v>
      </c>
      <c r="C15" s="2" t="s">
        <v>139</v>
      </c>
      <c r="D15" s="2" t="s">
        <v>140</v>
      </c>
      <c r="E15" s="2">
        <f>Buku_Besar!E15+Buku_Besar!G15</f>
        <v>24000000</v>
      </c>
      <c r="F15" s="2">
        <f>Buku_Besar!F15+Buku_Besar!H15</f>
        <v>0</v>
      </c>
    </row>
    <row r="16" spans="1:6" x14ac:dyDescent="0.3">
      <c r="A16" s="2" t="s">
        <v>164</v>
      </c>
      <c r="B16" s="2" t="s">
        <v>165</v>
      </c>
      <c r="C16" s="2" t="s">
        <v>139</v>
      </c>
      <c r="D16" s="2" t="s">
        <v>140</v>
      </c>
      <c r="E16" s="2">
        <f>Buku_Besar!E16+Buku_Besar!G16</f>
        <v>21000000</v>
      </c>
      <c r="F16" s="2">
        <f>Buku_Besar!F16+Buku_Besar!H16</f>
        <v>0</v>
      </c>
    </row>
    <row r="17" spans="1:6" x14ac:dyDescent="0.3">
      <c r="A17" s="2" t="s">
        <v>166</v>
      </c>
      <c r="B17" s="2" t="s">
        <v>167</v>
      </c>
      <c r="C17" s="2" t="s">
        <v>139</v>
      </c>
      <c r="D17" s="2" t="s">
        <v>140</v>
      </c>
      <c r="E17" s="2">
        <f>Buku_Besar!E17+Buku_Besar!G17</f>
        <v>12000000</v>
      </c>
      <c r="F17" s="2">
        <f>Buku_Besar!F17+Buku_Besar!H17</f>
        <v>0</v>
      </c>
    </row>
    <row r="18" spans="1:6" x14ac:dyDescent="0.3">
      <c r="A18" s="2" t="s">
        <v>168</v>
      </c>
      <c r="B18" s="2" t="s">
        <v>169</v>
      </c>
      <c r="C18" s="2" t="s">
        <v>139</v>
      </c>
      <c r="D18" s="2" t="s">
        <v>140</v>
      </c>
      <c r="E18" s="2">
        <f>Buku_Besar!E18+Buku_Besar!G18</f>
        <v>5000000</v>
      </c>
      <c r="F18" s="2">
        <f>Buku_Besar!F18+Buku_Besar!H18</f>
        <v>0</v>
      </c>
    </row>
    <row r="19" spans="1:6" x14ac:dyDescent="0.3">
      <c r="A19" s="2" t="s">
        <v>170</v>
      </c>
      <c r="B19" s="2" t="s">
        <v>171</v>
      </c>
      <c r="C19" s="2" t="s">
        <v>139</v>
      </c>
      <c r="D19" s="2" t="s">
        <v>140</v>
      </c>
      <c r="E19" s="2">
        <f>Buku_Besar!E19+Buku_Besar!G19</f>
        <v>22200000</v>
      </c>
      <c r="F19" s="2">
        <f>Buku_Besar!F19+Buku_Besar!H19</f>
        <v>22200000</v>
      </c>
    </row>
    <row r="20" spans="1:6" x14ac:dyDescent="0.3">
      <c r="A20" s="2" t="s">
        <v>172</v>
      </c>
      <c r="B20" s="2" t="s">
        <v>173</v>
      </c>
      <c r="C20" s="2" t="s">
        <v>139</v>
      </c>
      <c r="D20" s="2" t="s">
        <v>140</v>
      </c>
      <c r="E20" s="2">
        <f>Buku_Besar!E20+Buku_Besar!G20</f>
        <v>4800000</v>
      </c>
      <c r="F20" s="2">
        <f>Buku_Besar!F20+Buku_Besar!H20</f>
        <v>0</v>
      </c>
    </row>
    <row r="21" spans="1:6" x14ac:dyDescent="0.3">
      <c r="A21" s="2" t="s">
        <v>174</v>
      </c>
      <c r="B21" s="2" t="s">
        <v>175</v>
      </c>
      <c r="C21" s="2" t="s">
        <v>139</v>
      </c>
      <c r="D21" s="2" t="s">
        <v>140</v>
      </c>
      <c r="E21" s="2">
        <f>Buku_Besar!E21+Buku_Besar!G21</f>
        <v>12000000</v>
      </c>
      <c r="F21" s="2">
        <f>Buku_Besar!F21+Buku_Besar!H21</f>
        <v>0</v>
      </c>
    </row>
    <row r="22" spans="1:6" x14ac:dyDescent="0.3">
      <c r="A22" s="2" t="s">
        <v>176</v>
      </c>
      <c r="B22" s="2" t="s">
        <v>177</v>
      </c>
      <c r="C22" s="2" t="s">
        <v>139</v>
      </c>
      <c r="D22" s="2" t="s">
        <v>140</v>
      </c>
      <c r="E22" s="2">
        <f>Buku_Besar!E22+Buku_Besar!G22</f>
        <v>155000000</v>
      </c>
      <c r="F22" s="2">
        <f>Buku_Besar!F22+Buku_Besar!H22</f>
        <v>10000000</v>
      </c>
    </row>
    <row r="23" spans="1:6" x14ac:dyDescent="0.3">
      <c r="A23" s="2" t="s">
        <v>179</v>
      </c>
      <c r="B23" s="2" t="s">
        <v>180</v>
      </c>
      <c r="C23" s="2" t="s">
        <v>139</v>
      </c>
      <c r="D23" s="2" t="s">
        <v>140</v>
      </c>
      <c r="E23" s="2">
        <f>Buku_Besar!E23+Buku_Besar!G23</f>
        <v>80000000</v>
      </c>
      <c r="F23" s="2">
        <f>Buku_Besar!F23+Buku_Besar!H23</f>
        <v>20000000</v>
      </c>
    </row>
    <row r="24" spans="1:6" x14ac:dyDescent="0.3">
      <c r="A24" s="2" t="s">
        <v>181</v>
      </c>
      <c r="B24" s="2" t="s">
        <v>182</v>
      </c>
      <c r="C24" s="2" t="s">
        <v>139</v>
      </c>
      <c r="D24" s="2" t="s">
        <v>140</v>
      </c>
      <c r="E24" s="2">
        <f>Buku_Besar!E24+Buku_Besar!G24</f>
        <v>400000000</v>
      </c>
      <c r="F24" s="2">
        <f>Buku_Besar!F24+Buku_Besar!H24</f>
        <v>0</v>
      </c>
    </row>
    <row r="25" spans="1:6" x14ac:dyDescent="0.3">
      <c r="A25" s="2" t="s">
        <v>183</v>
      </c>
      <c r="B25" s="2" t="s">
        <v>184</v>
      </c>
      <c r="C25" s="2" t="s">
        <v>139</v>
      </c>
      <c r="D25" s="2" t="s">
        <v>140</v>
      </c>
      <c r="E25" s="2">
        <f>Buku_Besar!E25+Buku_Besar!G25</f>
        <v>0</v>
      </c>
      <c r="F25" s="2">
        <f>Buku_Besar!F25+Buku_Besar!H25</f>
        <v>0</v>
      </c>
    </row>
    <row r="26" spans="1:6" x14ac:dyDescent="0.3">
      <c r="A26" s="2" t="s">
        <v>185</v>
      </c>
      <c r="B26" s="2" t="s">
        <v>186</v>
      </c>
      <c r="C26" s="2" t="s">
        <v>187</v>
      </c>
      <c r="D26" s="2" t="s">
        <v>188</v>
      </c>
      <c r="E26" s="2">
        <f>Buku_Besar!E26+Buku_Besar!G26</f>
        <v>7000000</v>
      </c>
      <c r="F26" s="2">
        <f>Buku_Besar!F26+Buku_Besar!H26</f>
        <v>7000000</v>
      </c>
    </row>
    <row r="27" spans="1:6" x14ac:dyDescent="0.3">
      <c r="A27" s="2" t="s">
        <v>190</v>
      </c>
      <c r="B27" s="2" t="s">
        <v>191</v>
      </c>
      <c r="C27" s="2" t="s">
        <v>187</v>
      </c>
      <c r="D27" s="2" t="s">
        <v>188</v>
      </c>
      <c r="E27" s="2">
        <f>Buku_Besar!E27+Buku_Besar!G27</f>
        <v>12000000</v>
      </c>
      <c r="F27" s="2">
        <f>Buku_Besar!F27+Buku_Besar!H27</f>
        <v>12000000</v>
      </c>
    </row>
    <row r="28" spans="1:6" x14ac:dyDescent="0.3">
      <c r="A28" s="2" t="s">
        <v>192</v>
      </c>
      <c r="B28" s="2" t="s">
        <v>193</v>
      </c>
      <c r="C28" s="2" t="s">
        <v>187</v>
      </c>
      <c r="D28" s="2" t="s">
        <v>188</v>
      </c>
      <c r="E28" s="2">
        <f>Buku_Besar!E28+Buku_Besar!G28</f>
        <v>0</v>
      </c>
      <c r="F28" s="2">
        <f>Buku_Besar!F28+Buku_Besar!H28</f>
        <v>50000000</v>
      </c>
    </row>
    <row r="29" spans="1:6" x14ac:dyDescent="0.3">
      <c r="A29" s="2" t="s">
        <v>194</v>
      </c>
      <c r="B29" s="2" t="s">
        <v>195</v>
      </c>
      <c r="C29" s="2" t="s">
        <v>187</v>
      </c>
      <c r="D29" s="2" t="s">
        <v>188</v>
      </c>
      <c r="E29" s="2">
        <f>Buku_Besar!E29+Buku_Besar!G29</f>
        <v>0</v>
      </c>
      <c r="F29" s="2">
        <f>Buku_Besar!F29+Buku_Besar!H29</f>
        <v>0</v>
      </c>
    </row>
    <row r="30" spans="1:6" x14ac:dyDescent="0.3">
      <c r="A30" s="2" t="s">
        <v>196</v>
      </c>
      <c r="B30" s="2" t="s">
        <v>197</v>
      </c>
      <c r="C30" s="2" t="s">
        <v>198</v>
      </c>
      <c r="D30" s="2" t="s">
        <v>188</v>
      </c>
      <c r="E30" s="2">
        <f>Buku_Besar!E30+Buku_Besar!G30</f>
        <v>412580000</v>
      </c>
      <c r="F30" s="2">
        <f>Buku_Besar!F30+Buku_Besar!H30</f>
        <v>560980000</v>
      </c>
    </row>
    <row r="31" spans="1:6" x14ac:dyDescent="0.3">
      <c r="A31" s="2" t="s">
        <v>200</v>
      </c>
      <c r="B31" s="2" t="s">
        <v>201</v>
      </c>
      <c r="C31" s="2" t="s">
        <v>198</v>
      </c>
      <c r="D31" s="2" t="s">
        <v>188</v>
      </c>
      <c r="E31" s="2">
        <f>Buku_Besar!E31+Buku_Besar!G31</f>
        <v>0</v>
      </c>
      <c r="F31" s="2">
        <f>Buku_Besar!F31+Buku_Besar!H31</f>
        <v>0</v>
      </c>
    </row>
    <row r="32" spans="1:6" x14ac:dyDescent="0.3">
      <c r="A32" s="2" t="s">
        <v>202</v>
      </c>
      <c r="B32" s="2" t="s">
        <v>203</v>
      </c>
      <c r="C32" s="2" t="s">
        <v>198</v>
      </c>
      <c r="D32" s="2" t="s">
        <v>188</v>
      </c>
      <c r="E32" s="2">
        <f>Buku_Besar!E32+Buku_Besar!G32</f>
        <v>0</v>
      </c>
      <c r="F32" s="2">
        <f>Buku_Besar!F32+Buku_Besar!H32</f>
        <v>0</v>
      </c>
    </row>
    <row r="33" spans="1:6" x14ac:dyDescent="0.3">
      <c r="A33" s="2" t="s">
        <v>204</v>
      </c>
      <c r="B33" s="2" t="s">
        <v>205</v>
      </c>
      <c r="C33" s="2" t="s">
        <v>198</v>
      </c>
      <c r="D33" s="2" t="s">
        <v>188</v>
      </c>
      <c r="E33" s="2">
        <f>Buku_Besar!E33+Buku_Besar!G33</f>
        <v>0</v>
      </c>
      <c r="F33" s="2">
        <f>Buku_Besar!F33+Buku_Besar!H33</f>
        <v>0</v>
      </c>
    </row>
    <row r="34" spans="1:6" x14ac:dyDescent="0.3">
      <c r="A34" s="2" t="s">
        <v>206</v>
      </c>
      <c r="B34" s="2" t="s">
        <v>207</v>
      </c>
      <c r="C34" s="2" t="s">
        <v>198</v>
      </c>
      <c r="D34" s="2" t="s">
        <v>188</v>
      </c>
      <c r="E34" s="2">
        <f>Buku_Besar!E34+Buku_Besar!G34</f>
        <v>0</v>
      </c>
      <c r="F34" s="2">
        <f>Buku_Besar!F34+Buku_Besar!H34</f>
        <v>0</v>
      </c>
    </row>
    <row r="35" spans="1:6" x14ac:dyDescent="0.3">
      <c r="A35" s="2" t="s">
        <v>208</v>
      </c>
      <c r="B35" s="2" t="s">
        <v>209</v>
      </c>
      <c r="C35" s="2" t="s">
        <v>198</v>
      </c>
      <c r="D35" s="2" t="s">
        <v>188</v>
      </c>
      <c r="E35" s="2">
        <f>Buku_Besar!E35+Buku_Besar!G35</f>
        <v>2500000</v>
      </c>
      <c r="F35" s="2">
        <f>Buku_Besar!F35+Buku_Besar!H35</f>
        <v>2500000</v>
      </c>
    </row>
    <row r="36" spans="1:6" x14ac:dyDescent="0.3">
      <c r="A36" s="2" t="s">
        <v>210</v>
      </c>
      <c r="B36" s="2" t="s">
        <v>211</v>
      </c>
      <c r="C36" s="2" t="s">
        <v>198</v>
      </c>
      <c r="D36" s="2" t="s">
        <v>188</v>
      </c>
      <c r="E36" s="2">
        <f>Buku_Besar!E36+Buku_Besar!G36</f>
        <v>0</v>
      </c>
      <c r="F36" s="2">
        <f>Buku_Besar!F36+Buku_Besar!H36</f>
        <v>0</v>
      </c>
    </row>
    <row r="37" spans="1:6" x14ac:dyDescent="0.3">
      <c r="A37" s="2" t="s">
        <v>212</v>
      </c>
      <c r="B37" s="2" t="s">
        <v>213</v>
      </c>
      <c r="C37" s="2" t="s">
        <v>198</v>
      </c>
      <c r="D37" s="2" t="s">
        <v>188</v>
      </c>
      <c r="E37" s="2">
        <f>Buku_Besar!E37+Buku_Besar!G37</f>
        <v>1000000</v>
      </c>
      <c r="F37" s="2">
        <f>Buku_Besar!F37+Buku_Besar!H37</f>
        <v>1000000</v>
      </c>
    </row>
    <row r="38" spans="1:6" x14ac:dyDescent="0.3">
      <c r="A38" s="2" t="s">
        <v>214</v>
      </c>
      <c r="B38" s="2" t="s">
        <v>215</v>
      </c>
      <c r="C38" s="2" t="s">
        <v>198</v>
      </c>
      <c r="D38" s="2" t="s">
        <v>188</v>
      </c>
      <c r="E38" s="2">
        <f>Buku_Besar!E38+Buku_Besar!G38</f>
        <v>750000</v>
      </c>
      <c r="F38" s="2">
        <f>Buku_Besar!F38+Buku_Besar!H38</f>
        <v>750000</v>
      </c>
    </row>
    <row r="39" spans="1:6" x14ac:dyDescent="0.3">
      <c r="A39" s="2" t="s">
        <v>216</v>
      </c>
      <c r="B39" s="2" t="s">
        <v>217</v>
      </c>
      <c r="C39" s="2" t="s">
        <v>198</v>
      </c>
      <c r="D39" s="2" t="s">
        <v>188</v>
      </c>
      <c r="E39" s="2">
        <f>Buku_Besar!E39+Buku_Besar!G39</f>
        <v>190000</v>
      </c>
      <c r="F39" s="2">
        <f>Buku_Besar!F39+Buku_Besar!H39</f>
        <v>190000</v>
      </c>
    </row>
    <row r="40" spans="1:6" x14ac:dyDescent="0.3">
      <c r="A40" s="2" t="s">
        <v>218</v>
      </c>
      <c r="B40" s="2" t="s">
        <v>219</v>
      </c>
      <c r="C40" s="2" t="s">
        <v>198</v>
      </c>
      <c r="D40" s="2" t="s">
        <v>188</v>
      </c>
      <c r="E40" s="2">
        <f>Buku_Besar!E40+Buku_Besar!G40</f>
        <v>2000000</v>
      </c>
      <c r="F40" s="2">
        <f>Buku_Besar!F40+Buku_Besar!H40</f>
        <v>2000000</v>
      </c>
    </row>
    <row r="41" spans="1:6" x14ac:dyDescent="0.3">
      <c r="A41" s="2" t="s">
        <v>220</v>
      </c>
      <c r="B41" s="2" t="s">
        <v>221</v>
      </c>
      <c r="C41" s="2" t="s">
        <v>198</v>
      </c>
      <c r="D41" s="2" t="s">
        <v>188</v>
      </c>
      <c r="E41" s="2">
        <f>Buku_Besar!E41+Buku_Besar!G41</f>
        <v>0</v>
      </c>
      <c r="F41" s="2">
        <f>Buku_Besar!F41+Buku_Besar!H41</f>
        <v>0</v>
      </c>
    </row>
    <row r="42" spans="1:6" x14ac:dyDescent="0.3">
      <c r="A42" s="2" t="s">
        <v>222</v>
      </c>
      <c r="B42" s="2" t="s">
        <v>223</v>
      </c>
      <c r="C42" s="2" t="s">
        <v>198</v>
      </c>
      <c r="D42" s="2" t="s">
        <v>188</v>
      </c>
      <c r="E42" s="2">
        <f>Buku_Besar!E42+Buku_Besar!G42</f>
        <v>0</v>
      </c>
      <c r="F42" s="2">
        <f>Buku_Besar!F42+Buku_Besar!H42</f>
        <v>0</v>
      </c>
    </row>
    <row r="43" spans="1:6" x14ac:dyDescent="0.3">
      <c r="A43" s="2" t="s">
        <v>224</v>
      </c>
      <c r="B43" s="2" t="s">
        <v>225</v>
      </c>
      <c r="C43" s="2" t="s">
        <v>198</v>
      </c>
      <c r="D43" s="2" t="s">
        <v>188</v>
      </c>
      <c r="E43" s="2">
        <f>Buku_Besar!E43+Buku_Besar!G43</f>
        <v>10000000</v>
      </c>
      <c r="F43" s="2">
        <f>Buku_Besar!F43+Buku_Besar!H43</f>
        <v>50000000</v>
      </c>
    </row>
    <row r="44" spans="1:6" x14ac:dyDescent="0.3">
      <c r="A44" s="2" t="s">
        <v>226</v>
      </c>
      <c r="B44" s="2" t="s">
        <v>227</v>
      </c>
      <c r="C44" s="2" t="s">
        <v>198</v>
      </c>
      <c r="D44" s="2" t="s">
        <v>188</v>
      </c>
      <c r="E44" s="2">
        <f>Buku_Besar!E44+Buku_Besar!G44</f>
        <v>20000000</v>
      </c>
      <c r="F44" s="2">
        <f>Buku_Besar!F44+Buku_Besar!H44</f>
        <v>400000000</v>
      </c>
    </row>
    <row r="45" spans="1:6" x14ac:dyDescent="0.3">
      <c r="A45" s="2" t="s">
        <v>229</v>
      </c>
      <c r="B45" s="2" t="s">
        <v>230</v>
      </c>
      <c r="C45" s="2" t="s">
        <v>198</v>
      </c>
      <c r="D45" s="2" t="s">
        <v>188</v>
      </c>
      <c r="E45" s="2">
        <f>Buku_Besar!E45+Buku_Besar!G45</f>
        <v>40000000</v>
      </c>
      <c r="F45" s="2">
        <f>Buku_Besar!F45+Buku_Besar!H45</f>
        <v>44440000</v>
      </c>
    </row>
    <row r="46" spans="1:6" x14ac:dyDescent="0.3">
      <c r="A46" s="2" t="s">
        <v>231</v>
      </c>
      <c r="B46" s="2" t="s">
        <v>232</v>
      </c>
      <c r="C46" s="2" t="s">
        <v>198</v>
      </c>
      <c r="D46" s="2" t="s">
        <v>188</v>
      </c>
      <c r="E46" s="2">
        <f>Buku_Besar!E46+Buku_Besar!G46</f>
        <v>0</v>
      </c>
      <c r="F46" s="2">
        <f>Buku_Besar!F46+Buku_Besar!H46</f>
        <v>0</v>
      </c>
    </row>
    <row r="47" spans="1:6" x14ac:dyDescent="0.3">
      <c r="A47" s="2" t="s">
        <v>233</v>
      </c>
      <c r="B47" s="2" t="s">
        <v>234</v>
      </c>
      <c r="C47" s="2" t="s">
        <v>198</v>
      </c>
      <c r="D47" s="2" t="s">
        <v>188</v>
      </c>
      <c r="E47" s="2">
        <f>Buku_Besar!E47+Buku_Besar!G47</f>
        <v>0</v>
      </c>
      <c r="F47" s="2">
        <f>Buku_Besar!F47+Buku_Besar!H47</f>
        <v>0</v>
      </c>
    </row>
    <row r="48" spans="1:6" x14ac:dyDescent="0.3">
      <c r="A48" s="2" t="s">
        <v>235</v>
      </c>
      <c r="B48" s="2" t="s">
        <v>236</v>
      </c>
      <c r="C48" s="2" t="s">
        <v>198</v>
      </c>
      <c r="D48" s="2" t="s">
        <v>188</v>
      </c>
      <c r="E48" s="2">
        <f>Buku_Besar!E48+Buku_Besar!G48</f>
        <v>15000000</v>
      </c>
      <c r="F48" s="2">
        <f>Buku_Besar!F48+Buku_Besar!H48</f>
        <v>15000000</v>
      </c>
    </row>
    <row r="49" spans="1:6" x14ac:dyDescent="0.3">
      <c r="A49" s="2" t="s">
        <v>237</v>
      </c>
      <c r="B49" s="2" t="s">
        <v>238</v>
      </c>
      <c r="C49" s="2" t="s">
        <v>239</v>
      </c>
      <c r="D49" s="2" t="s">
        <v>188</v>
      </c>
      <c r="E49" s="2">
        <f>Buku_Besar!E49+Buku_Besar!G49</f>
        <v>0</v>
      </c>
      <c r="F49" s="2">
        <f>Buku_Besar!F49+Buku_Besar!H49</f>
        <v>1730000000</v>
      </c>
    </row>
    <row r="50" spans="1:6" x14ac:dyDescent="0.3">
      <c r="A50" s="2" t="s">
        <v>241</v>
      </c>
      <c r="B50" s="2" t="s">
        <v>242</v>
      </c>
      <c r="C50" s="2" t="s">
        <v>243</v>
      </c>
      <c r="D50" s="2" t="s">
        <v>140</v>
      </c>
      <c r="E50" s="2">
        <f>Buku_Besar!E50+Buku_Besar!G50</f>
        <v>15000000</v>
      </c>
      <c r="F50" s="2">
        <f>Buku_Besar!F50+Buku_Besar!H50</f>
        <v>0</v>
      </c>
    </row>
    <row r="51" spans="1:6" x14ac:dyDescent="0.3">
      <c r="A51" s="2" t="s">
        <v>245</v>
      </c>
      <c r="B51" s="2" t="s">
        <v>246</v>
      </c>
      <c r="C51" s="2" t="s">
        <v>239</v>
      </c>
      <c r="D51" s="2" t="s">
        <v>188</v>
      </c>
      <c r="E51" s="2">
        <f>Buku_Besar!E51+Buku_Besar!G51</f>
        <v>0</v>
      </c>
      <c r="F51" s="2">
        <f>Buku_Besar!F51+Buku_Besar!H51</f>
        <v>0</v>
      </c>
    </row>
    <row r="52" spans="1:6" x14ac:dyDescent="0.3">
      <c r="A52" s="2" t="s">
        <v>247</v>
      </c>
      <c r="B52" s="2" t="s">
        <v>248</v>
      </c>
      <c r="C52" s="2" t="s">
        <v>249</v>
      </c>
      <c r="D52" s="2" t="s">
        <v>188</v>
      </c>
      <c r="E52" s="2">
        <f>Buku_Besar!E52+Buku_Besar!G52</f>
        <v>0</v>
      </c>
      <c r="F52" s="2">
        <f>Buku_Besar!F52+Buku_Besar!H52</f>
        <v>0</v>
      </c>
    </row>
    <row r="53" spans="1:6" x14ac:dyDescent="0.3">
      <c r="A53" s="2" t="s">
        <v>251</v>
      </c>
      <c r="B53" s="2" t="s">
        <v>252</v>
      </c>
      <c r="C53" s="2" t="s">
        <v>253</v>
      </c>
      <c r="D53" s="2" t="s">
        <v>188</v>
      </c>
      <c r="E53" s="2">
        <f>Buku_Besar!E53+Buku_Besar!G53</f>
        <v>0</v>
      </c>
      <c r="F53" s="2">
        <f>Buku_Besar!F53+Buku_Besar!H53</f>
        <v>695000000</v>
      </c>
    </row>
    <row r="54" spans="1:6" x14ac:dyDescent="0.3">
      <c r="A54" s="2" t="s">
        <v>255</v>
      </c>
      <c r="B54" s="2" t="s">
        <v>256</v>
      </c>
      <c r="C54" s="2" t="s">
        <v>257</v>
      </c>
      <c r="D54" s="2" t="s">
        <v>140</v>
      </c>
      <c r="E54" s="2">
        <f>Buku_Besar!E54+Buku_Besar!G54</f>
        <v>25000000</v>
      </c>
      <c r="F54" s="2">
        <f>Buku_Besar!F54+Buku_Besar!H54</f>
        <v>0</v>
      </c>
    </row>
    <row r="55" spans="1:6" x14ac:dyDescent="0.3">
      <c r="A55" s="2" t="s">
        <v>258</v>
      </c>
      <c r="B55" s="2" t="s">
        <v>259</v>
      </c>
      <c r="C55" s="2" t="s">
        <v>257</v>
      </c>
      <c r="D55" s="2" t="s">
        <v>140</v>
      </c>
      <c r="E55" s="2">
        <f>Buku_Besar!E55+Buku_Besar!G55</f>
        <v>4600000</v>
      </c>
      <c r="F55" s="2">
        <f>Buku_Besar!F55+Buku_Besar!H55</f>
        <v>0</v>
      </c>
    </row>
    <row r="56" spans="1:6" x14ac:dyDescent="0.3">
      <c r="A56" s="2" t="s">
        <v>260</v>
      </c>
      <c r="B56" s="2" t="s">
        <v>261</v>
      </c>
      <c r="C56" s="2" t="s">
        <v>253</v>
      </c>
      <c r="D56" s="2" t="s">
        <v>188</v>
      </c>
      <c r="E56" s="2">
        <f>Buku_Besar!E56+Buku_Besar!G56</f>
        <v>0</v>
      </c>
      <c r="F56" s="2">
        <f>Buku_Besar!F56+Buku_Besar!H56</f>
        <v>0</v>
      </c>
    </row>
    <row r="57" spans="1:6" x14ac:dyDescent="0.3">
      <c r="A57" s="2" t="s">
        <v>262</v>
      </c>
      <c r="B57" s="2" t="s">
        <v>263</v>
      </c>
      <c r="C57" s="2" t="s">
        <v>253</v>
      </c>
      <c r="D57" s="2" t="s">
        <v>188</v>
      </c>
      <c r="E57" s="2">
        <f>Buku_Besar!E57+Buku_Besar!G57</f>
        <v>0</v>
      </c>
      <c r="F57" s="2">
        <f>Buku_Besar!F57+Buku_Besar!H57</f>
        <v>1500000</v>
      </c>
    </row>
    <row r="58" spans="1:6" x14ac:dyDescent="0.3">
      <c r="A58" s="2" t="s">
        <v>265</v>
      </c>
      <c r="B58" s="2" t="s">
        <v>266</v>
      </c>
      <c r="C58" s="2" t="s">
        <v>253</v>
      </c>
      <c r="D58" s="2" t="s">
        <v>188</v>
      </c>
      <c r="E58" s="2">
        <f>Buku_Besar!E58+Buku_Besar!G58</f>
        <v>0</v>
      </c>
      <c r="F58" s="2">
        <f>Buku_Besar!F58+Buku_Besar!H58</f>
        <v>2000000</v>
      </c>
    </row>
    <row r="59" spans="1:6" x14ac:dyDescent="0.3">
      <c r="A59" s="2" t="s">
        <v>267</v>
      </c>
      <c r="B59" s="2" t="s">
        <v>268</v>
      </c>
      <c r="C59" s="2" t="s">
        <v>253</v>
      </c>
      <c r="D59" s="2" t="s">
        <v>188</v>
      </c>
      <c r="E59" s="2">
        <f>Buku_Besar!E59+Buku_Besar!G59</f>
        <v>0</v>
      </c>
      <c r="F59" s="2">
        <f>Buku_Besar!F59+Buku_Besar!H59</f>
        <v>150000</v>
      </c>
    </row>
    <row r="60" spans="1:6" x14ac:dyDescent="0.3">
      <c r="A60" s="2" t="s">
        <v>269</v>
      </c>
      <c r="B60" s="2" t="s">
        <v>16</v>
      </c>
      <c r="C60" s="2" t="s">
        <v>270</v>
      </c>
      <c r="D60" s="2" t="s">
        <v>140</v>
      </c>
      <c r="E60" s="2">
        <f>Buku_Besar!E60+Buku_Besar!G60</f>
        <v>404000000</v>
      </c>
      <c r="F60" s="2">
        <f>Buku_Besar!F60+Buku_Besar!H60</f>
        <v>15000000</v>
      </c>
    </row>
    <row r="61" spans="1:6" x14ac:dyDescent="0.3">
      <c r="A61" s="2" t="s">
        <v>272</v>
      </c>
      <c r="B61" s="2" t="s">
        <v>273</v>
      </c>
      <c r="C61" s="2" t="s">
        <v>274</v>
      </c>
      <c r="D61" s="2" t="s">
        <v>140</v>
      </c>
      <c r="E61" s="2">
        <f>Buku_Besar!E61+Buku_Besar!G61</f>
        <v>25000000</v>
      </c>
      <c r="F61" s="2">
        <f>Buku_Besar!F61+Buku_Besar!H61</f>
        <v>0</v>
      </c>
    </row>
    <row r="62" spans="1:6" x14ac:dyDescent="0.3">
      <c r="A62" s="2" t="s">
        <v>276</v>
      </c>
      <c r="B62" s="2" t="s">
        <v>277</v>
      </c>
      <c r="C62" s="2" t="s">
        <v>274</v>
      </c>
      <c r="D62" s="2" t="s">
        <v>140</v>
      </c>
      <c r="E62" s="2">
        <f>Buku_Besar!E62+Buku_Besar!G62</f>
        <v>2000000</v>
      </c>
      <c r="F62" s="2">
        <f>Buku_Besar!F62+Buku_Besar!H62</f>
        <v>0</v>
      </c>
    </row>
    <row r="63" spans="1:6" x14ac:dyDescent="0.3">
      <c r="A63" s="2" t="s">
        <v>278</v>
      </c>
      <c r="B63" s="2" t="s">
        <v>279</v>
      </c>
      <c r="C63" s="2" t="s">
        <v>274</v>
      </c>
      <c r="D63" s="2" t="s">
        <v>140</v>
      </c>
      <c r="E63" s="2">
        <f>Buku_Besar!E63+Buku_Besar!G63</f>
        <v>20000000</v>
      </c>
      <c r="F63" s="2">
        <f>Buku_Besar!F63+Buku_Besar!H63</f>
        <v>0</v>
      </c>
    </row>
    <row r="64" spans="1:6" x14ac:dyDescent="0.3">
      <c r="A64" s="2" t="s">
        <v>280</v>
      </c>
      <c r="B64" s="2" t="s">
        <v>281</v>
      </c>
      <c r="C64" s="2" t="s">
        <v>274</v>
      </c>
      <c r="D64" s="2" t="s">
        <v>140</v>
      </c>
      <c r="E64" s="2">
        <f>Buku_Besar!E64+Buku_Besar!G64</f>
        <v>0</v>
      </c>
      <c r="F64" s="2">
        <f>Buku_Besar!F64+Buku_Besar!H64</f>
        <v>0</v>
      </c>
    </row>
    <row r="65" spans="1:6" x14ac:dyDescent="0.3">
      <c r="A65" s="2" t="s">
        <v>282</v>
      </c>
      <c r="B65" s="2" t="s">
        <v>283</v>
      </c>
      <c r="C65" s="2" t="s">
        <v>274</v>
      </c>
      <c r="D65" s="2" t="s">
        <v>140</v>
      </c>
      <c r="E65" s="2">
        <f>Buku_Besar!E65+Buku_Besar!G65</f>
        <v>0</v>
      </c>
      <c r="F65" s="2">
        <f>Buku_Besar!F65+Buku_Besar!H65</f>
        <v>0</v>
      </c>
    </row>
    <row r="66" spans="1:6" x14ac:dyDescent="0.3">
      <c r="A66" s="2" t="s">
        <v>284</v>
      </c>
      <c r="B66" s="2" t="s">
        <v>285</v>
      </c>
      <c r="C66" s="2" t="s">
        <v>274</v>
      </c>
      <c r="D66" s="2" t="s">
        <v>140</v>
      </c>
      <c r="E66" s="2">
        <f>Buku_Besar!E66+Buku_Besar!G66</f>
        <v>0</v>
      </c>
      <c r="F66" s="2">
        <f>Buku_Besar!F66+Buku_Besar!H66</f>
        <v>0</v>
      </c>
    </row>
    <row r="67" spans="1:6" x14ac:dyDescent="0.3">
      <c r="A67" s="2" t="s">
        <v>286</v>
      </c>
      <c r="B67" s="2" t="s">
        <v>287</v>
      </c>
      <c r="C67" s="2" t="s">
        <v>274</v>
      </c>
      <c r="D67" s="2" t="s">
        <v>140</v>
      </c>
      <c r="E67" s="2">
        <f>Buku_Besar!E67+Buku_Besar!G67</f>
        <v>0</v>
      </c>
      <c r="F67" s="2">
        <f>Buku_Besar!F67+Buku_Besar!H67</f>
        <v>0</v>
      </c>
    </row>
    <row r="68" spans="1:6" x14ac:dyDescent="0.3">
      <c r="A68" s="2" t="s">
        <v>288</v>
      </c>
      <c r="B68" s="2" t="s">
        <v>289</v>
      </c>
      <c r="C68" s="2" t="s">
        <v>274</v>
      </c>
      <c r="D68" s="2" t="s">
        <v>140</v>
      </c>
      <c r="E68" s="2">
        <f>Buku_Besar!E68+Buku_Besar!G68</f>
        <v>0</v>
      </c>
      <c r="F68" s="2">
        <f>Buku_Besar!F68+Buku_Besar!H68</f>
        <v>0</v>
      </c>
    </row>
    <row r="69" spans="1:6" x14ac:dyDescent="0.3">
      <c r="A69" s="2" t="s">
        <v>290</v>
      </c>
      <c r="B69" s="2" t="s">
        <v>291</v>
      </c>
      <c r="C69" s="2" t="s">
        <v>274</v>
      </c>
      <c r="D69" s="2" t="s">
        <v>140</v>
      </c>
      <c r="E69" s="2">
        <f>Buku_Besar!E69+Buku_Besar!G69</f>
        <v>0</v>
      </c>
      <c r="F69" s="2">
        <f>Buku_Besar!F69+Buku_Besar!H69</f>
        <v>0</v>
      </c>
    </row>
    <row r="70" spans="1:6" x14ac:dyDescent="0.3">
      <c r="A70" s="2" t="s">
        <v>292</v>
      </c>
      <c r="B70" s="2" t="s">
        <v>293</v>
      </c>
      <c r="C70" s="2" t="s">
        <v>274</v>
      </c>
      <c r="D70" s="2" t="s">
        <v>140</v>
      </c>
      <c r="E70" s="2">
        <f>Buku_Besar!E70+Buku_Besar!G70</f>
        <v>0</v>
      </c>
      <c r="F70" s="2">
        <f>Buku_Besar!F70+Buku_Besar!H70</f>
        <v>0</v>
      </c>
    </row>
    <row r="71" spans="1:6" x14ac:dyDescent="0.3">
      <c r="A71" s="2" t="s">
        <v>294</v>
      </c>
      <c r="B71" s="2" t="s">
        <v>295</v>
      </c>
      <c r="C71" s="2" t="s">
        <v>274</v>
      </c>
      <c r="D71" s="2" t="s">
        <v>140</v>
      </c>
      <c r="E71" s="2">
        <f>Buku_Besar!E71+Buku_Besar!G71</f>
        <v>5600000</v>
      </c>
      <c r="F71" s="2">
        <f>Buku_Besar!F71+Buku_Besar!H71</f>
        <v>0</v>
      </c>
    </row>
    <row r="72" spans="1:6" x14ac:dyDescent="0.3">
      <c r="A72" s="2" t="s">
        <v>296</v>
      </c>
      <c r="B72" s="2" t="s">
        <v>297</v>
      </c>
      <c r="C72" s="2" t="s">
        <v>274</v>
      </c>
      <c r="D72" s="2" t="s">
        <v>140</v>
      </c>
      <c r="E72" s="2">
        <f>Buku_Besar!E72+Buku_Besar!G72</f>
        <v>3500000</v>
      </c>
      <c r="F72" s="2">
        <f>Buku_Besar!F72+Buku_Besar!H72</f>
        <v>0</v>
      </c>
    </row>
    <row r="73" spans="1:6" x14ac:dyDescent="0.3">
      <c r="A73" s="2" t="s">
        <v>298</v>
      </c>
      <c r="B73" s="2" t="s">
        <v>299</v>
      </c>
      <c r="C73" s="2" t="s">
        <v>274</v>
      </c>
      <c r="D73" s="2" t="s">
        <v>140</v>
      </c>
      <c r="E73" s="2">
        <f>Buku_Besar!E73+Buku_Besar!G73</f>
        <v>8000000</v>
      </c>
      <c r="F73" s="2">
        <f>Buku_Besar!F73+Buku_Besar!H73</f>
        <v>0</v>
      </c>
    </row>
    <row r="74" spans="1:6" x14ac:dyDescent="0.3">
      <c r="A74" s="2" t="s">
        <v>300</v>
      </c>
      <c r="B74" s="2" t="s">
        <v>301</v>
      </c>
      <c r="C74" s="2" t="s">
        <v>274</v>
      </c>
      <c r="D74" s="2" t="s">
        <v>140</v>
      </c>
      <c r="E74" s="2">
        <f>Buku_Besar!E74+Buku_Besar!G74</f>
        <v>3000000</v>
      </c>
      <c r="F74" s="2">
        <f>Buku_Besar!F74+Buku_Besar!H74</f>
        <v>0</v>
      </c>
    </row>
    <row r="75" spans="1:6" x14ac:dyDescent="0.3">
      <c r="A75" s="2" t="s">
        <v>302</v>
      </c>
      <c r="B75" s="2" t="s">
        <v>303</v>
      </c>
      <c r="C75" s="2" t="s">
        <v>274</v>
      </c>
      <c r="D75" s="2" t="s">
        <v>140</v>
      </c>
      <c r="E75" s="2">
        <f>Buku_Besar!E75+Buku_Besar!G75</f>
        <v>0</v>
      </c>
      <c r="F75" s="2">
        <f>Buku_Besar!F75+Buku_Besar!H75</f>
        <v>0</v>
      </c>
    </row>
    <row r="76" spans="1:6" x14ac:dyDescent="0.3">
      <c r="A76" s="2" t="s">
        <v>304</v>
      </c>
      <c r="B76" s="2" t="s">
        <v>305</v>
      </c>
      <c r="C76" s="2" t="s">
        <v>274</v>
      </c>
      <c r="D76" s="2" t="s">
        <v>140</v>
      </c>
      <c r="E76" s="2">
        <f>Buku_Besar!E76+Buku_Besar!G76</f>
        <v>3000000</v>
      </c>
      <c r="F76" s="2">
        <f>Buku_Besar!F76+Buku_Besar!H76</f>
        <v>0</v>
      </c>
    </row>
    <row r="77" spans="1:6" x14ac:dyDescent="0.3">
      <c r="A77" s="2" t="s">
        <v>306</v>
      </c>
      <c r="B77" s="2" t="s">
        <v>307</v>
      </c>
      <c r="C77" s="2" t="s">
        <v>274</v>
      </c>
      <c r="D77" s="2" t="s">
        <v>140</v>
      </c>
      <c r="E77" s="2">
        <f>Buku_Besar!E77+Buku_Besar!G77</f>
        <v>1800000</v>
      </c>
      <c r="F77" s="2">
        <f>Buku_Besar!F77+Buku_Besar!H77</f>
        <v>0</v>
      </c>
    </row>
    <row r="78" spans="1:6" x14ac:dyDescent="0.3">
      <c r="A78" s="2" t="s">
        <v>308</v>
      </c>
      <c r="B78" s="2" t="s">
        <v>309</v>
      </c>
      <c r="C78" s="2" t="s">
        <v>274</v>
      </c>
      <c r="D78" s="2" t="s">
        <v>140</v>
      </c>
      <c r="E78" s="2">
        <f>Buku_Besar!E78+Buku_Besar!G78</f>
        <v>0</v>
      </c>
      <c r="F78" s="2">
        <f>Buku_Besar!F78+Buku_Besar!H78</f>
        <v>0</v>
      </c>
    </row>
    <row r="79" spans="1:6" x14ac:dyDescent="0.3">
      <c r="A79" s="2" t="s">
        <v>310</v>
      </c>
      <c r="B79" s="2" t="s">
        <v>311</v>
      </c>
      <c r="C79" s="2" t="s">
        <v>274</v>
      </c>
      <c r="D79" s="2" t="s">
        <v>140</v>
      </c>
      <c r="E79" s="2">
        <f>Buku_Besar!E79+Buku_Besar!G79</f>
        <v>0</v>
      </c>
      <c r="F79" s="2">
        <f>Buku_Besar!F79+Buku_Besar!H79</f>
        <v>0</v>
      </c>
    </row>
    <row r="80" spans="1:6" x14ac:dyDescent="0.3">
      <c r="A80" s="2" t="s">
        <v>312</v>
      </c>
      <c r="B80" s="2" t="s">
        <v>313</v>
      </c>
      <c r="C80" s="2" t="s">
        <v>274</v>
      </c>
      <c r="D80" s="2" t="s">
        <v>140</v>
      </c>
      <c r="E80" s="2">
        <f>Buku_Besar!E80+Buku_Besar!G80</f>
        <v>7000000</v>
      </c>
      <c r="F80" s="2">
        <f>Buku_Besar!F80+Buku_Besar!H80</f>
        <v>0</v>
      </c>
    </row>
    <row r="81" spans="1:6" x14ac:dyDescent="0.3">
      <c r="A81" s="2" t="s">
        <v>314</v>
      </c>
      <c r="B81" s="2" t="s">
        <v>315</v>
      </c>
      <c r="C81" s="2" t="s">
        <v>274</v>
      </c>
      <c r="D81" s="2" t="s">
        <v>140</v>
      </c>
      <c r="E81" s="2">
        <f>Buku_Besar!E81+Buku_Besar!G81</f>
        <v>0</v>
      </c>
      <c r="F81" s="2">
        <f>Buku_Besar!F81+Buku_Besar!H81</f>
        <v>0</v>
      </c>
    </row>
    <row r="82" spans="1:6" x14ac:dyDescent="0.3">
      <c r="A82" s="2" t="s">
        <v>316</v>
      </c>
      <c r="B82" s="2" t="s">
        <v>317</v>
      </c>
      <c r="C82" s="2" t="s">
        <v>274</v>
      </c>
      <c r="D82" s="2" t="s">
        <v>140</v>
      </c>
      <c r="E82" s="2">
        <f>Buku_Besar!E82+Buku_Besar!G82</f>
        <v>250000</v>
      </c>
      <c r="F82" s="2">
        <f>Buku_Besar!F82+Buku_Besar!H82</f>
        <v>0</v>
      </c>
    </row>
    <row r="83" spans="1:6" x14ac:dyDescent="0.3">
      <c r="A83" s="2" t="s">
        <v>318</v>
      </c>
      <c r="B83" s="2" t="s">
        <v>319</v>
      </c>
      <c r="C83" s="2" t="s">
        <v>274</v>
      </c>
      <c r="D83" s="2" t="s">
        <v>140</v>
      </c>
      <c r="E83" s="2">
        <f>Buku_Besar!E83+Buku_Besar!G83</f>
        <v>0</v>
      </c>
      <c r="F83" s="2">
        <f>Buku_Besar!F83+Buku_Besar!H83</f>
        <v>0</v>
      </c>
    </row>
    <row r="84" spans="1:6" x14ac:dyDescent="0.3">
      <c r="A84" s="2" t="s">
        <v>321</v>
      </c>
      <c r="B84" s="2" t="s">
        <v>322</v>
      </c>
      <c r="C84" s="2" t="s">
        <v>274</v>
      </c>
      <c r="D84" s="2" t="s">
        <v>140</v>
      </c>
      <c r="E84" s="2">
        <f>Buku_Besar!E84+Buku_Besar!G84</f>
        <v>2000000</v>
      </c>
      <c r="F84" s="2">
        <f>Buku_Besar!F84+Buku_Besar!H84</f>
        <v>0</v>
      </c>
    </row>
    <row r="85" spans="1:6" x14ac:dyDescent="0.3">
      <c r="A85" s="2" t="s">
        <v>323</v>
      </c>
      <c r="B85" s="2" t="s">
        <v>324</v>
      </c>
      <c r="C85" s="2" t="s">
        <v>274</v>
      </c>
      <c r="D85" s="2" t="s">
        <v>140</v>
      </c>
      <c r="E85" s="2">
        <f>Buku_Besar!E85+Buku_Besar!G85</f>
        <v>1500000</v>
      </c>
      <c r="F85" s="2">
        <f>Buku_Besar!F85+Buku_Besar!H85</f>
        <v>0</v>
      </c>
    </row>
    <row r="86" spans="1:6" x14ac:dyDescent="0.3">
      <c r="A86" s="2" t="s">
        <v>325</v>
      </c>
      <c r="B86" s="2" t="s">
        <v>326</v>
      </c>
      <c r="C86" s="2" t="s">
        <v>274</v>
      </c>
      <c r="D86" s="2" t="s">
        <v>140</v>
      </c>
      <c r="E86" s="2">
        <f>Buku_Besar!E86+Buku_Besar!G86</f>
        <v>800000</v>
      </c>
      <c r="F86" s="2">
        <f>Buku_Besar!F86+Buku_Besar!H86</f>
        <v>0</v>
      </c>
    </row>
    <row r="87" spans="1:6" x14ac:dyDescent="0.3">
      <c r="A87" s="2" t="s">
        <v>327</v>
      </c>
      <c r="B87" s="2" t="s">
        <v>328</v>
      </c>
      <c r="C87" s="2" t="s">
        <v>274</v>
      </c>
      <c r="D87" s="2" t="s">
        <v>140</v>
      </c>
      <c r="E87" s="2">
        <f>Buku_Besar!E87+Buku_Besar!G87</f>
        <v>300000</v>
      </c>
      <c r="F87" s="2">
        <f>Buku_Besar!F87+Buku_Besar!H87</f>
        <v>0</v>
      </c>
    </row>
    <row r="88" spans="1:6" x14ac:dyDescent="0.3">
      <c r="A88" s="2" t="s">
        <v>329</v>
      </c>
      <c r="B88" s="2" t="s">
        <v>330</v>
      </c>
      <c r="C88" s="2" t="s">
        <v>274</v>
      </c>
      <c r="D88" s="2" t="s">
        <v>140</v>
      </c>
      <c r="E88" s="2">
        <f>Buku_Besar!E88+Buku_Besar!G88</f>
        <v>1000000</v>
      </c>
      <c r="F88" s="2">
        <f>Buku_Besar!F88+Buku_Besar!H88</f>
        <v>0</v>
      </c>
    </row>
    <row r="89" spans="1:6" x14ac:dyDescent="0.3">
      <c r="A89" s="2" t="s">
        <v>332</v>
      </c>
      <c r="B89" s="2" t="s">
        <v>333</v>
      </c>
      <c r="C89" s="2" t="s">
        <v>274</v>
      </c>
      <c r="D89" s="2" t="s">
        <v>140</v>
      </c>
      <c r="E89" s="2">
        <f>Buku_Besar!E89+Buku_Besar!G89</f>
        <v>0</v>
      </c>
      <c r="F89" s="2">
        <f>Buku_Besar!F89+Buku_Besar!H89</f>
        <v>0</v>
      </c>
    </row>
    <row r="90" spans="1:6" x14ac:dyDescent="0.3">
      <c r="A90" s="2" t="s">
        <v>334</v>
      </c>
      <c r="B90" s="2" t="s">
        <v>335</v>
      </c>
      <c r="C90" s="2" t="s">
        <v>198</v>
      </c>
      <c r="D90" s="2" t="s">
        <v>188</v>
      </c>
      <c r="E90" s="2">
        <f>Buku_Besar!E90+Buku_Besar!G90</f>
        <v>0</v>
      </c>
      <c r="F90" s="2">
        <f>Buku_Besar!F90+Buku_Besar!H90</f>
        <v>0</v>
      </c>
    </row>
    <row r="91" spans="1:6" x14ac:dyDescent="0.3">
      <c r="A91" s="2" t="s">
        <v>336</v>
      </c>
      <c r="B91" s="2" t="s">
        <v>337</v>
      </c>
      <c r="C91" s="2" t="s">
        <v>198</v>
      </c>
      <c r="D91" s="2" t="s">
        <v>188</v>
      </c>
      <c r="E91" s="2">
        <f>Buku_Besar!E91+Buku_Besar!G91</f>
        <v>3256000</v>
      </c>
      <c r="F91" s="2">
        <f>Buku_Besar!F91+Buku_Besar!H91</f>
        <v>77770000</v>
      </c>
    </row>
    <row r="92" spans="1:6" x14ac:dyDescent="0.3">
      <c r="A92" s="2" t="s">
        <v>922</v>
      </c>
      <c r="B92" s="2"/>
      <c r="C92" s="2"/>
      <c r="D92" s="2"/>
      <c r="E92" s="2">
        <f>SUM(E4:E91)</f>
        <v>5752570000</v>
      </c>
      <c r="F92" s="2">
        <f>SUM(F4:F91)</f>
        <v>5752570000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94"/>
  <sheetViews>
    <sheetView workbookViewId="0">
      <selection activeCell="E4" sqref="E1:E1048576"/>
    </sheetView>
  </sheetViews>
  <sheetFormatPr defaultRowHeight="14.4" x14ac:dyDescent="0.3"/>
  <cols>
    <col min="2" max="2" width="9.44140625" customWidth="1"/>
    <col min="3" max="3" width="20.5546875" customWidth="1"/>
    <col min="4" max="4" width="52" style="1" customWidth="1"/>
    <col min="5" max="5" width="18.6640625" style="1" customWidth="1"/>
    <col min="6" max="6" width="14" customWidth="1"/>
    <col min="7" max="7" width="10.5546875" customWidth="1"/>
    <col min="9" max="9" width="10.44140625" customWidth="1"/>
    <col min="10" max="11" width="15.109375" customWidth="1"/>
    <col min="12" max="12" width="15.6640625" customWidth="1"/>
    <col min="13" max="14" width="10.88671875" customWidth="1"/>
    <col min="15" max="15" width="11.44140625" customWidth="1"/>
  </cols>
  <sheetData>
    <row r="1" spans="1:16" x14ac:dyDescent="0.3">
      <c r="A1" t="s">
        <v>1051</v>
      </c>
    </row>
    <row r="2" spans="1:16" x14ac:dyDescent="0.3">
      <c r="A2" t="s">
        <v>1052</v>
      </c>
    </row>
    <row r="3" spans="1:16" ht="28.8" x14ac:dyDescent="0.3">
      <c r="A3" t="s">
        <v>453</v>
      </c>
      <c r="B3" t="s">
        <v>454</v>
      </c>
      <c r="C3" t="s">
        <v>455</v>
      </c>
      <c r="D3" s="1" t="s">
        <v>456</v>
      </c>
      <c r="E3" s="1" t="s">
        <v>457</v>
      </c>
      <c r="F3" t="s">
        <v>458</v>
      </c>
      <c r="G3" t="s">
        <v>459</v>
      </c>
      <c r="H3" t="s">
        <v>460</v>
      </c>
      <c r="I3" t="s">
        <v>461</v>
      </c>
      <c r="J3" t="s">
        <v>462</v>
      </c>
      <c r="K3" t="s">
        <v>463</v>
      </c>
      <c r="L3" t="s">
        <v>464</v>
      </c>
      <c r="M3" t="s">
        <v>465</v>
      </c>
      <c r="N3" t="s">
        <v>466</v>
      </c>
      <c r="O3" t="s">
        <v>467</v>
      </c>
      <c r="P3" t="s">
        <v>4</v>
      </c>
    </row>
    <row r="4" spans="1:16" ht="28.8" x14ac:dyDescent="0.3">
      <c r="A4">
        <v>1</v>
      </c>
      <c r="B4">
        <v>46418</v>
      </c>
      <c r="C4" t="s">
        <v>1053</v>
      </c>
      <c r="D4" s="1" t="s">
        <v>1054</v>
      </c>
      <c r="F4">
        <v>1200000</v>
      </c>
      <c r="G4" t="s">
        <v>1055</v>
      </c>
      <c r="H4">
        <v>1</v>
      </c>
      <c r="I4">
        <v>46418</v>
      </c>
      <c r="M4" t="str">
        <f>IF(J4="","",IF(J4=Kunci_Penyesuaian!$D$4,"OK","SALAH"))</f>
        <v/>
      </c>
      <c r="N4" t="str">
        <f>IF(J4="","",IF(ABS(K4-Kunci_Penyesuaian!$E$4)&lt;0.01,"OK","SALAH"))</f>
        <v/>
      </c>
      <c r="O4" t="str">
        <f>IF(J4="","",IF(ABS(L4-Kunci_Penyesuaian!$F$4)&lt;0.01,"OK","SALAH"))</f>
        <v/>
      </c>
      <c r="P4" t="str">
        <f>IF(COUNTA(J4:L4)=0,"Belum diisi",IF(COUNTIF(M4:O4,"OK")=3,"BENAR","PERIKSA"))</f>
        <v>Belum diisi</v>
      </c>
    </row>
    <row r="5" spans="1:16" x14ac:dyDescent="0.3">
      <c r="H5">
        <v>1</v>
      </c>
      <c r="I5">
        <v>46418</v>
      </c>
      <c r="M5" t="str">
        <f>IF(J5="","",IF(J5=Kunci_Penyesuaian!$D$5,"OK","SALAH"))</f>
        <v/>
      </c>
      <c r="N5" t="str">
        <f>IF(J5="","",IF(ABS(K5-Kunci_Penyesuaian!$E$5)&lt;0.01,"OK","SALAH"))</f>
        <v/>
      </c>
      <c r="O5" t="str">
        <f>IF(J5="","",IF(ABS(L5-Kunci_Penyesuaian!$F$5)&lt;0.01,"OK","SALAH"))</f>
        <v/>
      </c>
      <c r="P5" t="str">
        <f>IF(COUNTA(J5:L5)=0,"Belum diisi",IF(COUNTIF(M5:O5,"OK")=3,"BENAR","PERIKSA"))</f>
        <v>Belum diisi</v>
      </c>
    </row>
    <row r="7" spans="1:16" ht="28.8" x14ac:dyDescent="0.3">
      <c r="A7">
        <v>2</v>
      </c>
      <c r="B7">
        <v>46418</v>
      </c>
      <c r="C7" t="s">
        <v>1056</v>
      </c>
      <c r="D7" s="1" t="s">
        <v>1057</v>
      </c>
      <c r="F7">
        <v>6000000</v>
      </c>
      <c r="G7" t="s">
        <v>1058</v>
      </c>
      <c r="H7">
        <v>2</v>
      </c>
      <c r="I7">
        <v>46418</v>
      </c>
      <c r="M7" t="str">
        <f>IF(J7="","",IF(J7=Kunci_Penyesuaian!$D$6,"OK","SALAH"))</f>
        <v/>
      </c>
      <c r="N7" t="str">
        <f>IF(J7="","",IF(ABS(K7-Kunci_Penyesuaian!$E$6)&lt;0.01,"OK","SALAH"))</f>
        <v/>
      </c>
      <c r="O7" t="str">
        <f>IF(J7="","",IF(ABS(L7-Kunci_Penyesuaian!$F$6)&lt;0.01,"OK","SALAH"))</f>
        <v/>
      </c>
      <c r="P7" t="str">
        <f>IF(COUNTA(J7:L7)=0,"Belum diisi",IF(COUNTIF(M7:O7,"OK")=3,"BENAR","PERIKSA"))</f>
        <v>Belum diisi</v>
      </c>
    </row>
    <row r="8" spans="1:16" x14ac:dyDescent="0.3">
      <c r="H8">
        <v>2</v>
      </c>
      <c r="I8">
        <v>46418</v>
      </c>
      <c r="M8" t="str">
        <f>IF(J8="","",IF(J8=Kunci_Penyesuaian!$D$7,"OK","SALAH"))</f>
        <v/>
      </c>
      <c r="N8" t="str">
        <f>IF(J8="","",IF(ABS(K8-Kunci_Penyesuaian!$E$7)&lt;0.01,"OK","SALAH"))</f>
        <v/>
      </c>
      <c r="O8" t="str">
        <f>IF(J8="","",IF(ABS(L8-Kunci_Penyesuaian!$F$7)&lt;0.01,"OK","SALAH"))</f>
        <v/>
      </c>
      <c r="P8" t="str">
        <f>IF(COUNTA(J8:L8)=0,"Belum diisi",IF(COUNTIF(M8:O8,"OK")=3,"BENAR","PERIKSA"))</f>
        <v>Belum diisi</v>
      </c>
    </row>
    <row r="10" spans="1:16" ht="28.8" x14ac:dyDescent="0.3">
      <c r="A10">
        <v>3</v>
      </c>
      <c r="B10">
        <v>46418</v>
      </c>
      <c r="C10" t="s">
        <v>1059</v>
      </c>
      <c r="D10" s="1" t="s">
        <v>1060</v>
      </c>
      <c r="E10" s="1" t="s">
        <v>1061</v>
      </c>
      <c r="F10">
        <v>1500000</v>
      </c>
      <c r="G10" t="s">
        <v>1062</v>
      </c>
      <c r="H10">
        <v>3</v>
      </c>
      <c r="I10">
        <v>46418</v>
      </c>
      <c r="M10" t="str">
        <f>IF(J10="","",IF(J10=Kunci_Penyesuaian!$D$8,"OK","SALAH"))</f>
        <v/>
      </c>
      <c r="N10" t="str">
        <f>IF(J10="","",IF(ABS(K10-Kunci_Penyesuaian!$E$8)&lt;0.01,"OK","SALAH"))</f>
        <v/>
      </c>
      <c r="O10" t="str">
        <f>IF(J10="","",IF(ABS(L10-Kunci_Penyesuaian!$F$8)&lt;0.01,"OK","SALAH"))</f>
        <v/>
      </c>
      <c r="P10" t="str">
        <f>IF(COUNTA(J10:L10)=0,"Belum diisi",IF(COUNTIF(M10:O10,"OK")=3,"BENAR","PERIKSA"))</f>
        <v>Belum diisi</v>
      </c>
    </row>
    <row r="11" spans="1:16" x14ac:dyDescent="0.3">
      <c r="H11">
        <v>3</v>
      </c>
      <c r="I11">
        <v>46418</v>
      </c>
      <c r="M11" t="str">
        <f>IF(J11="","",IF(J11=Kunci_Penyesuaian!$D$9,"OK","SALAH"))</f>
        <v/>
      </c>
      <c r="N11" t="str">
        <f>IF(J11="","",IF(ABS(K11-Kunci_Penyesuaian!$E$9)&lt;0.01,"OK","SALAH"))</f>
        <v/>
      </c>
      <c r="O11" t="str">
        <f>IF(J11="","",IF(ABS(L11-Kunci_Penyesuaian!$F$9)&lt;0.01,"OK","SALAH"))</f>
        <v/>
      </c>
      <c r="P11" t="str">
        <f>IF(COUNTA(J11:L11)=0,"Belum diisi",IF(COUNTIF(M11:O11,"OK")=3,"BENAR","PERIKSA"))</f>
        <v>Belum diisi</v>
      </c>
    </row>
    <row r="13" spans="1:16" ht="28.8" x14ac:dyDescent="0.3">
      <c r="A13">
        <v>4</v>
      </c>
      <c r="B13">
        <v>46418</v>
      </c>
      <c r="C13" t="s">
        <v>1063</v>
      </c>
      <c r="D13" s="1" t="s">
        <v>1064</v>
      </c>
      <c r="F13">
        <v>1000000</v>
      </c>
      <c r="G13" t="s">
        <v>1065</v>
      </c>
      <c r="H13">
        <v>4</v>
      </c>
      <c r="I13">
        <v>46418</v>
      </c>
      <c r="M13" t="str">
        <f>IF(J13="","",IF(J13=Kunci_Penyesuaian!$D$10,"OK","SALAH"))</f>
        <v/>
      </c>
      <c r="N13" t="str">
        <f>IF(J13="","",IF(ABS(K13-Kunci_Penyesuaian!$E$10)&lt;0.01,"OK","SALAH"))</f>
        <v/>
      </c>
      <c r="O13" t="str">
        <f>IF(J13="","",IF(ABS(L13-Kunci_Penyesuaian!$F$10)&lt;0.01,"OK","SALAH"))</f>
        <v/>
      </c>
      <c r="P13" t="str">
        <f>IF(COUNTA(J13:L13)=0,"Belum diisi",IF(COUNTIF(M13:O13,"OK")=3,"BENAR","PERIKSA"))</f>
        <v>Belum diisi</v>
      </c>
    </row>
    <row r="14" spans="1:16" x14ac:dyDescent="0.3">
      <c r="H14">
        <v>4</v>
      </c>
      <c r="I14">
        <v>46418</v>
      </c>
      <c r="M14" t="str">
        <f>IF(J14="","",IF(J14=Kunci_Penyesuaian!$D$11,"OK","SALAH"))</f>
        <v/>
      </c>
      <c r="N14" t="str">
        <f>IF(J14="","",IF(ABS(K14-Kunci_Penyesuaian!$E$11)&lt;0.01,"OK","SALAH"))</f>
        <v/>
      </c>
      <c r="O14" t="str">
        <f>IF(J14="","",IF(ABS(L14-Kunci_Penyesuaian!$F$11)&lt;0.01,"OK","SALAH"))</f>
        <v/>
      </c>
      <c r="P14" t="str">
        <f>IF(COUNTA(J14:L14)=0,"Belum diisi",IF(COUNTIF(M14:O14,"OK")=3,"BENAR","PERIKSA"))</f>
        <v>Belum diisi</v>
      </c>
    </row>
    <row r="16" spans="1:16" ht="28.8" x14ac:dyDescent="0.3">
      <c r="A16">
        <v>5</v>
      </c>
      <c r="B16">
        <v>46418</v>
      </c>
      <c r="C16" t="s">
        <v>1066</v>
      </c>
      <c r="D16" s="1" t="s">
        <v>1067</v>
      </c>
      <c r="E16" s="1" t="s">
        <v>1068</v>
      </c>
      <c r="F16">
        <v>400000</v>
      </c>
      <c r="G16" t="s">
        <v>1069</v>
      </c>
      <c r="H16">
        <v>5</v>
      </c>
      <c r="I16">
        <v>46418</v>
      </c>
      <c r="M16" t="str">
        <f>IF(J16="","",IF(J16=Kunci_Penyesuaian!$D$12,"OK","SALAH"))</f>
        <v/>
      </c>
      <c r="N16" t="str">
        <f>IF(J16="","",IF(ABS(K16-Kunci_Penyesuaian!$E$12)&lt;0.01,"OK","SALAH"))</f>
        <v/>
      </c>
      <c r="O16" t="str">
        <f>IF(J16="","",IF(ABS(L16-Kunci_Penyesuaian!$F$12)&lt;0.01,"OK","SALAH"))</f>
        <v/>
      </c>
      <c r="P16" t="str">
        <f>IF(COUNTA(J16:L16)=0,"Belum diisi",IF(COUNTIF(M16:O16,"OK")=3,"BENAR","PERIKSA"))</f>
        <v>Belum diisi</v>
      </c>
    </row>
    <row r="17" spans="1:16" x14ac:dyDescent="0.3">
      <c r="H17">
        <v>5</v>
      </c>
      <c r="I17">
        <v>46418</v>
      </c>
      <c r="M17" t="str">
        <f>IF(J17="","",IF(J17=Kunci_Penyesuaian!$D$13,"OK","SALAH"))</f>
        <v/>
      </c>
      <c r="N17" t="str">
        <f>IF(J17="","",IF(ABS(K17-Kunci_Penyesuaian!$E$13)&lt;0.01,"OK","SALAH"))</f>
        <v/>
      </c>
      <c r="O17" t="str">
        <f>IF(J17="","",IF(ABS(L17-Kunci_Penyesuaian!$F$13)&lt;0.01,"OK","SALAH"))</f>
        <v/>
      </c>
      <c r="P17" t="str">
        <f>IF(COUNTA(J17:L17)=0,"Belum diisi",IF(COUNTIF(M17:O17,"OK")=3,"BENAR","PERIKSA"))</f>
        <v>Belum diisi</v>
      </c>
    </row>
    <row r="19" spans="1:16" ht="28.8" x14ac:dyDescent="0.3">
      <c r="A19">
        <v>6</v>
      </c>
      <c r="B19">
        <v>46418</v>
      </c>
      <c r="C19" t="s">
        <v>1070</v>
      </c>
      <c r="D19" s="1" t="s">
        <v>1071</v>
      </c>
      <c r="E19" s="1" t="s">
        <v>1072</v>
      </c>
      <c r="F19">
        <v>1250000</v>
      </c>
      <c r="G19" t="s">
        <v>1073</v>
      </c>
      <c r="H19">
        <v>6</v>
      </c>
      <c r="I19">
        <v>46418</v>
      </c>
      <c r="M19" t="str">
        <f>IF(J19="","",IF(J19=Kunci_Penyesuaian!$D$14,"OK","SALAH"))</f>
        <v/>
      </c>
      <c r="N19" t="str">
        <f>IF(J19="","",IF(ABS(K19-Kunci_Penyesuaian!$E$14)&lt;0.01,"OK","SALAH"))</f>
        <v/>
      </c>
      <c r="O19" t="str">
        <f>IF(J19="","",IF(ABS(L19-Kunci_Penyesuaian!$F$14)&lt;0.01,"OK","SALAH"))</f>
        <v/>
      </c>
      <c r="P19" t="str">
        <f>IF(COUNTA(J19:L19)=0,"Belum diisi",IF(COUNTIF(M19:O19,"OK")=3,"BENAR","PERIKSA"))</f>
        <v>Belum diisi</v>
      </c>
    </row>
    <row r="20" spans="1:16" x14ac:dyDescent="0.3">
      <c r="H20">
        <v>6</v>
      </c>
      <c r="I20">
        <v>46418</v>
      </c>
      <c r="M20" t="str">
        <f>IF(J20="","",IF(J20=Kunci_Penyesuaian!$D$15,"OK","SALAH"))</f>
        <v/>
      </c>
      <c r="N20" t="str">
        <f>IF(J20="","",IF(ABS(K20-Kunci_Penyesuaian!$E$15)&lt;0.01,"OK","SALAH"))</f>
        <v/>
      </c>
      <c r="O20" t="str">
        <f>IF(J20="","",IF(ABS(L20-Kunci_Penyesuaian!$F$15)&lt;0.01,"OK","SALAH"))</f>
        <v/>
      </c>
      <c r="P20" t="str">
        <f>IF(COUNTA(J20:L20)=0,"Belum diisi",IF(COUNTIF(M20:O20,"OK")=3,"BENAR","PERIKSA"))</f>
        <v>Belum diisi</v>
      </c>
    </row>
    <row r="22" spans="1:16" ht="28.8" x14ac:dyDescent="0.3">
      <c r="A22">
        <v>7</v>
      </c>
      <c r="B22">
        <v>46418</v>
      </c>
      <c r="C22" t="s">
        <v>1074</v>
      </c>
      <c r="D22" s="1" t="s">
        <v>1075</v>
      </c>
      <c r="E22" s="1" t="s">
        <v>1076</v>
      </c>
      <c r="F22">
        <v>333333.33</v>
      </c>
      <c r="G22" t="s">
        <v>1077</v>
      </c>
      <c r="H22">
        <v>7</v>
      </c>
      <c r="I22">
        <v>46418</v>
      </c>
      <c r="M22" t="str">
        <f>IF(J22="","",IF(J22=Kunci_Penyesuaian!$D$16,"OK","SALAH"))</f>
        <v/>
      </c>
      <c r="N22" t="str">
        <f>IF(J22="","",IF(ABS(K22-Kunci_Penyesuaian!$E$16)&lt;0.01,"OK","SALAH"))</f>
        <v/>
      </c>
      <c r="O22" t="str">
        <f>IF(J22="","",IF(ABS(L22-Kunci_Penyesuaian!$F$16)&lt;0.01,"OK","SALAH"))</f>
        <v/>
      </c>
      <c r="P22" t="str">
        <f>IF(COUNTA(J22:L22)=0,"Belum diisi",IF(COUNTIF(M22:O22,"OK")=3,"BENAR","PERIKSA"))</f>
        <v>Belum diisi</v>
      </c>
    </row>
    <row r="23" spans="1:16" x14ac:dyDescent="0.3">
      <c r="H23">
        <v>7</v>
      </c>
      <c r="I23">
        <v>46418</v>
      </c>
      <c r="M23" t="str">
        <f>IF(J23="","",IF(J23=Kunci_Penyesuaian!$D$17,"OK","SALAH"))</f>
        <v/>
      </c>
      <c r="N23" t="str">
        <f>IF(J23="","",IF(ABS(K23-Kunci_Penyesuaian!$E$17)&lt;0.01,"OK","SALAH"))</f>
        <v/>
      </c>
      <c r="O23" t="str">
        <f>IF(J23="","",IF(ABS(L23-Kunci_Penyesuaian!$F$17)&lt;0.01,"OK","SALAH"))</f>
        <v/>
      </c>
      <c r="P23" t="str">
        <f>IF(COUNTA(J23:L23)=0,"Belum diisi",IF(COUNTIF(M23:O23,"OK")=3,"BENAR","PERIKSA"))</f>
        <v>Belum diisi</v>
      </c>
    </row>
    <row r="25" spans="1:16" ht="28.8" x14ac:dyDescent="0.3">
      <c r="A25">
        <v>8</v>
      </c>
      <c r="B25">
        <v>46418</v>
      </c>
      <c r="C25" t="s">
        <v>1078</v>
      </c>
      <c r="D25" s="1" t="s">
        <v>1079</v>
      </c>
      <c r="E25" s="1" t="s">
        <v>1080</v>
      </c>
      <c r="F25">
        <v>4166666.67</v>
      </c>
      <c r="G25" t="s">
        <v>1081</v>
      </c>
      <c r="H25">
        <v>8</v>
      </c>
      <c r="I25">
        <v>46418</v>
      </c>
      <c r="M25" t="str">
        <f>IF(J25="","",IF(J25=Kunci_Penyesuaian!$D$18,"OK","SALAH"))</f>
        <v/>
      </c>
      <c r="N25" t="str">
        <f>IF(J25="","",IF(ABS(K25-Kunci_Penyesuaian!$E$18)&lt;0.01,"OK","SALAH"))</f>
        <v/>
      </c>
      <c r="O25" t="str">
        <f>IF(J25="","",IF(ABS(L25-Kunci_Penyesuaian!$F$18)&lt;0.01,"OK","SALAH"))</f>
        <v/>
      </c>
      <c r="P25" t="str">
        <f>IF(COUNTA(J25:L25)=0,"Belum diisi",IF(COUNTIF(M25:O25,"OK")=3,"BENAR","PERIKSA"))</f>
        <v>Belum diisi</v>
      </c>
    </row>
    <row r="26" spans="1:16" x14ac:dyDescent="0.3">
      <c r="H26">
        <v>8</v>
      </c>
      <c r="I26">
        <v>46418</v>
      </c>
      <c r="M26" t="str">
        <f>IF(J26="","",IF(J26=Kunci_Penyesuaian!$D$19,"OK","SALAH"))</f>
        <v/>
      </c>
      <c r="N26" t="str">
        <f>IF(J26="","",IF(ABS(K26-Kunci_Penyesuaian!$E$19)&lt;0.01,"OK","SALAH"))</f>
        <v/>
      </c>
      <c r="O26" t="str">
        <f>IF(J26="","",IF(ABS(L26-Kunci_Penyesuaian!$F$19)&lt;0.01,"OK","SALAH"))</f>
        <v/>
      </c>
      <c r="P26" t="str">
        <f>IF(COUNTA(J26:L26)=0,"Belum diisi",IF(COUNTIF(M26:O26,"OK")=3,"BENAR","PERIKSA"))</f>
        <v>Belum diisi</v>
      </c>
    </row>
    <row r="28" spans="1:16" ht="28.8" x14ac:dyDescent="0.3">
      <c r="A28">
        <v>9</v>
      </c>
      <c r="B28">
        <v>46418</v>
      </c>
      <c r="C28" t="s">
        <v>1082</v>
      </c>
      <c r="D28" s="1" t="s">
        <v>1083</v>
      </c>
      <c r="F28">
        <v>5000000</v>
      </c>
      <c r="G28" t="s">
        <v>1084</v>
      </c>
      <c r="H28">
        <v>9</v>
      </c>
      <c r="I28">
        <v>46418</v>
      </c>
      <c r="M28" t="str">
        <f>IF(J28="","",IF(J28=Kunci_Penyesuaian!$D$20,"OK","SALAH"))</f>
        <v/>
      </c>
      <c r="N28" t="str">
        <f>IF(J28="","",IF(ABS(K28-Kunci_Penyesuaian!$E$20)&lt;0.01,"OK","SALAH"))</f>
        <v/>
      </c>
      <c r="O28" t="str">
        <f>IF(J28="","",IF(ABS(L28-Kunci_Penyesuaian!$F$20)&lt;0.01,"OK","SALAH"))</f>
        <v/>
      </c>
      <c r="P28" t="str">
        <f>IF(COUNTA(J28:L28)=0,"Belum diisi",IF(COUNTIF(M28:O28,"OK")=3,"BENAR","PERIKSA"))</f>
        <v>Belum diisi</v>
      </c>
    </row>
    <row r="29" spans="1:16" x14ac:dyDescent="0.3">
      <c r="H29">
        <v>9</v>
      </c>
      <c r="I29">
        <v>46418</v>
      </c>
      <c r="M29" t="str">
        <f>IF(J29="","",IF(J29=Kunci_Penyesuaian!$D$21,"OK","SALAH"))</f>
        <v/>
      </c>
      <c r="N29" t="str">
        <f>IF(J29="","",IF(ABS(K29-Kunci_Penyesuaian!$E$21)&lt;0.01,"OK","SALAH"))</f>
        <v/>
      </c>
      <c r="O29" t="str">
        <f>IF(J29="","",IF(ABS(L29-Kunci_Penyesuaian!$F$21)&lt;0.01,"OK","SALAH"))</f>
        <v/>
      </c>
      <c r="P29" t="str">
        <f>IF(COUNTA(J29:L29)=0,"Belum diisi",IF(COUNTIF(M29:O29,"OK")=3,"BENAR","PERIKSA"))</f>
        <v>Belum diisi</v>
      </c>
    </row>
    <row r="31" spans="1:16" ht="28.8" x14ac:dyDescent="0.3">
      <c r="A31">
        <v>10</v>
      </c>
      <c r="B31">
        <v>46418</v>
      </c>
      <c r="C31" t="s">
        <v>1085</v>
      </c>
      <c r="D31" s="1" t="s">
        <v>1086</v>
      </c>
      <c r="F31">
        <v>3000000</v>
      </c>
      <c r="G31" t="s">
        <v>1087</v>
      </c>
      <c r="H31">
        <v>10</v>
      </c>
      <c r="I31">
        <v>46418</v>
      </c>
      <c r="M31" t="str">
        <f>IF(J31="","",IF(J31=Kunci_Penyesuaian!$D$22,"OK","SALAH"))</f>
        <v/>
      </c>
      <c r="N31" t="str">
        <f>IF(J31="","",IF(ABS(K31-Kunci_Penyesuaian!$E$22)&lt;0.01,"OK","SALAH"))</f>
        <v/>
      </c>
      <c r="O31" t="str">
        <f>IF(J31="","",IF(ABS(L31-Kunci_Penyesuaian!$F$22)&lt;0.01,"OK","SALAH"))</f>
        <v/>
      </c>
      <c r="P31" t="str">
        <f>IF(COUNTA(J31:L31)=0,"Belum diisi",IF(COUNTIF(M31:O31,"OK")=3,"BENAR","PERIKSA"))</f>
        <v>Belum diisi</v>
      </c>
    </row>
    <row r="32" spans="1:16" x14ac:dyDescent="0.3">
      <c r="H32">
        <v>10</v>
      </c>
      <c r="I32">
        <v>46418</v>
      </c>
      <c r="M32" t="str">
        <f>IF(J32="","",IF(J32=Kunci_Penyesuaian!$D$23,"OK","SALAH"))</f>
        <v/>
      </c>
      <c r="N32" t="str">
        <f>IF(J32="","",IF(ABS(K32-Kunci_Penyesuaian!$E$23)&lt;0.01,"OK","SALAH"))</f>
        <v/>
      </c>
      <c r="O32" t="str">
        <f>IF(J32="","",IF(ABS(L32-Kunci_Penyesuaian!$F$23)&lt;0.01,"OK","SALAH"))</f>
        <v/>
      </c>
      <c r="P32" t="str">
        <f>IF(COUNTA(J32:L32)=0,"Belum diisi",IF(COUNTIF(M32:O32,"OK")=3,"BENAR","PERIKSA"))</f>
        <v>Belum diisi</v>
      </c>
    </row>
    <row r="34" spans="1:16" ht="28.8" x14ac:dyDescent="0.3">
      <c r="A34">
        <v>11</v>
      </c>
      <c r="B34">
        <v>46418</v>
      </c>
      <c r="C34" t="s">
        <v>1088</v>
      </c>
      <c r="D34" s="1" t="s">
        <v>1089</v>
      </c>
      <c r="F34">
        <v>1200000</v>
      </c>
      <c r="G34" t="s">
        <v>1090</v>
      </c>
      <c r="H34">
        <v>11</v>
      </c>
      <c r="I34">
        <v>46418</v>
      </c>
      <c r="M34" t="str">
        <f>IF(J34="","",IF(J34=Kunci_Penyesuaian!$D$24,"OK","SALAH"))</f>
        <v/>
      </c>
      <c r="N34" t="str">
        <f>IF(J34="","",IF(ABS(K34-Kunci_Penyesuaian!$E$24)&lt;0.01,"OK","SALAH"))</f>
        <v/>
      </c>
      <c r="O34" t="str">
        <f>IF(J34="","",IF(ABS(L34-Kunci_Penyesuaian!$F$24)&lt;0.01,"OK","SALAH"))</f>
        <v/>
      </c>
      <c r="P34" t="str">
        <f>IF(COUNTA(J34:L34)=0,"Belum diisi",IF(COUNTIF(M34:O34,"OK")=3,"BENAR","PERIKSA"))</f>
        <v>Belum diisi</v>
      </c>
    </row>
    <row r="35" spans="1:16" x14ac:dyDescent="0.3">
      <c r="H35">
        <v>11</v>
      </c>
      <c r="I35">
        <v>46418</v>
      </c>
      <c r="M35" t="str">
        <f>IF(J35="","",IF(J35=Kunci_Penyesuaian!$D$25,"OK","SALAH"))</f>
        <v/>
      </c>
      <c r="N35" t="str">
        <f>IF(J35="","",IF(ABS(K35-Kunci_Penyesuaian!$E$25)&lt;0.01,"OK","SALAH"))</f>
        <v/>
      </c>
      <c r="O35" t="str">
        <f>IF(J35="","",IF(ABS(L35-Kunci_Penyesuaian!$F$25)&lt;0.01,"OK","SALAH"))</f>
        <v/>
      </c>
      <c r="P35" t="str">
        <f>IF(COUNTA(J35:L35)=0,"Belum diisi",IF(COUNTIF(M35:O35,"OK")=3,"BENAR","PERIKSA"))</f>
        <v>Belum diisi</v>
      </c>
    </row>
    <row r="37" spans="1:16" ht="28.8" x14ac:dyDescent="0.3">
      <c r="A37">
        <v>12</v>
      </c>
      <c r="B37">
        <v>46418</v>
      </c>
      <c r="C37" t="s">
        <v>1091</v>
      </c>
      <c r="D37" s="1" t="s">
        <v>1092</v>
      </c>
      <c r="F37">
        <v>1800000</v>
      </c>
      <c r="G37" t="s">
        <v>1093</v>
      </c>
      <c r="H37">
        <v>12</v>
      </c>
      <c r="I37">
        <v>46418</v>
      </c>
      <c r="M37" t="str">
        <f>IF(J37="","",IF(J37=Kunci_Penyesuaian!$D$26,"OK","SALAH"))</f>
        <v/>
      </c>
      <c r="N37" t="str">
        <f>IF(J37="","",IF(ABS(K37-Kunci_Penyesuaian!$E$26)&lt;0.01,"OK","SALAH"))</f>
        <v/>
      </c>
      <c r="O37" t="str">
        <f>IF(J37="","",IF(ABS(L37-Kunci_Penyesuaian!$F$26)&lt;0.01,"OK","SALAH"))</f>
        <v/>
      </c>
      <c r="P37" t="str">
        <f>IF(COUNTA(J37:L37)=0,"Belum diisi",IF(COUNTIF(M37:O37,"OK")=3,"BENAR","PERIKSA"))</f>
        <v>Belum diisi</v>
      </c>
    </row>
    <row r="38" spans="1:16" x14ac:dyDescent="0.3">
      <c r="H38">
        <v>12</v>
      </c>
      <c r="I38">
        <v>46418</v>
      </c>
      <c r="M38" t="str">
        <f>IF(J38="","",IF(J38=Kunci_Penyesuaian!$D$27,"OK","SALAH"))</f>
        <v/>
      </c>
      <c r="N38" t="str">
        <f>IF(J38="","",IF(ABS(K38-Kunci_Penyesuaian!$E$27)&lt;0.01,"OK","SALAH"))</f>
        <v/>
      </c>
      <c r="O38" t="str">
        <f>IF(J38="","",IF(ABS(L38-Kunci_Penyesuaian!$F$27)&lt;0.01,"OK","SALAH"))</f>
        <v/>
      </c>
      <c r="P38" t="str">
        <f>IF(COUNTA(J38:L38)=0,"Belum diisi",IF(COUNTIF(M38:O38,"OK")=3,"BENAR","PERIKSA"))</f>
        <v>Belum diisi</v>
      </c>
    </row>
    <row r="40" spans="1:16" ht="43.2" x14ac:dyDescent="0.3">
      <c r="A40">
        <v>13</v>
      </c>
      <c r="B40">
        <v>46418</v>
      </c>
      <c r="C40" t="s">
        <v>1094</v>
      </c>
      <c r="D40" s="1" t="s">
        <v>1095</v>
      </c>
      <c r="E40" s="1" t="s">
        <v>1096</v>
      </c>
      <c r="F40">
        <v>2500000</v>
      </c>
      <c r="G40" t="s">
        <v>1097</v>
      </c>
      <c r="H40">
        <v>13</v>
      </c>
      <c r="I40">
        <v>46418</v>
      </c>
      <c r="M40" t="str">
        <f>IF(J40="","",IF(J40=Kunci_Penyesuaian!$D$28,"OK","SALAH"))</f>
        <v/>
      </c>
      <c r="N40" t="str">
        <f>IF(J40="","",IF(ABS(K40-Kunci_Penyesuaian!$E$28)&lt;0.01,"OK","SALAH"))</f>
        <v/>
      </c>
      <c r="O40" t="str">
        <f>IF(J40="","",IF(ABS(L40-Kunci_Penyesuaian!$F$28)&lt;0.01,"OK","SALAH"))</f>
        <v/>
      </c>
      <c r="P40" t="str">
        <f>IF(COUNTA(J40:L40)=0,"Belum diisi",IF(COUNTIF(M40:O40,"OK")=3,"BENAR","PERIKSA"))</f>
        <v>Belum diisi</v>
      </c>
    </row>
    <row r="41" spans="1:16" x14ac:dyDescent="0.3">
      <c r="H41">
        <v>13</v>
      </c>
      <c r="I41">
        <v>46418</v>
      </c>
      <c r="M41" t="str">
        <f>IF(J41="","",IF(J41=Kunci_Penyesuaian!$D$29,"OK","SALAH"))</f>
        <v/>
      </c>
      <c r="N41" t="str">
        <f>IF(J41="","",IF(ABS(K41-Kunci_Penyesuaian!$E$29)&lt;0.01,"OK","SALAH"))</f>
        <v/>
      </c>
      <c r="O41" t="str">
        <f>IF(J41="","",IF(ABS(L41-Kunci_Penyesuaian!$F$29)&lt;0.01,"OK","SALAH"))</f>
        <v/>
      </c>
      <c r="P41" t="str">
        <f>IF(COUNTA(J41:L41)=0,"Belum diisi",IF(COUNTIF(M41:O41,"OK")=3,"BENAR","PERIKSA"))</f>
        <v>Belum diisi</v>
      </c>
    </row>
    <row r="42" spans="1:16" x14ac:dyDescent="0.3">
      <c r="H42">
        <v>13</v>
      </c>
      <c r="I42">
        <v>46418</v>
      </c>
      <c r="M42" t="str">
        <f>IF(J42="","",IF(J42=Kunci_Penyesuaian!$D$30,"OK","SALAH"))</f>
        <v/>
      </c>
      <c r="N42" t="str">
        <f>IF(J42="","",IF(ABS(K42-Kunci_Penyesuaian!$E$30)&lt;0.01,"OK","SALAH"))</f>
        <v/>
      </c>
      <c r="O42" t="str">
        <f>IF(J42="","",IF(ABS(L42-Kunci_Penyesuaian!$F$30)&lt;0.01,"OK","SALAH"))</f>
        <v/>
      </c>
      <c r="P42" t="str">
        <f>IF(COUNTA(J42:L42)=0,"Belum diisi",IF(COUNTIF(M42:O42,"OK")=3,"BENAR","PERIKSA"))</f>
        <v>Belum diisi</v>
      </c>
    </row>
    <row r="44" spans="1:16" ht="28.8" x14ac:dyDescent="0.3">
      <c r="A44">
        <v>14</v>
      </c>
      <c r="B44">
        <v>46418</v>
      </c>
      <c r="C44" t="s">
        <v>1098</v>
      </c>
      <c r="D44" s="1" t="s">
        <v>1099</v>
      </c>
      <c r="F44">
        <v>1500000</v>
      </c>
      <c r="G44" t="s">
        <v>565</v>
      </c>
      <c r="H44">
        <v>14</v>
      </c>
      <c r="I44">
        <v>46418</v>
      </c>
      <c r="M44" t="str">
        <f>IF(J44="","",IF(J44=Kunci_Penyesuaian!$D$31,"OK","SALAH"))</f>
        <v/>
      </c>
      <c r="N44" t="str">
        <f>IF(J44="","",IF(ABS(K44-Kunci_Penyesuaian!$E$31)&lt;0.01,"OK","SALAH"))</f>
        <v/>
      </c>
      <c r="O44" t="str">
        <f>IF(J44="","",IF(ABS(L44-Kunci_Penyesuaian!$F$31)&lt;0.01,"OK","SALAH"))</f>
        <v/>
      </c>
      <c r="P44" t="str">
        <f>IF(COUNTA(J44:L44)=0,"Belum diisi",IF(COUNTIF(M44:O44,"OK")=3,"BENAR","PERIKSA"))</f>
        <v>Belum diisi</v>
      </c>
    </row>
    <row r="45" spans="1:16" x14ac:dyDescent="0.3">
      <c r="H45">
        <v>14</v>
      </c>
      <c r="I45">
        <v>46418</v>
      </c>
      <c r="M45" t="str">
        <f>IF(J45="","",IF(J45=Kunci_Penyesuaian!$D$32,"OK","SALAH"))</f>
        <v/>
      </c>
      <c r="N45" t="str">
        <f>IF(J45="","",IF(ABS(K45-Kunci_Penyesuaian!$E$32)&lt;0.01,"OK","SALAH"))</f>
        <v/>
      </c>
      <c r="O45" t="str">
        <f>IF(J45="","",IF(ABS(L45-Kunci_Penyesuaian!$F$32)&lt;0.01,"OK","SALAH"))</f>
        <v/>
      </c>
      <c r="P45" t="str">
        <f>IF(COUNTA(J45:L45)=0,"Belum diisi",IF(COUNTIF(M45:O45,"OK")=3,"BENAR","PERIKSA"))</f>
        <v>Belum diisi</v>
      </c>
    </row>
    <row r="47" spans="1:16" ht="43.2" x14ac:dyDescent="0.3">
      <c r="A47">
        <v>15</v>
      </c>
      <c r="B47">
        <v>46418</v>
      </c>
      <c r="C47" t="s">
        <v>1100</v>
      </c>
      <c r="D47" s="1" t="s">
        <v>1101</v>
      </c>
      <c r="E47" s="1" t="s">
        <v>1102</v>
      </c>
      <c r="F47">
        <v>4500000</v>
      </c>
      <c r="G47" t="s">
        <v>1103</v>
      </c>
      <c r="H47">
        <v>15</v>
      </c>
      <c r="I47">
        <v>46418</v>
      </c>
      <c r="M47" t="str">
        <f>IF(J47="","",IF(J47=Kunci_Penyesuaian!$D$33,"OK","SALAH"))</f>
        <v/>
      </c>
      <c r="N47" t="str">
        <f>IF(J47="","",IF(ABS(K47-Kunci_Penyesuaian!$E$33)&lt;0.01,"OK","SALAH"))</f>
        <v/>
      </c>
      <c r="O47" t="str">
        <f>IF(J47="","",IF(ABS(L47-Kunci_Penyesuaian!$F$33)&lt;0.01,"OK","SALAH"))</f>
        <v/>
      </c>
      <c r="P47" t="str">
        <f>IF(COUNTA(J47:L47)=0,"Belum diisi",IF(COUNTIF(M47:O47,"OK")=3,"BENAR","PERIKSA"))</f>
        <v>Belum diisi</v>
      </c>
    </row>
    <row r="48" spans="1:16" x14ac:dyDescent="0.3">
      <c r="H48">
        <v>15</v>
      </c>
      <c r="I48">
        <v>46418</v>
      </c>
      <c r="M48" t="str">
        <f>IF(J48="","",IF(J48=Kunci_Penyesuaian!$D$34,"OK","SALAH"))</f>
        <v/>
      </c>
      <c r="N48" t="str">
        <f>IF(J48="","",IF(ABS(K48-Kunci_Penyesuaian!$E$34)&lt;0.01,"OK","SALAH"))</f>
        <v/>
      </c>
      <c r="O48" t="str">
        <f>IF(J48="","",IF(ABS(L48-Kunci_Penyesuaian!$F$34)&lt;0.01,"OK","SALAH"))</f>
        <v/>
      </c>
      <c r="P48" t="str">
        <f>IF(COUNTA(J48:L48)=0,"Belum diisi",IF(COUNTIF(M48:O48,"OK")=3,"BENAR","PERIKSA"))</f>
        <v>Belum diisi</v>
      </c>
    </row>
    <row r="50" spans="1:16" ht="28.8" x14ac:dyDescent="0.3">
      <c r="A50">
        <v>16</v>
      </c>
      <c r="B50">
        <v>46418</v>
      </c>
      <c r="C50" t="s">
        <v>1104</v>
      </c>
      <c r="D50" s="1" t="s">
        <v>1105</v>
      </c>
      <c r="F50">
        <v>2000000</v>
      </c>
      <c r="G50" t="s">
        <v>1106</v>
      </c>
      <c r="H50">
        <v>16</v>
      </c>
      <c r="I50">
        <v>46418</v>
      </c>
      <c r="M50" t="str">
        <f>IF(J50="","",IF(J50=Kunci_Penyesuaian!$D$35,"OK","SALAH"))</f>
        <v/>
      </c>
      <c r="N50" t="str">
        <f>IF(J50="","",IF(ABS(K50-Kunci_Penyesuaian!$E$35)&lt;0.01,"OK","SALAH"))</f>
        <v/>
      </c>
      <c r="O50" t="str">
        <f>IF(J50="","",IF(ABS(L50-Kunci_Penyesuaian!$F$35)&lt;0.01,"OK","SALAH"))</f>
        <v/>
      </c>
      <c r="P50" t="str">
        <f>IF(COUNTA(J50:L50)=0,"Belum diisi",IF(COUNTIF(M50:O50,"OK")=3,"BENAR","PERIKSA"))</f>
        <v>Belum diisi</v>
      </c>
    </row>
    <row r="51" spans="1:16" x14ac:dyDescent="0.3">
      <c r="H51">
        <v>16</v>
      </c>
      <c r="I51">
        <v>46418</v>
      </c>
      <c r="M51" t="str">
        <f>IF(J51="","",IF(J51=Kunci_Penyesuaian!$D$36,"OK","SALAH"))</f>
        <v/>
      </c>
      <c r="N51" t="str">
        <f>IF(J51="","",IF(ABS(K51-Kunci_Penyesuaian!$E$36)&lt;0.01,"OK","SALAH"))</f>
        <v/>
      </c>
      <c r="O51" t="str">
        <f>IF(J51="","",IF(ABS(L51-Kunci_Penyesuaian!$F$36)&lt;0.01,"OK","SALAH"))</f>
        <v/>
      </c>
      <c r="P51" t="str">
        <f>IF(COUNTA(J51:L51)=0,"Belum diisi",IF(COUNTIF(M51:O51,"OK")=3,"BENAR","PERIKSA"))</f>
        <v>Belum diisi</v>
      </c>
    </row>
    <row r="53" spans="1:16" ht="28.8" x14ac:dyDescent="0.3">
      <c r="A53">
        <v>17</v>
      </c>
      <c r="B53">
        <v>46418</v>
      </c>
      <c r="C53" t="s">
        <v>1107</v>
      </c>
      <c r="D53" s="1" t="s">
        <v>1108</v>
      </c>
      <c r="F53">
        <v>2000000</v>
      </c>
      <c r="G53" t="s">
        <v>704</v>
      </c>
      <c r="H53">
        <v>17</v>
      </c>
      <c r="I53">
        <v>46418</v>
      </c>
      <c r="M53" t="str">
        <f>IF(J53="","",IF(J53=Kunci_Penyesuaian!$D$37,"OK","SALAH"))</f>
        <v/>
      </c>
      <c r="N53" t="str">
        <f>IF(J53="","",IF(ABS(K53-Kunci_Penyesuaian!$E$37)&lt;0.01,"OK","SALAH"))</f>
        <v/>
      </c>
      <c r="O53" t="str">
        <f>IF(J53="","",IF(ABS(L53-Kunci_Penyesuaian!$F$37)&lt;0.01,"OK","SALAH"))</f>
        <v/>
      </c>
      <c r="P53" t="str">
        <f>IF(COUNTA(J53:L53)=0,"Belum diisi",IF(COUNTIF(M53:O53,"OK")=3,"BENAR","PERIKSA"))</f>
        <v>Belum diisi</v>
      </c>
    </row>
    <row r="54" spans="1:16" x14ac:dyDescent="0.3">
      <c r="H54">
        <v>17</v>
      </c>
      <c r="I54">
        <v>46418</v>
      </c>
      <c r="M54" t="str">
        <f>IF(J54="","",IF(J54=Kunci_Penyesuaian!$D$38,"OK","SALAH"))</f>
        <v/>
      </c>
      <c r="N54" t="str">
        <f>IF(J54="","",IF(ABS(K54-Kunci_Penyesuaian!$E$38)&lt;0.01,"OK","SALAH"))</f>
        <v/>
      </c>
      <c r="O54" t="str">
        <f>IF(J54="","",IF(ABS(L54-Kunci_Penyesuaian!$F$38)&lt;0.01,"OK","SALAH"))</f>
        <v/>
      </c>
      <c r="P54" t="str">
        <f>IF(COUNTA(J54:L54)=0,"Belum diisi",IF(COUNTIF(M54:O54,"OK")=3,"BENAR","PERIKSA"))</f>
        <v>Belum diisi</v>
      </c>
    </row>
    <row r="56" spans="1:16" ht="28.8" x14ac:dyDescent="0.3">
      <c r="A56">
        <v>18</v>
      </c>
      <c r="B56">
        <v>46418</v>
      </c>
      <c r="C56" t="s">
        <v>1109</v>
      </c>
      <c r="D56" s="1" t="s">
        <v>1110</v>
      </c>
      <c r="F56">
        <v>1500000</v>
      </c>
      <c r="G56" t="s">
        <v>704</v>
      </c>
      <c r="H56">
        <v>18</v>
      </c>
      <c r="I56">
        <v>46418</v>
      </c>
      <c r="M56" t="str">
        <f>IF(J56="","",IF(J56=Kunci_Penyesuaian!$D$39,"OK","SALAH"))</f>
        <v/>
      </c>
      <c r="N56" t="str">
        <f>IF(J56="","",IF(ABS(K56-Kunci_Penyesuaian!$E$39)&lt;0.01,"OK","SALAH"))</f>
        <v/>
      </c>
      <c r="O56" t="str">
        <f>IF(J56="","",IF(ABS(L56-Kunci_Penyesuaian!$F$39)&lt;0.01,"OK","SALAH"))</f>
        <v/>
      </c>
      <c r="P56" t="str">
        <f>IF(COUNTA(J56:L56)=0,"Belum diisi",IF(COUNTIF(M56:O56,"OK")=3,"BENAR","PERIKSA"))</f>
        <v>Belum diisi</v>
      </c>
    </row>
    <row r="57" spans="1:16" x14ac:dyDescent="0.3">
      <c r="H57">
        <v>18</v>
      </c>
      <c r="I57">
        <v>46418</v>
      </c>
      <c r="M57" t="str">
        <f>IF(J57="","",IF(J57=Kunci_Penyesuaian!$D$40,"OK","SALAH"))</f>
        <v/>
      </c>
      <c r="N57" t="str">
        <f>IF(J57="","",IF(ABS(K57-Kunci_Penyesuaian!$E$40)&lt;0.01,"OK","SALAH"))</f>
        <v/>
      </c>
      <c r="O57" t="str">
        <f>IF(J57="","",IF(ABS(L57-Kunci_Penyesuaian!$F$40)&lt;0.01,"OK","SALAH"))</f>
        <v/>
      </c>
      <c r="P57" t="str">
        <f>IF(COUNTA(J57:L57)=0,"Belum diisi",IF(COUNTIF(M57:O57,"OK")=3,"BENAR","PERIKSA"))</f>
        <v>Belum diisi</v>
      </c>
    </row>
    <row r="59" spans="1:16" ht="43.2" x14ac:dyDescent="0.3">
      <c r="A59">
        <v>19</v>
      </c>
      <c r="B59">
        <v>46418</v>
      </c>
      <c r="C59" t="s">
        <v>1111</v>
      </c>
      <c r="D59" s="1" t="s">
        <v>1112</v>
      </c>
      <c r="E59" s="1" t="s">
        <v>1113</v>
      </c>
      <c r="F59">
        <v>4440000</v>
      </c>
      <c r="G59" t="s">
        <v>1114</v>
      </c>
      <c r="H59">
        <v>19</v>
      </c>
      <c r="I59">
        <v>46418</v>
      </c>
      <c r="M59" t="str">
        <f>IF(J59="","",IF(J59=Kunci_Penyesuaian!$D$41,"OK","SALAH"))</f>
        <v/>
      </c>
      <c r="N59" t="str">
        <f>IF(J59="","",IF(ABS(K59-Kunci_Penyesuaian!$E$41)&lt;0.01,"OK","SALAH"))</f>
        <v/>
      </c>
      <c r="O59" t="str">
        <f>IF(J59="","",IF(ABS(L59-Kunci_Penyesuaian!$F$41)&lt;0.01,"OK","SALAH"))</f>
        <v/>
      </c>
      <c r="P59" t="str">
        <f>IF(COUNTA(J59:L59)=0,"Belum diisi",IF(COUNTIF(M59:O59,"OK")=3,"BENAR","PERIKSA"))</f>
        <v>Belum diisi</v>
      </c>
    </row>
    <row r="60" spans="1:16" x14ac:dyDescent="0.3">
      <c r="H60">
        <v>19</v>
      </c>
      <c r="I60">
        <v>46418</v>
      </c>
      <c r="M60" t="str">
        <f>IF(J60="","",IF(J60=Kunci_Penyesuaian!$D$42,"OK","SALAH"))</f>
        <v/>
      </c>
      <c r="N60" t="str">
        <f>IF(J60="","",IF(ABS(K60-Kunci_Penyesuaian!$E$42)&lt;0.01,"OK","SALAH"))</f>
        <v/>
      </c>
      <c r="O60" t="str">
        <f>IF(J60="","",IF(ABS(L60-Kunci_Penyesuaian!$F$42)&lt;0.01,"OK","SALAH"))</f>
        <v/>
      </c>
      <c r="P60" t="str">
        <f>IF(COUNTA(J60:L60)=0,"Belum diisi",IF(COUNTIF(M60:O60,"OK")=3,"BENAR","PERIKSA"))</f>
        <v>Belum diisi</v>
      </c>
    </row>
    <row r="61" spans="1:16" x14ac:dyDescent="0.3">
      <c r="H61">
        <v>19</v>
      </c>
      <c r="I61">
        <v>46418</v>
      </c>
      <c r="M61" t="str">
        <f>IF(J61="","",IF(J61=Kunci_Penyesuaian!$D$43,"OK","SALAH"))</f>
        <v/>
      </c>
      <c r="N61" t="str">
        <f>IF(J61="","",IF(ABS(K61-Kunci_Penyesuaian!$E$43)&lt;0.01,"OK","SALAH"))</f>
        <v/>
      </c>
      <c r="O61" t="str">
        <f>IF(J61="","",IF(ABS(L61-Kunci_Penyesuaian!$F$43)&lt;0.01,"OK","SALAH"))</f>
        <v/>
      </c>
      <c r="P61" t="str">
        <f>IF(COUNTA(J61:L61)=0,"Belum diisi",IF(COUNTIF(M61:O61,"OK")=3,"BENAR","PERIKSA"))</f>
        <v>Belum diisi</v>
      </c>
    </row>
    <row r="63" spans="1:16" ht="28.8" x14ac:dyDescent="0.3">
      <c r="A63">
        <v>20</v>
      </c>
      <c r="B63">
        <v>46418</v>
      </c>
      <c r="C63" t="s">
        <v>1115</v>
      </c>
      <c r="D63" s="1" t="s">
        <v>1116</v>
      </c>
      <c r="F63">
        <v>2400000</v>
      </c>
      <c r="G63" t="s">
        <v>1117</v>
      </c>
      <c r="H63">
        <v>20</v>
      </c>
      <c r="I63">
        <v>46418</v>
      </c>
      <c r="M63" t="str">
        <f>IF(J63="","",IF(J63=Kunci_Penyesuaian!$D$44,"OK","SALAH"))</f>
        <v/>
      </c>
      <c r="N63" t="str">
        <f>IF(J63="","",IF(ABS(K63-Kunci_Penyesuaian!$E$44)&lt;0.01,"OK","SALAH"))</f>
        <v/>
      </c>
      <c r="O63" t="str">
        <f>IF(J63="","",IF(ABS(L63-Kunci_Penyesuaian!$F$44)&lt;0.01,"OK","SALAH"))</f>
        <v/>
      </c>
      <c r="P63" t="str">
        <f>IF(COUNTA(J63:L63)=0,"Belum diisi",IF(COUNTIF(M63:O63,"OK")=3,"BENAR","PERIKSA"))</f>
        <v>Belum diisi</v>
      </c>
    </row>
    <row r="64" spans="1:16" x14ac:dyDescent="0.3">
      <c r="H64">
        <v>20</v>
      </c>
      <c r="I64">
        <v>46418</v>
      </c>
      <c r="M64" t="str">
        <f>IF(J64="","",IF(J64=Kunci_Penyesuaian!$D$45,"OK","SALAH"))</f>
        <v/>
      </c>
      <c r="N64" t="str">
        <f>IF(J64="","",IF(ABS(K64-Kunci_Penyesuaian!$E$45)&lt;0.01,"OK","SALAH"))</f>
        <v/>
      </c>
      <c r="O64" t="str">
        <f>IF(J64="","",IF(ABS(L64-Kunci_Penyesuaian!$F$45)&lt;0.01,"OK","SALAH"))</f>
        <v/>
      </c>
      <c r="P64" t="str">
        <f>IF(COUNTA(J64:L64)=0,"Belum diisi",IF(COUNTIF(M64:O64,"OK")=3,"BENAR","PERIKSA"))</f>
        <v>Belum diisi</v>
      </c>
    </row>
    <row r="66" spans="1:16" ht="28.8" x14ac:dyDescent="0.3">
      <c r="A66">
        <v>21</v>
      </c>
      <c r="B66">
        <v>46418</v>
      </c>
      <c r="C66" t="s">
        <v>1118</v>
      </c>
      <c r="D66" s="1" t="s">
        <v>1119</v>
      </c>
      <c r="F66">
        <v>2000000</v>
      </c>
      <c r="G66" t="s">
        <v>1120</v>
      </c>
      <c r="H66">
        <v>21</v>
      </c>
      <c r="I66">
        <v>46418</v>
      </c>
      <c r="M66" t="str">
        <f>IF(J66="","",IF(J66=Kunci_Penyesuaian!$D$46,"OK","SALAH"))</f>
        <v/>
      </c>
      <c r="N66" t="str">
        <f>IF(J66="","",IF(ABS(K66-Kunci_Penyesuaian!$E$46)&lt;0.01,"OK","SALAH"))</f>
        <v/>
      </c>
      <c r="O66" t="str">
        <f>IF(J66="","",IF(ABS(L66-Kunci_Penyesuaian!$F$46)&lt;0.01,"OK","SALAH"))</f>
        <v/>
      </c>
      <c r="P66" t="str">
        <f>IF(COUNTA(J66:L66)=0,"Belum diisi",IF(COUNTIF(M66:O66,"OK")=3,"BENAR","PERIKSA"))</f>
        <v>Belum diisi</v>
      </c>
    </row>
    <row r="67" spans="1:16" x14ac:dyDescent="0.3">
      <c r="H67">
        <v>21</v>
      </c>
      <c r="I67">
        <v>46418</v>
      </c>
      <c r="M67" t="str">
        <f>IF(J67="","",IF(J67=Kunci_Penyesuaian!$D$47,"OK","SALAH"))</f>
        <v/>
      </c>
      <c r="N67" t="str">
        <f>IF(J67="","",IF(ABS(K67-Kunci_Penyesuaian!$E$47)&lt;0.01,"OK","SALAH"))</f>
        <v/>
      </c>
      <c r="O67" t="str">
        <f>IF(J67="","",IF(ABS(L67-Kunci_Penyesuaian!$F$47)&lt;0.01,"OK","SALAH"))</f>
        <v/>
      </c>
      <c r="P67" t="str">
        <f>IF(COUNTA(J67:L67)=0,"Belum diisi",IF(COUNTIF(M67:O67,"OK")=3,"BENAR","PERIKSA"))</f>
        <v>Belum diisi</v>
      </c>
    </row>
    <row r="69" spans="1:16" ht="28.8" x14ac:dyDescent="0.3">
      <c r="A69">
        <v>22</v>
      </c>
      <c r="B69">
        <v>46418</v>
      </c>
      <c r="C69" t="s">
        <v>1121</v>
      </c>
      <c r="D69" s="1" t="s">
        <v>1122</v>
      </c>
      <c r="F69">
        <v>800000</v>
      </c>
      <c r="G69" t="s">
        <v>1123</v>
      </c>
      <c r="H69">
        <v>22</v>
      </c>
      <c r="I69">
        <v>46418</v>
      </c>
      <c r="M69" t="str">
        <f>IF(J69="","",IF(J69=Kunci_Penyesuaian!$D$48,"OK","SALAH"))</f>
        <v/>
      </c>
      <c r="N69" t="str">
        <f>IF(J69="","",IF(ABS(K69-Kunci_Penyesuaian!$E$48)&lt;0.01,"OK","SALAH"))</f>
        <v/>
      </c>
      <c r="O69" t="str">
        <f>IF(J69="","",IF(ABS(L69-Kunci_Penyesuaian!$F$48)&lt;0.01,"OK","SALAH"))</f>
        <v/>
      </c>
      <c r="P69" t="str">
        <f>IF(COUNTA(J69:L69)=0,"Belum diisi",IF(COUNTIF(M69:O69,"OK")=3,"BENAR","PERIKSA"))</f>
        <v>Belum diisi</v>
      </c>
    </row>
    <row r="70" spans="1:16" x14ac:dyDescent="0.3">
      <c r="H70">
        <v>22</v>
      </c>
      <c r="I70">
        <v>46418</v>
      </c>
      <c r="M70" t="str">
        <f>IF(J70="","",IF(J70=Kunci_Penyesuaian!$D$49,"OK","SALAH"))</f>
        <v/>
      </c>
      <c r="N70" t="str">
        <f>IF(J70="","",IF(ABS(K70-Kunci_Penyesuaian!$E$49)&lt;0.01,"OK","SALAH"))</f>
        <v/>
      </c>
      <c r="O70" t="str">
        <f>IF(J70="","",IF(ABS(L70-Kunci_Penyesuaian!$F$49)&lt;0.01,"OK","SALAH"))</f>
        <v/>
      </c>
      <c r="P70" t="str">
        <f>IF(COUNTA(J70:L70)=0,"Belum diisi",IF(COUNTIF(M70:O70,"OK")=3,"BENAR","PERIKSA"))</f>
        <v>Belum diisi</v>
      </c>
    </row>
    <row r="72" spans="1:16" ht="28.8" x14ac:dyDescent="0.3">
      <c r="A72">
        <v>23</v>
      </c>
      <c r="B72">
        <v>46418</v>
      </c>
      <c r="C72" t="s">
        <v>1124</v>
      </c>
      <c r="D72" s="1" t="s">
        <v>1125</v>
      </c>
      <c r="F72">
        <v>700000</v>
      </c>
      <c r="G72" t="s">
        <v>1126</v>
      </c>
      <c r="H72">
        <v>23</v>
      </c>
      <c r="I72">
        <v>46418</v>
      </c>
      <c r="M72" t="str">
        <f>IF(J72="","",IF(J72=Kunci_Penyesuaian!$D$50,"OK","SALAH"))</f>
        <v/>
      </c>
      <c r="N72" t="str">
        <f>IF(J72="","",IF(ABS(K72-Kunci_Penyesuaian!$E$50)&lt;0.01,"OK","SALAH"))</f>
        <v/>
      </c>
      <c r="O72" t="str">
        <f>IF(J72="","",IF(ABS(L72-Kunci_Penyesuaian!$F$50)&lt;0.01,"OK","SALAH"))</f>
        <v/>
      </c>
      <c r="P72" t="str">
        <f>IF(COUNTA(J72:L72)=0,"Belum diisi",IF(COUNTIF(M72:O72,"OK")=3,"BENAR","PERIKSA"))</f>
        <v>Belum diisi</v>
      </c>
    </row>
    <row r="73" spans="1:16" x14ac:dyDescent="0.3">
      <c r="H73">
        <v>23</v>
      </c>
      <c r="I73">
        <v>46418</v>
      </c>
      <c r="M73" t="str">
        <f>IF(J73="","",IF(J73=Kunci_Penyesuaian!$D$51,"OK","SALAH"))</f>
        <v/>
      </c>
      <c r="N73" t="str">
        <f>IF(J73="","",IF(ABS(K73-Kunci_Penyesuaian!$E$51)&lt;0.01,"OK","SALAH"))</f>
        <v/>
      </c>
      <c r="O73" t="str">
        <f>IF(J73="","",IF(ABS(L73-Kunci_Penyesuaian!$F$51)&lt;0.01,"OK","SALAH"))</f>
        <v/>
      </c>
      <c r="P73" t="str">
        <f>IF(COUNTA(J73:L73)=0,"Belum diisi",IF(COUNTIF(M73:O73,"OK")=3,"BENAR","PERIKSA"))</f>
        <v>Belum diisi</v>
      </c>
    </row>
    <row r="75" spans="1:16" ht="28.8" x14ac:dyDescent="0.3">
      <c r="A75">
        <v>24</v>
      </c>
      <c r="B75">
        <v>46418</v>
      </c>
      <c r="C75" t="s">
        <v>1127</v>
      </c>
      <c r="D75" s="1" t="s">
        <v>1128</v>
      </c>
      <c r="F75">
        <v>150000</v>
      </c>
      <c r="G75" t="s">
        <v>1129</v>
      </c>
      <c r="H75">
        <v>24</v>
      </c>
      <c r="I75">
        <v>46418</v>
      </c>
      <c r="M75" t="str">
        <f>IF(J75="","",IF(J75=Kunci_Penyesuaian!$D$52,"OK","SALAH"))</f>
        <v/>
      </c>
      <c r="N75" t="str">
        <f>IF(J75="","",IF(ABS(K75-Kunci_Penyesuaian!$E$52)&lt;0.01,"OK","SALAH"))</f>
        <v/>
      </c>
      <c r="O75" t="str">
        <f>IF(J75="","",IF(ABS(L75-Kunci_Penyesuaian!$F$52)&lt;0.01,"OK","SALAH"))</f>
        <v/>
      </c>
      <c r="P75" t="str">
        <f>IF(COUNTA(J75:L75)=0,"Belum diisi",IF(COUNTIF(M75:O75,"OK")=3,"BENAR","PERIKSA"))</f>
        <v>Belum diisi</v>
      </c>
    </row>
    <row r="76" spans="1:16" x14ac:dyDescent="0.3">
      <c r="H76">
        <v>24</v>
      </c>
      <c r="I76">
        <v>46418</v>
      </c>
      <c r="M76" t="str">
        <f>IF(J76="","",IF(J76=Kunci_Penyesuaian!$D$53,"OK","SALAH"))</f>
        <v/>
      </c>
      <c r="N76" t="str">
        <f>IF(J76="","",IF(ABS(K76-Kunci_Penyesuaian!$E$53)&lt;0.01,"OK","SALAH"))</f>
        <v/>
      </c>
      <c r="O76" t="str">
        <f>IF(J76="","",IF(ABS(L76-Kunci_Penyesuaian!$F$53)&lt;0.01,"OK","SALAH"))</f>
        <v/>
      </c>
      <c r="P76" t="str">
        <f>IF(COUNTA(J76:L76)=0,"Belum diisi",IF(COUNTIF(M76:O76,"OK")=3,"BENAR","PERIKSA"))</f>
        <v>Belum diisi</v>
      </c>
    </row>
    <row r="78" spans="1:16" ht="43.2" x14ac:dyDescent="0.3">
      <c r="A78">
        <v>25</v>
      </c>
      <c r="B78">
        <v>46418</v>
      </c>
      <c r="C78" t="s">
        <v>1130</v>
      </c>
      <c r="D78" s="1" t="s">
        <v>1131</v>
      </c>
      <c r="F78">
        <v>1000000</v>
      </c>
      <c r="G78" t="s">
        <v>1055</v>
      </c>
      <c r="H78">
        <v>25</v>
      </c>
      <c r="I78">
        <v>46418</v>
      </c>
      <c r="M78" t="str">
        <f>IF(J78="","",IF(J78=Kunci_Penyesuaian!$D$54,"OK","SALAH"))</f>
        <v/>
      </c>
      <c r="N78" t="str">
        <f>IF(J78="","",IF(ABS(K78-Kunci_Penyesuaian!$E$54)&lt;0.01,"OK","SALAH"))</f>
        <v/>
      </c>
      <c r="O78" t="str">
        <f>IF(J78="","",IF(ABS(L78-Kunci_Penyesuaian!$F$54)&lt;0.01,"OK","SALAH"))</f>
        <v/>
      </c>
      <c r="P78" t="str">
        <f>IF(COUNTA(J78:L78)=0,"Belum diisi",IF(COUNTIF(M78:O78,"OK")=3,"BENAR","PERIKSA"))</f>
        <v>Belum diisi</v>
      </c>
    </row>
    <row r="79" spans="1:16" x14ac:dyDescent="0.3">
      <c r="H79">
        <v>25</v>
      </c>
      <c r="I79">
        <v>46418</v>
      </c>
      <c r="M79" t="str">
        <f>IF(J79="","",IF(J79=Kunci_Penyesuaian!$D$55,"OK","SALAH"))</f>
        <v/>
      </c>
      <c r="N79" t="str">
        <f>IF(J79="","",IF(ABS(K79-Kunci_Penyesuaian!$E$55)&lt;0.01,"OK","SALAH"))</f>
        <v/>
      </c>
      <c r="O79" t="str">
        <f>IF(J79="","",IF(ABS(L79-Kunci_Penyesuaian!$F$55)&lt;0.01,"OK","SALAH"))</f>
        <v/>
      </c>
      <c r="P79" t="str">
        <f>IF(COUNTA(J79:L79)=0,"Belum diisi",IF(COUNTIF(M79:O79,"OK")=3,"BENAR","PERIKSA"))</f>
        <v>Belum diisi</v>
      </c>
    </row>
    <row r="81" spans="1:16" ht="43.2" x14ac:dyDescent="0.3">
      <c r="A81">
        <v>26</v>
      </c>
      <c r="B81">
        <v>46418</v>
      </c>
      <c r="C81" t="s">
        <v>1132</v>
      </c>
      <c r="D81" s="1" t="s">
        <v>1133</v>
      </c>
      <c r="E81" s="1" t="s">
        <v>1134</v>
      </c>
      <c r="F81">
        <v>0</v>
      </c>
      <c r="G81" t="s">
        <v>1135</v>
      </c>
      <c r="H81">
        <v>26</v>
      </c>
      <c r="I81">
        <v>46418</v>
      </c>
      <c r="M81" t="str">
        <f>IF(J81="","",IF(J81=Kunci_Penyesuaian!$D$56,"OK","SALAH"))</f>
        <v/>
      </c>
      <c r="N81" t="str">
        <f>IF(J81="","",IF(ABS(K81-Kunci_Penyesuaian!$E$56)&lt;0.01,"OK","SALAH"))</f>
        <v/>
      </c>
      <c r="O81" t="str">
        <f>IF(J81="","",IF(ABS(L81-Kunci_Penyesuaian!$F$56)&lt;0.01,"OK","SALAH"))</f>
        <v/>
      </c>
      <c r="P81" t="str">
        <f>IF(COUNTA(J81:L81)=0,"Belum diisi",IF(COUNTIF(M81:O81,"OK")=3,"BENAR","PERIKSA"))</f>
        <v>Belum diisi</v>
      </c>
    </row>
    <row r="83" spans="1:16" ht="28.8" x14ac:dyDescent="0.3">
      <c r="A83">
        <v>27</v>
      </c>
      <c r="B83">
        <v>46418</v>
      </c>
      <c r="C83" t="s">
        <v>1136</v>
      </c>
      <c r="D83" s="1" t="s">
        <v>1137</v>
      </c>
      <c r="F83">
        <v>4500000</v>
      </c>
      <c r="G83" t="s">
        <v>1087</v>
      </c>
      <c r="H83">
        <v>27</v>
      </c>
      <c r="I83">
        <v>46418</v>
      </c>
      <c r="M83" t="str">
        <f>IF(J83="","",IF(J83=Kunci_Penyesuaian!$D$57,"OK","SALAH"))</f>
        <v/>
      </c>
      <c r="N83" t="str">
        <f>IF(J83="","",IF(ABS(K83-Kunci_Penyesuaian!$E$57)&lt;0.01,"OK","SALAH"))</f>
        <v/>
      </c>
      <c r="O83" t="str">
        <f>IF(J83="","",IF(ABS(L83-Kunci_Penyesuaian!$F$57)&lt;0.01,"OK","SALAH"))</f>
        <v/>
      </c>
      <c r="P83" t="str">
        <f>IF(COUNTA(J83:L83)=0,"Belum diisi",IF(COUNTIF(M83:O83,"OK")=3,"BENAR","PERIKSA"))</f>
        <v>Belum diisi</v>
      </c>
    </row>
    <row r="84" spans="1:16" x14ac:dyDescent="0.3">
      <c r="H84">
        <v>27</v>
      </c>
      <c r="I84">
        <v>46418</v>
      </c>
      <c r="M84" t="str">
        <f>IF(J84="","",IF(J84=Kunci_Penyesuaian!$D$58,"OK","SALAH"))</f>
        <v/>
      </c>
      <c r="N84" t="str">
        <f>IF(J84="","",IF(ABS(K84-Kunci_Penyesuaian!$E$58)&lt;0.01,"OK","SALAH"))</f>
        <v/>
      </c>
      <c r="O84" t="str">
        <f>IF(J84="","",IF(ABS(L84-Kunci_Penyesuaian!$F$58)&lt;0.01,"OK","SALAH"))</f>
        <v/>
      </c>
      <c r="P84" t="str">
        <f>IF(COUNTA(J84:L84)=0,"Belum diisi",IF(COUNTIF(M84:O84,"OK")=3,"BENAR","PERIKSA"))</f>
        <v>Belum diisi</v>
      </c>
    </row>
    <row r="86" spans="1:16" ht="28.8" x14ac:dyDescent="0.3">
      <c r="A86">
        <v>28</v>
      </c>
      <c r="B86">
        <v>46418</v>
      </c>
      <c r="C86" t="s">
        <v>1138</v>
      </c>
      <c r="D86" s="1" t="s">
        <v>1139</v>
      </c>
      <c r="F86">
        <v>7500000</v>
      </c>
      <c r="G86" t="s">
        <v>1140</v>
      </c>
      <c r="H86">
        <v>28</v>
      </c>
      <c r="I86">
        <v>46418</v>
      </c>
      <c r="M86" t="str">
        <f>IF(J86="","",IF(J86=Kunci_Penyesuaian!$D$59,"OK","SALAH"))</f>
        <v/>
      </c>
      <c r="N86" t="str">
        <f>IF(J86="","",IF(ABS(K86-Kunci_Penyesuaian!$E$59)&lt;0.01,"OK","SALAH"))</f>
        <v/>
      </c>
      <c r="O86" t="str">
        <f>IF(J86="","",IF(ABS(L86-Kunci_Penyesuaian!$F$59)&lt;0.01,"OK","SALAH"))</f>
        <v/>
      </c>
      <c r="P86" t="str">
        <f>IF(COUNTA(J86:L86)=0,"Belum diisi",IF(COUNTIF(M86:O86,"OK")=3,"BENAR","PERIKSA"))</f>
        <v>Belum diisi</v>
      </c>
    </row>
    <row r="87" spans="1:16" x14ac:dyDescent="0.3">
      <c r="H87">
        <v>28</v>
      </c>
      <c r="I87">
        <v>46418</v>
      </c>
      <c r="M87" t="str">
        <f>IF(J87="","",IF(J87=Kunci_Penyesuaian!$D$60,"OK","SALAH"))</f>
        <v/>
      </c>
      <c r="N87" t="str">
        <f>IF(J87="","",IF(ABS(K87-Kunci_Penyesuaian!$E$60)&lt;0.01,"OK","SALAH"))</f>
        <v/>
      </c>
      <c r="O87" t="str">
        <f>IF(J87="","",IF(ABS(L87-Kunci_Penyesuaian!$F$60)&lt;0.01,"OK","SALAH"))</f>
        <v/>
      </c>
      <c r="P87" t="str">
        <f>IF(COUNTA(J87:L87)=0,"Belum diisi",IF(COUNTIF(M87:O87,"OK")=3,"BENAR","PERIKSA"))</f>
        <v>Belum diisi</v>
      </c>
    </row>
    <row r="89" spans="1:16" ht="57.6" x14ac:dyDescent="0.3">
      <c r="A89">
        <v>29</v>
      </c>
      <c r="B89">
        <v>46418</v>
      </c>
      <c r="C89" t="s">
        <v>1141</v>
      </c>
      <c r="D89" s="1" t="s">
        <v>1142</v>
      </c>
      <c r="E89" s="1" t="s">
        <v>1143</v>
      </c>
      <c r="F89">
        <v>3500000</v>
      </c>
      <c r="G89" t="s">
        <v>1144</v>
      </c>
      <c r="H89">
        <v>29</v>
      </c>
      <c r="I89">
        <v>46418</v>
      </c>
      <c r="M89" t="str">
        <f>IF(J89="","",IF(J89=Kunci_Penyesuaian!$D$61,"OK","SALAH"))</f>
        <v/>
      </c>
      <c r="N89" t="str">
        <f>IF(J89="","",IF(ABS(K89-Kunci_Penyesuaian!$E$61)&lt;0.01,"OK","SALAH"))</f>
        <v/>
      </c>
      <c r="O89" t="str">
        <f>IF(J89="","",IF(ABS(L89-Kunci_Penyesuaian!$F$61)&lt;0.01,"OK","SALAH"))</f>
        <v/>
      </c>
      <c r="P89" t="str">
        <f>IF(COUNTA(J89:L89)=0,"Belum diisi",IF(COUNTIF(M89:O89,"OK")=3,"BENAR","PERIKSA"))</f>
        <v>Belum diisi</v>
      </c>
    </row>
    <row r="90" spans="1:16" x14ac:dyDescent="0.3">
      <c r="H90">
        <v>29</v>
      </c>
      <c r="I90">
        <v>46418</v>
      </c>
      <c r="M90" t="str">
        <f>IF(J90="","",IF(J90=Kunci_Penyesuaian!$D$62,"OK","SALAH"))</f>
        <v/>
      </c>
      <c r="N90" t="str">
        <f>IF(J90="","",IF(ABS(K90-Kunci_Penyesuaian!$E$62)&lt;0.01,"OK","SALAH"))</f>
        <v/>
      </c>
      <c r="O90" t="str">
        <f>IF(J90="","",IF(ABS(L90-Kunci_Penyesuaian!$F$62)&lt;0.01,"OK","SALAH"))</f>
        <v/>
      </c>
      <c r="P90" t="str">
        <f>IF(COUNTA(J90:L90)=0,"Belum diisi",IF(COUNTIF(M90:O90,"OK")=3,"BENAR","PERIKSA"))</f>
        <v>Belum diisi</v>
      </c>
    </row>
    <row r="91" spans="1:16" x14ac:dyDescent="0.3">
      <c r="H91">
        <v>29</v>
      </c>
      <c r="I91">
        <v>46418</v>
      </c>
      <c r="M91" t="str">
        <f>IF(J91="","",IF(J91=Kunci_Penyesuaian!$D$63,"OK","SALAH"))</f>
        <v/>
      </c>
      <c r="N91" t="str">
        <f>IF(J91="","",IF(ABS(K91-Kunci_Penyesuaian!$E$63)&lt;0.01,"OK","SALAH"))</f>
        <v/>
      </c>
      <c r="O91" t="str">
        <f>IF(J91="","",IF(ABS(L91-Kunci_Penyesuaian!$F$63)&lt;0.01,"OK","SALAH"))</f>
        <v/>
      </c>
      <c r="P91" t="str">
        <f>IF(COUNTA(J91:L91)=0,"Belum diisi",IF(COUNTIF(M91:O91,"OK")=3,"BENAR","PERIKSA"))</f>
        <v>Belum diisi</v>
      </c>
    </row>
    <row r="93" spans="1:16" ht="43.2" x14ac:dyDescent="0.3">
      <c r="A93">
        <v>30</v>
      </c>
      <c r="B93">
        <v>46418</v>
      </c>
      <c r="C93" t="s">
        <v>1145</v>
      </c>
      <c r="D93" s="1" t="s">
        <v>1146</v>
      </c>
      <c r="E93" s="1" t="s">
        <v>1147</v>
      </c>
      <c r="F93">
        <v>8000000</v>
      </c>
      <c r="G93" t="s">
        <v>1148</v>
      </c>
      <c r="H93">
        <v>30</v>
      </c>
      <c r="I93">
        <v>46418</v>
      </c>
      <c r="M93" t="str">
        <f>IF(J93="","",IF(J93=Kunci_Penyesuaian!$D$64,"OK","SALAH"))</f>
        <v/>
      </c>
      <c r="N93" t="str">
        <f>IF(J93="","",IF(ABS(K93-Kunci_Penyesuaian!$E$64)&lt;0.01,"OK","SALAH"))</f>
        <v/>
      </c>
      <c r="O93" t="str">
        <f>IF(J93="","",IF(ABS(L93-Kunci_Penyesuaian!$F$64)&lt;0.01,"OK","SALAH"))</f>
        <v/>
      </c>
      <c r="P93" t="str">
        <f>IF(COUNTA(J93:L93)=0,"Belum diisi",IF(COUNTIF(M93:O93,"OK")=3,"BENAR","PERIKSA"))</f>
        <v>Belum diisi</v>
      </c>
    </row>
    <row r="94" spans="1:16" x14ac:dyDescent="0.3">
      <c r="H94">
        <v>30</v>
      </c>
      <c r="I94">
        <v>46418</v>
      </c>
      <c r="M94" t="str">
        <f>IF(J94="","",IF(J94=Kunci_Penyesuaian!$D$65,"OK","SALAH"))</f>
        <v/>
      </c>
      <c r="N94" t="str">
        <f>IF(J94="","",IF(ABS(K94-Kunci_Penyesuaian!$E$65)&lt;0.01,"OK","SALAH"))</f>
        <v/>
      </c>
      <c r="O94" t="str">
        <f>IF(J94="","",IF(ABS(L94-Kunci_Penyesuaian!$F$65)&lt;0.01,"OK","SALAH"))</f>
        <v/>
      </c>
      <c r="P94" t="str">
        <f>IF(COUNTA(J94:L94)=0,"Belum diisi",IF(COUNTIF(M94:O94,"OK")=3,"BENAR","PERIKSA"))</f>
        <v>Belum diisi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topLeftCell="D1" workbookViewId="0">
      <selection activeCell="G18" sqref="G18"/>
    </sheetView>
  </sheetViews>
  <sheetFormatPr defaultRowHeight="14.4" x14ac:dyDescent="0.3"/>
  <cols>
    <col min="1" max="1" width="6.77734375" bestFit="1" customWidth="1"/>
    <col min="2" max="2" width="10.33203125" bestFit="1" customWidth="1"/>
    <col min="3" max="3" width="57.21875" bestFit="1" customWidth="1"/>
    <col min="4" max="4" width="33.77734375" bestFit="1" customWidth="1"/>
    <col min="5" max="6" width="14" bestFit="1" customWidth="1"/>
    <col min="7" max="7" width="121.44140625" bestFit="1" customWidth="1"/>
    <col min="8" max="8" width="11.5546875" bestFit="1" customWidth="1"/>
    <col min="9" max="9" width="62.5546875" bestFit="1" customWidth="1"/>
  </cols>
  <sheetData>
    <row r="1" spans="1:9" x14ac:dyDescent="0.3">
      <c r="A1" t="s">
        <v>1149</v>
      </c>
    </row>
    <row r="2" spans="1:9" x14ac:dyDescent="0.3">
      <c r="A2" t="s">
        <v>1150</v>
      </c>
    </row>
    <row r="3" spans="1:9" x14ac:dyDescent="0.3">
      <c r="A3" s="2" t="s">
        <v>453</v>
      </c>
      <c r="B3" s="2" t="s">
        <v>454</v>
      </c>
      <c r="C3" s="2" t="s">
        <v>455</v>
      </c>
      <c r="D3" s="2" t="s">
        <v>773</v>
      </c>
      <c r="E3" s="2" t="s">
        <v>774</v>
      </c>
      <c r="F3" s="2" t="s">
        <v>775</v>
      </c>
      <c r="G3" s="2" t="s">
        <v>1151</v>
      </c>
      <c r="H3" s="2" t="s">
        <v>777</v>
      </c>
      <c r="I3" s="2" t="s">
        <v>84</v>
      </c>
    </row>
    <row r="4" spans="1:9" x14ac:dyDescent="0.3">
      <c r="A4" s="2">
        <v>1</v>
      </c>
      <c r="B4" s="2">
        <v>46418</v>
      </c>
      <c r="C4" s="2" t="s">
        <v>1152</v>
      </c>
      <c r="D4" s="2" t="s">
        <v>283</v>
      </c>
      <c r="E4" s="2">
        <v>1200000</v>
      </c>
      <c r="F4" s="2">
        <v>0</v>
      </c>
      <c r="G4" s="2"/>
      <c r="H4" s="2" t="s">
        <v>1153</v>
      </c>
      <c r="I4" s="2" t="s">
        <v>1154</v>
      </c>
    </row>
    <row r="5" spans="1:9" x14ac:dyDescent="0.3">
      <c r="A5" s="2">
        <v>1</v>
      </c>
      <c r="B5" s="2">
        <v>46418</v>
      </c>
      <c r="C5" s="2" t="s">
        <v>1152</v>
      </c>
      <c r="D5" s="2" t="s">
        <v>169</v>
      </c>
      <c r="E5" s="2">
        <v>0</v>
      </c>
      <c r="F5" s="2">
        <v>1200000</v>
      </c>
      <c r="G5" s="2"/>
      <c r="H5" s="2" t="s">
        <v>1153</v>
      </c>
      <c r="I5" s="2" t="s">
        <v>1154</v>
      </c>
    </row>
    <row r="6" spans="1:9" x14ac:dyDescent="0.3">
      <c r="A6" s="2">
        <v>2</v>
      </c>
      <c r="B6" s="2">
        <v>46418</v>
      </c>
      <c r="C6" s="2" t="s">
        <v>1155</v>
      </c>
      <c r="D6" s="2" t="s">
        <v>279</v>
      </c>
      <c r="E6" s="2">
        <v>6000000</v>
      </c>
      <c r="F6" s="2">
        <v>0</v>
      </c>
      <c r="G6" s="2"/>
      <c r="H6" s="2" t="s">
        <v>1153</v>
      </c>
      <c r="I6" s="2" t="s">
        <v>1156</v>
      </c>
    </row>
    <row r="7" spans="1:9" x14ac:dyDescent="0.3">
      <c r="A7" s="2">
        <v>2</v>
      </c>
      <c r="B7" s="2">
        <v>46418</v>
      </c>
      <c r="C7" s="2" t="s">
        <v>1155</v>
      </c>
      <c r="D7" s="2" t="s">
        <v>163</v>
      </c>
      <c r="E7" s="2">
        <v>0</v>
      </c>
      <c r="F7" s="2">
        <v>6000000</v>
      </c>
      <c r="G7" s="2"/>
      <c r="H7" s="2" t="s">
        <v>1153</v>
      </c>
      <c r="I7" s="2" t="s">
        <v>1156</v>
      </c>
    </row>
    <row r="8" spans="1:9" x14ac:dyDescent="0.3">
      <c r="A8" s="2">
        <v>3</v>
      </c>
      <c r="B8" s="2">
        <v>46418</v>
      </c>
      <c r="C8" s="2" t="s">
        <v>1157</v>
      </c>
      <c r="D8" s="2" t="s">
        <v>281</v>
      </c>
      <c r="E8" s="2">
        <v>1500000</v>
      </c>
      <c r="F8" s="2">
        <v>0</v>
      </c>
      <c r="G8" s="2" t="s">
        <v>1061</v>
      </c>
      <c r="H8" s="2" t="s">
        <v>1153</v>
      </c>
      <c r="I8" s="2"/>
    </row>
    <row r="9" spans="1:9" x14ac:dyDescent="0.3">
      <c r="A9" s="2">
        <v>3</v>
      </c>
      <c r="B9" s="2">
        <v>46418</v>
      </c>
      <c r="C9" s="2" t="s">
        <v>1157</v>
      </c>
      <c r="D9" s="2" t="s">
        <v>165</v>
      </c>
      <c r="E9" s="2">
        <v>0</v>
      </c>
      <c r="F9" s="2">
        <v>1500000</v>
      </c>
      <c r="G9" s="2" t="s">
        <v>1061</v>
      </c>
      <c r="H9" s="2" t="s">
        <v>1153</v>
      </c>
      <c r="I9" s="2"/>
    </row>
    <row r="10" spans="1:9" x14ac:dyDescent="0.3">
      <c r="A10" s="2">
        <v>4</v>
      </c>
      <c r="B10" s="2">
        <v>46418</v>
      </c>
      <c r="C10" s="2" t="s">
        <v>1158</v>
      </c>
      <c r="D10" s="2" t="s">
        <v>285</v>
      </c>
      <c r="E10" s="2">
        <v>1000000</v>
      </c>
      <c r="F10" s="2">
        <v>0</v>
      </c>
      <c r="G10" s="2"/>
      <c r="H10" s="2" t="s">
        <v>1153</v>
      </c>
      <c r="I10" s="2"/>
    </row>
    <row r="11" spans="1:9" x14ac:dyDescent="0.3">
      <c r="A11" s="2">
        <v>4</v>
      </c>
      <c r="B11" s="2">
        <v>46418</v>
      </c>
      <c r="C11" s="2" t="s">
        <v>1158</v>
      </c>
      <c r="D11" s="2" t="s">
        <v>167</v>
      </c>
      <c r="E11" s="2">
        <v>0</v>
      </c>
      <c r="F11" s="2">
        <v>1000000</v>
      </c>
      <c r="G11" s="2"/>
      <c r="H11" s="2" t="s">
        <v>1153</v>
      </c>
      <c r="I11" s="2"/>
    </row>
    <row r="12" spans="1:9" x14ac:dyDescent="0.3">
      <c r="A12" s="2">
        <v>5</v>
      </c>
      <c r="B12" s="2">
        <v>46418</v>
      </c>
      <c r="C12" s="2" t="s">
        <v>1159</v>
      </c>
      <c r="D12" s="2" t="s">
        <v>287</v>
      </c>
      <c r="E12" s="2">
        <v>400000</v>
      </c>
      <c r="F12" s="2">
        <v>0</v>
      </c>
      <c r="G12" s="2" t="s">
        <v>1068</v>
      </c>
      <c r="H12" s="2" t="s">
        <v>1153</v>
      </c>
      <c r="I12" s="2"/>
    </row>
    <row r="13" spans="1:9" x14ac:dyDescent="0.3">
      <c r="A13" s="2">
        <v>5</v>
      </c>
      <c r="B13" s="2">
        <v>46418</v>
      </c>
      <c r="C13" s="2" t="s">
        <v>1159</v>
      </c>
      <c r="D13" s="2" t="s">
        <v>173</v>
      </c>
      <c r="E13" s="2">
        <v>0</v>
      </c>
      <c r="F13" s="2">
        <v>400000</v>
      </c>
      <c r="G13" s="2" t="s">
        <v>1068</v>
      </c>
      <c r="H13" s="2" t="s">
        <v>1153</v>
      </c>
      <c r="I13" s="2"/>
    </row>
    <row r="14" spans="1:9" x14ac:dyDescent="0.3">
      <c r="A14" s="2">
        <v>6</v>
      </c>
      <c r="B14" s="2">
        <v>46418</v>
      </c>
      <c r="C14" s="2" t="s">
        <v>1160</v>
      </c>
      <c r="D14" s="2" t="s">
        <v>289</v>
      </c>
      <c r="E14" s="2">
        <v>1250000</v>
      </c>
      <c r="F14" s="2">
        <v>0</v>
      </c>
      <c r="G14" s="2" t="s">
        <v>1072</v>
      </c>
      <c r="H14" s="2" t="s">
        <v>1153</v>
      </c>
      <c r="I14" s="2"/>
    </row>
    <row r="15" spans="1:9" x14ac:dyDescent="0.3">
      <c r="A15" s="2">
        <v>6</v>
      </c>
      <c r="B15" s="2">
        <v>46418</v>
      </c>
      <c r="C15" s="2" t="s">
        <v>1160</v>
      </c>
      <c r="D15" s="2" t="s">
        <v>186</v>
      </c>
      <c r="E15" s="2">
        <v>0</v>
      </c>
      <c r="F15" s="2">
        <v>1250000</v>
      </c>
      <c r="G15" s="2" t="s">
        <v>1072</v>
      </c>
      <c r="H15" s="2" t="s">
        <v>1153</v>
      </c>
      <c r="I15" s="2"/>
    </row>
    <row r="16" spans="1:9" x14ac:dyDescent="0.3">
      <c r="A16" s="2">
        <v>7</v>
      </c>
      <c r="B16" s="2">
        <v>46418</v>
      </c>
      <c r="C16" s="2" t="s">
        <v>1161</v>
      </c>
      <c r="D16" s="2" t="s">
        <v>291</v>
      </c>
      <c r="E16" s="2">
        <v>333333.33</v>
      </c>
      <c r="F16" s="2">
        <v>0</v>
      </c>
      <c r="G16" s="2" t="s">
        <v>1076</v>
      </c>
      <c r="H16" s="2" t="s">
        <v>1153</v>
      </c>
      <c r="I16" s="2"/>
    </row>
    <row r="17" spans="1:9" x14ac:dyDescent="0.3">
      <c r="A17" s="2">
        <v>7</v>
      </c>
      <c r="B17" s="2">
        <v>46418</v>
      </c>
      <c r="C17" s="2" t="s">
        <v>1161</v>
      </c>
      <c r="D17" s="2" t="s">
        <v>191</v>
      </c>
      <c r="E17" s="2">
        <v>0</v>
      </c>
      <c r="F17" s="2">
        <v>333333.33</v>
      </c>
      <c r="G17" s="2" t="s">
        <v>1076</v>
      </c>
      <c r="H17" s="2" t="s">
        <v>1153</v>
      </c>
      <c r="I17" s="2"/>
    </row>
    <row r="18" spans="1:9" x14ac:dyDescent="0.3">
      <c r="A18" s="2">
        <v>8</v>
      </c>
      <c r="B18" s="2">
        <v>46418</v>
      </c>
      <c r="C18" s="2" t="s">
        <v>1162</v>
      </c>
      <c r="D18" s="2" t="s">
        <v>293</v>
      </c>
      <c r="E18" s="2">
        <v>4166666.67</v>
      </c>
      <c r="F18" s="2">
        <v>0</v>
      </c>
      <c r="G18" s="2" t="s">
        <v>1080</v>
      </c>
      <c r="H18" s="2" t="s">
        <v>1153</v>
      </c>
      <c r="I18" s="2"/>
    </row>
    <row r="19" spans="1:9" x14ac:dyDescent="0.3">
      <c r="A19" s="2">
        <v>8</v>
      </c>
      <c r="B19" s="2">
        <v>46418</v>
      </c>
      <c r="C19" s="2" t="s">
        <v>1162</v>
      </c>
      <c r="D19" s="2" t="s">
        <v>193</v>
      </c>
      <c r="E19" s="2">
        <v>0</v>
      </c>
      <c r="F19" s="2">
        <v>4166666.67</v>
      </c>
      <c r="G19" s="2" t="s">
        <v>1080</v>
      </c>
      <c r="H19" s="2" t="s">
        <v>1153</v>
      </c>
      <c r="I19" s="2"/>
    </row>
    <row r="20" spans="1:9" x14ac:dyDescent="0.3">
      <c r="A20" s="2">
        <v>9</v>
      </c>
      <c r="B20" s="2">
        <v>46418</v>
      </c>
      <c r="C20" s="2" t="s">
        <v>1163</v>
      </c>
      <c r="D20" s="2" t="s">
        <v>273</v>
      </c>
      <c r="E20" s="2">
        <v>5000000</v>
      </c>
      <c r="F20" s="2">
        <v>0</v>
      </c>
      <c r="G20" s="2"/>
      <c r="H20" s="2" t="s">
        <v>1153</v>
      </c>
      <c r="I20" s="2"/>
    </row>
    <row r="21" spans="1:9" x14ac:dyDescent="0.3">
      <c r="A21" s="2">
        <v>9</v>
      </c>
      <c r="B21" s="2">
        <v>46418</v>
      </c>
      <c r="C21" s="2" t="s">
        <v>1163</v>
      </c>
      <c r="D21" s="2" t="s">
        <v>201</v>
      </c>
      <c r="E21" s="2">
        <v>0</v>
      </c>
      <c r="F21" s="2">
        <v>5000000</v>
      </c>
      <c r="G21" s="2"/>
      <c r="H21" s="2" t="s">
        <v>1153</v>
      </c>
      <c r="I21" s="2"/>
    </row>
    <row r="22" spans="1:9" x14ac:dyDescent="0.3">
      <c r="A22" s="2">
        <v>10</v>
      </c>
      <c r="B22" s="2">
        <v>46418</v>
      </c>
      <c r="C22" s="2" t="s">
        <v>1164</v>
      </c>
      <c r="D22" s="2" t="s">
        <v>309</v>
      </c>
      <c r="E22" s="2">
        <v>3000000</v>
      </c>
      <c r="F22" s="2">
        <v>0</v>
      </c>
      <c r="G22" s="2"/>
      <c r="H22" s="2" t="s">
        <v>1153</v>
      </c>
      <c r="I22" s="2"/>
    </row>
    <row r="23" spans="1:9" x14ac:dyDescent="0.3">
      <c r="A23" s="2">
        <v>10</v>
      </c>
      <c r="B23" s="2">
        <v>46418</v>
      </c>
      <c r="C23" s="2" t="s">
        <v>1164</v>
      </c>
      <c r="D23" s="2" t="s">
        <v>203</v>
      </c>
      <c r="E23" s="2">
        <v>0</v>
      </c>
      <c r="F23" s="2">
        <v>3000000</v>
      </c>
      <c r="G23" s="2"/>
      <c r="H23" s="2" t="s">
        <v>1153</v>
      </c>
      <c r="I23" s="2"/>
    </row>
    <row r="24" spans="1:9" x14ac:dyDescent="0.3">
      <c r="A24" s="2">
        <v>11</v>
      </c>
      <c r="B24" s="2">
        <v>46418</v>
      </c>
      <c r="C24" s="2" t="s">
        <v>1165</v>
      </c>
      <c r="D24" s="2" t="s">
        <v>305</v>
      </c>
      <c r="E24" s="2">
        <v>1200000</v>
      </c>
      <c r="F24" s="2">
        <v>0</v>
      </c>
      <c r="G24" s="2"/>
      <c r="H24" s="2" t="s">
        <v>1153</v>
      </c>
      <c r="I24" s="2"/>
    </row>
    <row r="25" spans="1:9" x14ac:dyDescent="0.3">
      <c r="A25" s="2">
        <v>11</v>
      </c>
      <c r="B25" s="2">
        <v>46418</v>
      </c>
      <c r="C25" s="2" t="s">
        <v>1165</v>
      </c>
      <c r="D25" s="2" t="s">
        <v>205</v>
      </c>
      <c r="E25" s="2">
        <v>0</v>
      </c>
      <c r="F25" s="2">
        <v>1200000</v>
      </c>
      <c r="G25" s="2"/>
      <c r="H25" s="2" t="s">
        <v>1153</v>
      </c>
      <c r="I25" s="2"/>
    </row>
    <row r="26" spans="1:9" x14ac:dyDescent="0.3">
      <c r="A26" s="2">
        <v>12</v>
      </c>
      <c r="B26" s="2">
        <v>46418</v>
      </c>
      <c r="C26" s="2" t="s">
        <v>1166</v>
      </c>
      <c r="D26" s="2" t="s">
        <v>295</v>
      </c>
      <c r="E26" s="2">
        <v>1800000</v>
      </c>
      <c r="F26" s="2">
        <v>0</v>
      </c>
      <c r="G26" s="2"/>
      <c r="H26" s="2" t="s">
        <v>1153</v>
      </c>
      <c r="I26" s="2"/>
    </row>
    <row r="27" spans="1:9" x14ac:dyDescent="0.3">
      <c r="A27" s="2">
        <v>12</v>
      </c>
      <c r="B27" s="2">
        <v>46418</v>
      </c>
      <c r="C27" s="2" t="s">
        <v>1166</v>
      </c>
      <c r="D27" s="2" t="s">
        <v>207</v>
      </c>
      <c r="E27" s="2">
        <v>0</v>
      </c>
      <c r="F27" s="2">
        <v>1800000</v>
      </c>
      <c r="G27" s="2"/>
      <c r="H27" s="2" t="s">
        <v>1153</v>
      </c>
      <c r="I27" s="2"/>
    </row>
    <row r="28" spans="1:9" x14ac:dyDescent="0.3">
      <c r="A28" s="2">
        <v>13</v>
      </c>
      <c r="B28" s="2">
        <v>46418</v>
      </c>
      <c r="C28" s="2" t="s">
        <v>1167</v>
      </c>
      <c r="D28" s="2" t="s">
        <v>299</v>
      </c>
      <c r="E28" s="2">
        <v>2500000</v>
      </c>
      <c r="F28" s="2">
        <v>0</v>
      </c>
      <c r="G28" s="2" t="s">
        <v>1096</v>
      </c>
      <c r="H28" s="2" t="s">
        <v>1168</v>
      </c>
      <c r="I28" s="2"/>
    </row>
    <row r="29" spans="1:9" x14ac:dyDescent="0.3">
      <c r="A29" s="2">
        <v>13</v>
      </c>
      <c r="B29" s="2">
        <v>46418</v>
      </c>
      <c r="C29" s="2" t="s">
        <v>1167</v>
      </c>
      <c r="D29" s="2" t="s">
        <v>217</v>
      </c>
      <c r="E29" s="2">
        <v>0</v>
      </c>
      <c r="F29" s="2">
        <v>50000</v>
      </c>
      <c r="G29" s="2" t="s">
        <v>1096</v>
      </c>
      <c r="H29" s="2" t="s">
        <v>1168</v>
      </c>
      <c r="I29" s="2"/>
    </row>
    <row r="30" spans="1:9" x14ac:dyDescent="0.3">
      <c r="A30" s="2">
        <v>13</v>
      </c>
      <c r="B30" s="2">
        <v>46418</v>
      </c>
      <c r="C30" s="2" t="s">
        <v>1167</v>
      </c>
      <c r="D30" s="2" t="s">
        <v>335</v>
      </c>
      <c r="E30" s="2">
        <v>0</v>
      </c>
      <c r="F30" s="2">
        <v>2450000</v>
      </c>
      <c r="G30" s="2" t="s">
        <v>1096</v>
      </c>
      <c r="H30" s="2" t="s">
        <v>1168</v>
      </c>
      <c r="I30" s="2"/>
    </row>
    <row r="31" spans="1:9" x14ac:dyDescent="0.3">
      <c r="A31" s="2">
        <v>14</v>
      </c>
      <c r="B31" s="2">
        <v>46418</v>
      </c>
      <c r="C31" s="2" t="s">
        <v>1169</v>
      </c>
      <c r="D31" s="2" t="s">
        <v>277</v>
      </c>
      <c r="E31" s="2">
        <v>1500000</v>
      </c>
      <c r="F31" s="2">
        <v>0</v>
      </c>
      <c r="G31" s="2"/>
      <c r="H31" s="2" t="s">
        <v>1168</v>
      </c>
      <c r="I31" s="2"/>
    </row>
    <row r="32" spans="1:9" x14ac:dyDescent="0.3">
      <c r="A32" s="2">
        <v>14</v>
      </c>
      <c r="B32" s="2">
        <v>46418</v>
      </c>
      <c r="C32" s="2" t="s">
        <v>1169</v>
      </c>
      <c r="D32" s="2" t="s">
        <v>209</v>
      </c>
      <c r="E32" s="2">
        <v>0</v>
      </c>
      <c r="F32" s="2">
        <v>1500000</v>
      </c>
      <c r="G32" s="2"/>
      <c r="H32" s="2" t="s">
        <v>1168</v>
      </c>
      <c r="I32" s="2"/>
    </row>
    <row r="33" spans="1:9" x14ac:dyDescent="0.3">
      <c r="A33" s="2">
        <v>15</v>
      </c>
      <c r="B33" s="2">
        <v>46418</v>
      </c>
      <c r="C33" s="2" t="s">
        <v>1170</v>
      </c>
      <c r="D33" s="2" t="s">
        <v>311</v>
      </c>
      <c r="E33" s="2">
        <v>4500000</v>
      </c>
      <c r="F33" s="2">
        <v>0</v>
      </c>
      <c r="G33" s="2" t="s">
        <v>1102</v>
      </c>
      <c r="H33" s="2" t="s">
        <v>1168</v>
      </c>
      <c r="I33" s="2"/>
    </row>
    <row r="34" spans="1:9" x14ac:dyDescent="0.3">
      <c r="A34" s="2">
        <v>15</v>
      </c>
      <c r="B34" s="2">
        <v>46418</v>
      </c>
      <c r="C34" s="2" t="s">
        <v>1170</v>
      </c>
      <c r="D34" s="2" t="s">
        <v>195</v>
      </c>
      <c r="E34" s="2">
        <v>0</v>
      </c>
      <c r="F34" s="2">
        <v>4500000</v>
      </c>
      <c r="G34" s="2" t="s">
        <v>1102</v>
      </c>
      <c r="H34" s="2" t="s">
        <v>1168</v>
      </c>
      <c r="I34" s="2"/>
    </row>
    <row r="35" spans="1:9" x14ac:dyDescent="0.3">
      <c r="A35" s="2">
        <v>16</v>
      </c>
      <c r="B35" s="2">
        <v>46418</v>
      </c>
      <c r="C35" s="2" t="s">
        <v>1171</v>
      </c>
      <c r="D35" s="2" t="s">
        <v>195</v>
      </c>
      <c r="E35" s="2">
        <v>2000000</v>
      </c>
      <c r="F35" s="2">
        <v>0</v>
      </c>
      <c r="G35" s="2"/>
      <c r="H35" s="2" t="s">
        <v>1168</v>
      </c>
      <c r="I35" s="2"/>
    </row>
    <row r="36" spans="1:9" x14ac:dyDescent="0.3">
      <c r="A36" s="2">
        <v>16</v>
      </c>
      <c r="B36" s="2">
        <v>46418</v>
      </c>
      <c r="C36" s="2" t="s">
        <v>1171</v>
      </c>
      <c r="D36" s="2" t="s">
        <v>145</v>
      </c>
      <c r="E36" s="2">
        <v>0</v>
      </c>
      <c r="F36" s="2">
        <v>2000000</v>
      </c>
      <c r="G36" s="2"/>
      <c r="H36" s="2" t="s">
        <v>1168</v>
      </c>
      <c r="I36" s="2"/>
    </row>
    <row r="37" spans="1:9" x14ac:dyDescent="0.3">
      <c r="A37" s="2">
        <v>17</v>
      </c>
      <c r="B37" s="2">
        <v>46418</v>
      </c>
      <c r="C37" s="2" t="s">
        <v>1172</v>
      </c>
      <c r="D37" s="2" t="s">
        <v>313</v>
      </c>
      <c r="E37" s="2">
        <v>2000000</v>
      </c>
      <c r="F37" s="2">
        <v>0</v>
      </c>
      <c r="G37" s="2"/>
      <c r="H37" s="2" t="s">
        <v>1168</v>
      </c>
      <c r="I37" s="2"/>
    </row>
    <row r="38" spans="1:9" x14ac:dyDescent="0.3">
      <c r="A38" s="2">
        <v>17</v>
      </c>
      <c r="B38" s="2">
        <v>46418</v>
      </c>
      <c r="C38" s="2" t="s">
        <v>1172</v>
      </c>
      <c r="D38" s="2" t="s">
        <v>153</v>
      </c>
      <c r="E38" s="2">
        <v>0</v>
      </c>
      <c r="F38" s="2">
        <v>2000000</v>
      </c>
      <c r="G38" s="2"/>
      <c r="H38" s="2" t="s">
        <v>1168</v>
      </c>
      <c r="I38" s="2"/>
    </row>
    <row r="39" spans="1:9" x14ac:dyDescent="0.3">
      <c r="A39" s="2">
        <v>18</v>
      </c>
      <c r="B39" s="2">
        <v>46418</v>
      </c>
      <c r="C39" s="2" t="s">
        <v>1173</v>
      </c>
      <c r="D39" s="2" t="s">
        <v>313</v>
      </c>
      <c r="E39" s="2">
        <v>1500000</v>
      </c>
      <c r="F39" s="2">
        <v>0</v>
      </c>
      <c r="G39" s="2"/>
      <c r="H39" s="2" t="s">
        <v>1168</v>
      </c>
      <c r="I39" s="2"/>
    </row>
    <row r="40" spans="1:9" x14ac:dyDescent="0.3">
      <c r="A40" s="2">
        <v>18</v>
      </c>
      <c r="B40" s="2">
        <v>46418</v>
      </c>
      <c r="C40" s="2" t="s">
        <v>1173</v>
      </c>
      <c r="D40" s="2" t="s">
        <v>153</v>
      </c>
      <c r="E40" s="2">
        <v>0</v>
      </c>
      <c r="F40" s="2">
        <v>1500000</v>
      </c>
      <c r="G40" s="2"/>
      <c r="H40" s="2" t="s">
        <v>1168</v>
      </c>
      <c r="I40" s="2"/>
    </row>
    <row r="41" spans="1:9" x14ac:dyDescent="0.3">
      <c r="A41" s="2">
        <v>19</v>
      </c>
      <c r="B41" s="2">
        <v>46418</v>
      </c>
      <c r="C41" s="2" t="s">
        <v>1174</v>
      </c>
      <c r="D41" s="2" t="s">
        <v>230</v>
      </c>
      <c r="E41" s="2">
        <v>4440000</v>
      </c>
      <c r="F41" s="2">
        <v>0</v>
      </c>
      <c r="G41" s="2" t="s">
        <v>1113</v>
      </c>
      <c r="H41" s="2" t="s">
        <v>1168</v>
      </c>
      <c r="I41" s="2"/>
    </row>
    <row r="42" spans="1:9" x14ac:dyDescent="0.3">
      <c r="A42" s="2">
        <v>19</v>
      </c>
      <c r="B42" s="2">
        <v>46418</v>
      </c>
      <c r="C42" s="2" t="s">
        <v>1174</v>
      </c>
      <c r="D42" s="2" t="s">
        <v>252</v>
      </c>
      <c r="E42" s="2">
        <v>0</v>
      </c>
      <c r="F42" s="2">
        <v>4000000</v>
      </c>
      <c r="G42" s="2" t="s">
        <v>1113</v>
      </c>
      <c r="H42" s="2" t="s">
        <v>1168</v>
      </c>
      <c r="I42" s="2"/>
    </row>
    <row r="43" spans="1:9" x14ac:dyDescent="0.3">
      <c r="A43" s="2">
        <v>19</v>
      </c>
      <c r="B43" s="2">
        <v>46418</v>
      </c>
      <c r="C43" s="2" t="s">
        <v>1174</v>
      </c>
      <c r="D43" s="2" t="s">
        <v>337</v>
      </c>
      <c r="E43" s="2">
        <v>0</v>
      </c>
      <c r="F43" s="2">
        <v>440000</v>
      </c>
      <c r="G43" s="2" t="s">
        <v>1113</v>
      </c>
      <c r="H43" s="2" t="s">
        <v>1168</v>
      </c>
      <c r="I43" s="2"/>
    </row>
    <row r="44" spans="1:9" x14ac:dyDescent="0.3">
      <c r="A44" s="2">
        <v>20</v>
      </c>
      <c r="B44" s="2">
        <v>46418</v>
      </c>
      <c r="C44" s="2" t="s">
        <v>1175</v>
      </c>
      <c r="D44" s="2" t="s">
        <v>16</v>
      </c>
      <c r="E44" s="2">
        <v>2400000</v>
      </c>
      <c r="F44" s="2">
        <v>0</v>
      </c>
      <c r="G44" s="2"/>
      <c r="H44" s="2" t="s">
        <v>1168</v>
      </c>
      <c r="I44" s="2"/>
    </row>
    <row r="45" spans="1:9" x14ac:dyDescent="0.3">
      <c r="A45" s="2">
        <v>20</v>
      </c>
      <c r="B45" s="2">
        <v>46418</v>
      </c>
      <c r="C45" s="2" t="s">
        <v>1175</v>
      </c>
      <c r="D45" s="2" t="s">
        <v>153</v>
      </c>
      <c r="E45" s="2">
        <v>0</v>
      </c>
      <c r="F45" s="2">
        <v>2400000</v>
      </c>
      <c r="G45" s="2"/>
      <c r="H45" s="2" t="s">
        <v>1168</v>
      </c>
      <c r="I45" s="2"/>
    </row>
    <row r="46" spans="1:9" x14ac:dyDescent="0.3">
      <c r="A46" s="2">
        <v>21</v>
      </c>
      <c r="B46" s="2">
        <v>46418</v>
      </c>
      <c r="C46" s="2" t="s">
        <v>1176</v>
      </c>
      <c r="D46" s="2" t="s">
        <v>307</v>
      </c>
      <c r="E46" s="2">
        <v>2000000</v>
      </c>
      <c r="F46" s="2">
        <v>0</v>
      </c>
      <c r="G46" s="2"/>
      <c r="H46" s="2" t="s">
        <v>1168</v>
      </c>
      <c r="I46" s="2"/>
    </row>
    <row r="47" spans="1:9" x14ac:dyDescent="0.3">
      <c r="A47" s="2">
        <v>21</v>
      </c>
      <c r="B47" s="2">
        <v>46418</v>
      </c>
      <c r="C47" s="2" t="s">
        <v>1176</v>
      </c>
      <c r="D47" s="2" t="s">
        <v>335</v>
      </c>
      <c r="E47" s="2">
        <v>0</v>
      </c>
      <c r="F47" s="2">
        <v>2000000</v>
      </c>
      <c r="G47" s="2"/>
      <c r="H47" s="2" t="s">
        <v>1168</v>
      </c>
      <c r="I47" s="2"/>
    </row>
    <row r="48" spans="1:9" x14ac:dyDescent="0.3">
      <c r="A48" s="2">
        <v>22</v>
      </c>
      <c r="B48" s="2">
        <v>46418</v>
      </c>
      <c r="C48" s="2" t="s">
        <v>1177</v>
      </c>
      <c r="D48" s="2" t="s">
        <v>315</v>
      </c>
      <c r="E48" s="2">
        <v>800000</v>
      </c>
      <c r="F48" s="2">
        <v>0</v>
      </c>
      <c r="G48" s="2"/>
      <c r="H48" s="2" t="s">
        <v>1168</v>
      </c>
      <c r="I48" s="2"/>
    </row>
    <row r="49" spans="1:9" x14ac:dyDescent="0.3">
      <c r="A49" s="2">
        <v>22</v>
      </c>
      <c r="B49" s="2">
        <v>46418</v>
      </c>
      <c r="C49" s="2" t="s">
        <v>1177</v>
      </c>
      <c r="D49" s="2" t="s">
        <v>223</v>
      </c>
      <c r="E49" s="2">
        <v>0</v>
      </c>
      <c r="F49" s="2">
        <v>800000</v>
      </c>
      <c r="G49" s="2"/>
      <c r="H49" s="2" t="s">
        <v>1168</v>
      </c>
      <c r="I49" s="2"/>
    </row>
    <row r="50" spans="1:9" x14ac:dyDescent="0.3">
      <c r="A50" s="2">
        <v>23</v>
      </c>
      <c r="B50" s="2">
        <v>46418</v>
      </c>
      <c r="C50" s="2" t="s">
        <v>1178</v>
      </c>
      <c r="D50" s="2" t="s">
        <v>149</v>
      </c>
      <c r="E50" s="2">
        <v>700000</v>
      </c>
      <c r="F50" s="2">
        <v>0</v>
      </c>
      <c r="G50" s="2"/>
      <c r="H50" s="2" t="s">
        <v>1179</v>
      </c>
      <c r="I50" s="2"/>
    </row>
    <row r="51" spans="1:9" x14ac:dyDescent="0.3">
      <c r="A51" s="2">
        <v>23</v>
      </c>
      <c r="B51" s="2">
        <v>46418</v>
      </c>
      <c r="C51" s="2" t="s">
        <v>1178</v>
      </c>
      <c r="D51" s="2" t="s">
        <v>263</v>
      </c>
      <c r="E51" s="2">
        <v>0</v>
      </c>
      <c r="F51" s="2">
        <v>700000</v>
      </c>
      <c r="G51" s="2"/>
      <c r="H51" s="2" t="s">
        <v>1179</v>
      </c>
      <c r="I51" s="2"/>
    </row>
    <row r="52" spans="1:9" x14ac:dyDescent="0.3">
      <c r="A52" s="2">
        <v>24</v>
      </c>
      <c r="B52" s="2">
        <v>46418</v>
      </c>
      <c r="C52" s="2" t="s">
        <v>1180</v>
      </c>
      <c r="D52" s="2" t="s">
        <v>317</v>
      </c>
      <c r="E52" s="2">
        <v>150000</v>
      </c>
      <c r="F52" s="2">
        <v>0</v>
      </c>
      <c r="G52" s="2"/>
      <c r="H52" s="2" t="s">
        <v>1179</v>
      </c>
      <c r="I52" s="2" t="s">
        <v>1181</v>
      </c>
    </row>
    <row r="53" spans="1:9" x14ac:dyDescent="0.3">
      <c r="A53" s="2">
        <v>24</v>
      </c>
      <c r="B53" s="2">
        <v>46418</v>
      </c>
      <c r="C53" s="2" t="s">
        <v>1180</v>
      </c>
      <c r="D53" s="2" t="s">
        <v>335</v>
      </c>
      <c r="E53" s="2">
        <v>0</v>
      </c>
      <c r="F53" s="2">
        <v>150000</v>
      </c>
      <c r="G53" s="2"/>
      <c r="H53" s="2" t="s">
        <v>1179</v>
      </c>
      <c r="I53" s="2" t="s">
        <v>1181</v>
      </c>
    </row>
    <row r="54" spans="1:9" x14ac:dyDescent="0.3">
      <c r="A54" s="2">
        <v>25</v>
      </c>
      <c r="B54" s="2">
        <v>46418</v>
      </c>
      <c r="C54" s="2" t="s">
        <v>1182</v>
      </c>
      <c r="D54" s="2" t="s">
        <v>283</v>
      </c>
      <c r="E54" s="2">
        <v>1000000</v>
      </c>
      <c r="F54" s="2">
        <v>0</v>
      </c>
      <c r="G54" s="2"/>
      <c r="H54" s="2" t="s">
        <v>1179</v>
      </c>
      <c r="I54" s="2"/>
    </row>
    <row r="55" spans="1:9" x14ac:dyDescent="0.3">
      <c r="A55" s="2">
        <v>25</v>
      </c>
      <c r="B55" s="2">
        <v>46418</v>
      </c>
      <c r="C55" s="2" t="s">
        <v>1182</v>
      </c>
      <c r="D55" s="2" t="s">
        <v>169</v>
      </c>
      <c r="E55" s="2">
        <v>0</v>
      </c>
      <c r="F55" s="2">
        <v>1000000</v>
      </c>
      <c r="G55" s="2"/>
      <c r="H55" s="2" t="s">
        <v>1179</v>
      </c>
      <c r="I55" s="2"/>
    </row>
    <row r="56" spans="1:9" x14ac:dyDescent="0.3">
      <c r="A56" s="2">
        <v>26</v>
      </c>
      <c r="B56" s="2">
        <v>46418</v>
      </c>
      <c r="C56" s="2" t="s">
        <v>1183</v>
      </c>
      <c r="D56" s="2" t="s">
        <v>1184</v>
      </c>
      <c r="E56" s="2">
        <v>0</v>
      </c>
      <c r="F56" s="2">
        <v>0</v>
      </c>
      <c r="G56" s="2" t="s">
        <v>1134</v>
      </c>
      <c r="H56" s="2" t="s">
        <v>1179</v>
      </c>
      <c r="I56" s="2"/>
    </row>
    <row r="57" spans="1:9" x14ac:dyDescent="0.3">
      <c r="A57" s="2">
        <v>27</v>
      </c>
      <c r="B57" s="2">
        <v>46418</v>
      </c>
      <c r="C57" s="2" t="s">
        <v>1185</v>
      </c>
      <c r="D57" s="2" t="s">
        <v>309</v>
      </c>
      <c r="E57" s="2">
        <v>4500000</v>
      </c>
      <c r="F57" s="2">
        <v>0</v>
      </c>
      <c r="G57" s="2"/>
      <c r="H57" s="2" t="s">
        <v>1179</v>
      </c>
      <c r="I57" s="2"/>
    </row>
    <row r="58" spans="1:9" x14ac:dyDescent="0.3">
      <c r="A58" s="2">
        <v>27</v>
      </c>
      <c r="B58" s="2">
        <v>46418</v>
      </c>
      <c r="C58" s="2" t="s">
        <v>1185</v>
      </c>
      <c r="D58" s="2" t="s">
        <v>203</v>
      </c>
      <c r="E58" s="2">
        <v>0</v>
      </c>
      <c r="F58" s="2">
        <v>4500000</v>
      </c>
      <c r="G58" s="2"/>
      <c r="H58" s="2" t="s">
        <v>1179</v>
      </c>
      <c r="I58" s="2"/>
    </row>
    <row r="59" spans="1:9" x14ac:dyDescent="0.3">
      <c r="A59" s="2">
        <v>28</v>
      </c>
      <c r="B59" s="2">
        <v>46418</v>
      </c>
      <c r="C59" s="2" t="s">
        <v>1186</v>
      </c>
      <c r="D59" s="2" t="s">
        <v>299</v>
      </c>
      <c r="E59" s="2">
        <v>7500000</v>
      </c>
      <c r="F59" s="2">
        <v>0</v>
      </c>
      <c r="G59" s="2"/>
      <c r="H59" s="2" t="s">
        <v>1179</v>
      </c>
      <c r="I59" s="2"/>
    </row>
    <row r="60" spans="1:9" x14ac:dyDescent="0.3">
      <c r="A60" s="2">
        <v>28</v>
      </c>
      <c r="B60" s="2">
        <v>46418</v>
      </c>
      <c r="C60" s="2" t="s">
        <v>1186</v>
      </c>
      <c r="D60" s="2" t="s">
        <v>335</v>
      </c>
      <c r="E60" s="2">
        <v>0</v>
      </c>
      <c r="F60" s="2">
        <v>7500000</v>
      </c>
      <c r="G60" s="2"/>
      <c r="H60" s="2" t="s">
        <v>1179</v>
      </c>
      <c r="I60" s="2"/>
    </row>
    <row r="61" spans="1:9" x14ac:dyDescent="0.3">
      <c r="A61" s="2">
        <v>29</v>
      </c>
      <c r="B61" s="2">
        <v>46418</v>
      </c>
      <c r="C61" s="2" t="s">
        <v>1187</v>
      </c>
      <c r="D61" s="2" t="s">
        <v>337</v>
      </c>
      <c r="E61" s="2">
        <v>74954000</v>
      </c>
      <c r="F61" s="2">
        <v>0</v>
      </c>
      <c r="G61" s="2" t="s">
        <v>1188</v>
      </c>
      <c r="H61" s="2" t="s">
        <v>1179</v>
      </c>
      <c r="I61" s="2" t="s">
        <v>1189</v>
      </c>
    </row>
    <row r="62" spans="1:9" x14ac:dyDescent="0.3">
      <c r="A62" s="2">
        <v>29</v>
      </c>
      <c r="B62" s="2">
        <v>46418</v>
      </c>
      <c r="C62" s="2" t="s">
        <v>1187</v>
      </c>
      <c r="D62" s="2" t="s">
        <v>155</v>
      </c>
      <c r="E62" s="2">
        <v>0</v>
      </c>
      <c r="F62" s="2">
        <v>74954000</v>
      </c>
      <c r="G62" s="2" t="s">
        <v>1188</v>
      </c>
      <c r="H62" s="2" t="s">
        <v>1179</v>
      </c>
      <c r="I62" s="2" t="s">
        <v>1189</v>
      </c>
    </row>
    <row r="63" spans="1:9" x14ac:dyDescent="0.3">
      <c r="A63" s="2">
        <v>30</v>
      </c>
      <c r="B63" s="2">
        <v>46418</v>
      </c>
      <c r="C63" s="2" t="s">
        <v>1190</v>
      </c>
      <c r="D63" s="2" t="s">
        <v>319</v>
      </c>
      <c r="E63" s="2">
        <v>8000000</v>
      </c>
      <c r="F63" s="2">
        <v>0</v>
      </c>
      <c r="G63" s="2" t="s">
        <v>1147</v>
      </c>
      <c r="H63" s="2" t="s">
        <v>901</v>
      </c>
      <c r="I63" s="2"/>
    </row>
    <row r="64" spans="1:9" x14ac:dyDescent="0.3">
      <c r="A64" s="2">
        <v>30</v>
      </c>
      <c r="B64" s="2">
        <v>46418</v>
      </c>
      <c r="C64" s="2" t="s">
        <v>1190</v>
      </c>
      <c r="D64" s="2" t="s">
        <v>221</v>
      </c>
      <c r="E64" s="2">
        <v>0</v>
      </c>
      <c r="F64" s="2">
        <v>8000000</v>
      </c>
      <c r="G64" s="2" t="s">
        <v>1147</v>
      </c>
      <c r="H64" s="2" t="s">
        <v>901</v>
      </c>
      <c r="I64" s="2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92"/>
  <sheetViews>
    <sheetView topLeftCell="A70" workbookViewId="0">
      <selection activeCell="J84" sqref="J84"/>
    </sheetView>
  </sheetViews>
  <sheetFormatPr defaultRowHeight="14.4" x14ac:dyDescent="0.3"/>
  <cols>
    <col min="1" max="1" width="12.44140625" bestFit="1" customWidth="1"/>
    <col min="2" max="2" width="33.77734375" bestFit="1" customWidth="1"/>
    <col min="3" max="3" width="16.6640625" bestFit="1" customWidth="1"/>
    <col min="4" max="4" width="14.5546875" bestFit="1" customWidth="1"/>
    <col min="5" max="6" width="16.5546875" bestFit="1" customWidth="1"/>
  </cols>
  <sheetData>
    <row r="1" spans="1:6" x14ac:dyDescent="0.3">
      <c r="A1" t="s">
        <v>1191</v>
      </c>
    </row>
    <row r="2" spans="1:6" x14ac:dyDescent="0.3">
      <c r="A2" t="s">
        <v>1192</v>
      </c>
    </row>
    <row r="3" spans="1:6" x14ac:dyDescent="0.3">
      <c r="A3" s="2" t="s">
        <v>132</v>
      </c>
      <c r="B3" s="2" t="s">
        <v>133</v>
      </c>
      <c r="C3" s="2" t="s">
        <v>134</v>
      </c>
      <c r="D3" s="2" t="s">
        <v>135</v>
      </c>
      <c r="E3" s="2" t="s">
        <v>774</v>
      </c>
      <c r="F3" s="2" t="s">
        <v>775</v>
      </c>
    </row>
    <row r="4" spans="1:6" x14ac:dyDescent="0.3">
      <c r="A4" s="2" t="s">
        <v>137</v>
      </c>
      <c r="B4" s="2" t="s">
        <v>138</v>
      </c>
      <c r="C4" s="2" t="s">
        <v>139</v>
      </c>
      <c r="D4" s="2" t="s">
        <v>140</v>
      </c>
      <c r="E4" s="2">
        <f>Buku_Besar!E4+Buku_Besar!G4+Buku_Besar!I4</f>
        <v>2568414000</v>
      </c>
      <c r="F4" s="2">
        <f>Buku_Besar!F4+Buku_Besar!H4+Buku_Besar!J4</f>
        <v>1164987000</v>
      </c>
    </row>
    <row r="5" spans="1:6" x14ac:dyDescent="0.3">
      <c r="A5" s="2" t="s">
        <v>142</v>
      </c>
      <c r="B5" s="2" t="s">
        <v>143</v>
      </c>
      <c r="C5" s="2" t="s">
        <v>139</v>
      </c>
      <c r="D5" s="2" t="s">
        <v>140</v>
      </c>
      <c r="E5" s="2">
        <f>Buku_Besar!E5+Buku_Besar!G5+Buku_Besar!I5</f>
        <v>40150000</v>
      </c>
      <c r="F5" s="2">
        <f>Buku_Besar!F5+Buku_Besar!H5+Buku_Besar!J5</f>
        <v>2300000</v>
      </c>
    </row>
    <row r="6" spans="1:6" x14ac:dyDescent="0.3">
      <c r="A6" s="2" t="s">
        <v>144</v>
      </c>
      <c r="B6" s="2" t="s">
        <v>145</v>
      </c>
      <c r="C6" s="2" t="s">
        <v>139</v>
      </c>
      <c r="D6" s="2" t="s">
        <v>140</v>
      </c>
      <c r="E6" s="2">
        <f>Buku_Besar!E6+Buku_Besar!G6+Buku_Besar!I6</f>
        <v>543630000</v>
      </c>
      <c r="F6" s="2">
        <f>Buku_Besar!F6+Buku_Besar!H6+Buku_Besar!J6</f>
        <v>427490000</v>
      </c>
    </row>
    <row r="7" spans="1:6" x14ac:dyDescent="0.3">
      <c r="A7" s="2" t="s">
        <v>146</v>
      </c>
      <c r="B7" s="2" t="s">
        <v>147</v>
      </c>
      <c r="C7" s="2" t="s">
        <v>139</v>
      </c>
      <c r="D7" s="2" t="s">
        <v>140</v>
      </c>
      <c r="E7" s="2">
        <f>Buku_Besar!E7+Buku_Besar!G7+Buku_Besar!I7</f>
        <v>5000000</v>
      </c>
      <c r="F7" s="2">
        <f>Buku_Besar!F7+Buku_Besar!H7+Buku_Besar!J7</f>
        <v>2000000</v>
      </c>
    </row>
    <row r="8" spans="1:6" x14ac:dyDescent="0.3">
      <c r="A8" s="2" t="s">
        <v>148</v>
      </c>
      <c r="B8" s="2" t="s">
        <v>149</v>
      </c>
      <c r="C8" s="2" t="s">
        <v>139</v>
      </c>
      <c r="D8" s="2" t="s">
        <v>140</v>
      </c>
      <c r="E8" s="2">
        <f>Buku_Besar!E8+Buku_Besar!G8+Buku_Besar!I8</f>
        <v>700000</v>
      </c>
      <c r="F8" s="2">
        <f>Buku_Besar!F8+Buku_Besar!H8+Buku_Besar!J8</f>
        <v>0</v>
      </c>
    </row>
    <row r="9" spans="1:6" x14ac:dyDescent="0.3">
      <c r="A9" s="2" t="s">
        <v>150</v>
      </c>
      <c r="B9" s="2" t="s">
        <v>151</v>
      </c>
      <c r="C9" s="2" t="s">
        <v>139</v>
      </c>
      <c r="D9" s="2" t="s">
        <v>140</v>
      </c>
      <c r="E9" s="2">
        <f>Buku_Besar!E9+Buku_Besar!G9+Buku_Besar!I9</f>
        <v>0</v>
      </c>
      <c r="F9" s="2">
        <f>Buku_Besar!F9+Buku_Besar!H9+Buku_Besar!J9</f>
        <v>0</v>
      </c>
    </row>
    <row r="10" spans="1:6" x14ac:dyDescent="0.3">
      <c r="A10" s="2" t="s">
        <v>152</v>
      </c>
      <c r="B10" s="2" t="s">
        <v>153</v>
      </c>
      <c r="C10" s="2" t="s">
        <v>139</v>
      </c>
      <c r="D10" s="2" t="s">
        <v>140</v>
      </c>
      <c r="E10" s="2">
        <f>Buku_Besar!E10+Buku_Besar!G10+Buku_Besar!I10</f>
        <v>694000000</v>
      </c>
      <c r="F10" s="2">
        <f>Buku_Besar!F10+Buku_Besar!H10+Buku_Besar!J10</f>
        <v>442200000</v>
      </c>
    </row>
    <row r="11" spans="1:6" x14ac:dyDescent="0.3">
      <c r="A11" s="2" t="s">
        <v>154</v>
      </c>
      <c r="B11" s="2" t="s">
        <v>155</v>
      </c>
      <c r="C11" s="2" t="s">
        <v>139</v>
      </c>
      <c r="D11" s="2" t="s">
        <v>140</v>
      </c>
      <c r="E11" s="2">
        <f>Buku_Besar!E11+Buku_Besar!G11+Buku_Besar!I11</f>
        <v>103125000</v>
      </c>
      <c r="F11" s="2">
        <f>Buku_Besar!F11+Buku_Besar!H11+Buku_Besar!J11</f>
        <v>76967000</v>
      </c>
    </row>
    <row r="12" spans="1:6" x14ac:dyDescent="0.3">
      <c r="A12" s="2" t="s">
        <v>156</v>
      </c>
      <c r="B12" s="2" t="s">
        <v>157</v>
      </c>
      <c r="C12" s="2" t="s">
        <v>139</v>
      </c>
      <c r="D12" s="2" t="s">
        <v>140</v>
      </c>
      <c r="E12" s="2">
        <f>Buku_Besar!E12+Buku_Besar!G12+Buku_Besar!I12</f>
        <v>2625000</v>
      </c>
      <c r="F12" s="2">
        <f>Buku_Besar!F12+Buku_Besar!H12+Buku_Besar!J12</f>
        <v>0</v>
      </c>
    </row>
    <row r="13" spans="1:6" x14ac:dyDescent="0.3">
      <c r="A13" s="2" t="s">
        <v>158</v>
      </c>
      <c r="B13" s="2" t="s">
        <v>159</v>
      </c>
      <c r="C13" s="2" t="s">
        <v>139</v>
      </c>
      <c r="D13" s="2" t="s">
        <v>140</v>
      </c>
      <c r="E13" s="2">
        <f>Buku_Besar!E13+Buku_Besar!G13+Buku_Besar!I13</f>
        <v>0</v>
      </c>
      <c r="F13" s="2">
        <f>Buku_Besar!F13+Buku_Besar!H13+Buku_Besar!J13</f>
        <v>0</v>
      </c>
    </row>
    <row r="14" spans="1:6" x14ac:dyDescent="0.3">
      <c r="A14" s="2" t="s">
        <v>160</v>
      </c>
      <c r="B14" s="2" t="s">
        <v>161</v>
      </c>
      <c r="C14" s="2" t="s">
        <v>139</v>
      </c>
      <c r="D14" s="2" t="s">
        <v>140</v>
      </c>
      <c r="E14" s="2">
        <f>Buku_Besar!E14+Buku_Besar!G14+Buku_Besar!I14</f>
        <v>0</v>
      </c>
      <c r="F14" s="2">
        <f>Buku_Besar!F14+Buku_Besar!H14+Buku_Besar!J14</f>
        <v>0</v>
      </c>
    </row>
    <row r="15" spans="1:6" x14ac:dyDescent="0.3">
      <c r="A15" s="2" t="s">
        <v>162</v>
      </c>
      <c r="B15" s="2" t="s">
        <v>163</v>
      </c>
      <c r="C15" s="2" t="s">
        <v>139</v>
      </c>
      <c r="D15" s="2" t="s">
        <v>140</v>
      </c>
      <c r="E15" s="2">
        <f>Buku_Besar!E15+Buku_Besar!G15+Buku_Besar!I15</f>
        <v>24000000</v>
      </c>
      <c r="F15" s="2">
        <f>Buku_Besar!F15+Buku_Besar!H15+Buku_Besar!J15</f>
        <v>6000000</v>
      </c>
    </row>
    <row r="16" spans="1:6" x14ac:dyDescent="0.3">
      <c r="A16" s="2" t="s">
        <v>164</v>
      </c>
      <c r="B16" s="2" t="s">
        <v>165</v>
      </c>
      <c r="C16" s="2" t="s">
        <v>139</v>
      </c>
      <c r="D16" s="2" t="s">
        <v>140</v>
      </c>
      <c r="E16" s="2">
        <f>Buku_Besar!E16+Buku_Besar!G16+Buku_Besar!I16</f>
        <v>21000000</v>
      </c>
      <c r="F16" s="2">
        <f>Buku_Besar!F16+Buku_Besar!H16+Buku_Besar!J16</f>
        <v>1500000</v>
      </c>
    </row>
    <row r="17" spans="1:6" x14ac:dyDescent="0.3">
      <c r="A17" s="2" t="s">
        <v>166</v>
      </c>
      <c r="B17" s="2" t="s">
        <v>167</v>
      </c>
      <c r="C17" s="2" t="s">
        <v>139</v>
      </c>
      <c r="D17" s="2" t="s">
        <v>140</v>
      </c>
      <c r="E17" s="2">
        <f>Buku_Besar!E17+Buku_Besar!G17+Buku_Besar!I17</f>
        <v>12000000</v>
      </c>
      <c r="F17" s="2">
        <f>Buku_Besar!F17+Buku_Besar!H17+Buku_Besar!J17</f>
        <v>1000000</v>
      </c>
    </row>
    <row r="18" spans="1:6" x14ac:dyDescent="0.3">
      <c r="A18" s="2" t="s">
        <v>168</v>
      </c>
      <c r="B18" s="2" t="s">
        <v>169</v>
      </c>
      <c r="C18" s="2" t="s">
        <v>139</v>
      </c>
      <c r="D18" s="2" t="s">
        <v>140</v>
      </c>
      <c r="E18" s="2">
        <f>Buku_Besar!E18+Buku_Besar!G18+Buku_Besar!I18</f>
        <v>5000000</v>
      </c>
      <c r="F18" s="2">
        <f>Buku_Besar!F18+Buku_Besar!H18+Buku_Besar!J18</f>
        <v>2200000</v>
      </c>
    </row>
    <row r="19" spans="1:6" x14ac:dyDescent="0.3">
      <c r="A19" s="2" t="s">
        <v>170</v>
      </c>
      <c r="B19" s="2" t="s">
        <v>171</v>
      </c>
      <c r="C19" s="2" t="s">
        <v>139</v>
      </c>
      <c r="D19" s="2" t="s">
        <v>140</v>
      </c>
      <c r="E19" s="2">
        <f>Buku_Besar!E19+Buku_Besar!G19+Buku_Besar!I19</f>
        <v>22200000</v>
      </c>
      <c r="F19" s="2">
        <f>Buku_Besar!F19+Buku_Besar!H19+Buku_Besar!J19</f>
        <v>22200000</v>
      </c>
    </row>
    <row r="20" spans="1:6" x14ac:dyDescent="0.3">
      <c r="A20" s="2" t="s">
        <v>172</v>
      </c>
      <c r="B20" s="2" t="s">
        <v>173</v>
      </c>
      <c r="C20" s="2" t="s">
        <v>139</v>
      </c>
      <c r="D20" s="2" t="s">
        <v>140</v>
      </c>
      <c r="E20" s="2">
        <f>Buku_Besar!E20+Buku_Besar!G20+Buku_Besar!I20</f>
        <v>4800000</v>
      </c>
      <c r="F20" s="2">
        <f>Buku_Besar!F20+Buku_Besar!H20+Buku_Besar!J20</f>
        <v>400000</v>
      </c>
    </row>
    <row r="21" spans="1:6" x14ac:dyDescent="0.3">
      <c r="A21" s="2" t="s">
        <v>174</v>
      </c>
      <c r="B21" s="2" t="s">
        <v>175</v>
      </c>
      <c r="C21" s="2" t="s">
        <v>139</v>
      </c>
      <c r="D21" s="2" t="s">
        <v>140</v>
      </c>
      <c r="E21" s="2">
        <f>Buku_Besar!E21+Buku_Besar!G21+Buku_Besar!I21</f>
        <v>12000000</v>
      </c>
      <c r="F21" s="2">
        <f>Buku_Besar!F21+Buku_Besar!H21+Buku_Besar!J21</f>
        <v>0</v>
      </c>
    </row>
    <row r="22" spans="1:6" x14ac:dyDescent="0.3">
      <c r="A22" s="2" t="s">
        <v>176</v>
      </c>
      <c r="B22" s="2" t="s">
        <v>177</v>
      </c>
      <c r="C22" s="2" t="s">
        <v>139</v>
      </c>
      <c r="D22" s="2" t="s">
        <v>140</v>
      </c>
      <c r="E22" s="2">
        <f>Buku_Besar!E22+Buku_Besar!G22+Buku_Besar!I22</f>
        <v>155000000</v>
      </c>
      <c r="F22" s="2">
        <f>Buku_Besar!F22+Buku_Besar!H22+Buku_Besar!J22</f>
        <v>10000000</v>
      </c>
    </row>
    <row r="23" spans="1:6" x14ac:dyDescent="0.3">
      <c r="A23" s="2" t="s">
        <v>179</v>
      </c>
      <c r="B23" s="2" t="s">
        <v>180</v>
      </c>
      <c r="C23" s="2" t="s">
        <v>139</v>
      </c>
      <c r="D23" s="2" t="s">
        <v>140</v>
      </c>
      <c r="E23" s="2">
        <f>Buku_Besar!E23+Buku_Besar!G23+Buku_Besar!I23</f>
        <v>80000000</v>
      </c>
      <c r="F23" s="2">
        <f>Buku_Besar!F23+Buku_Besar!H23+Buku_Besar!J23</f>
        <v>20000000</v>
      </c>
    </row>
    <row r="24" spans="1:6" x14ac:dyDescent="0.3">
      <c r="A24" s="2" t="s">
        <v>181</v>
      </c>
      <c r="B24" s="2" t="s">
        <v>182</v>
      </c>
      <c r="C24" s="2" t="s">
        <v>139</v>
      </c>
      <c r="D24" s="2" t="s">
        <v>140</v>
      </c>
      <c r="E24" s="2">
        <f>Buku_Besar!E24+Buku_Besar!G24+Buku_Besar!I24</f>
        <v>400000000</v>
      </c>
      <c r="F24" s="2">
        <f>Buku_Besar!F24+Buku_Besar!H24+Buku_Besar!J24</f>
        <v>0</v>
      </c>
    </row>
    <row r="25" spans="1:6" x14ac:dyDescent="0.3">
      <c r="A25" s="2" t="s">
        <v>183</v>
      </c>
      <c r="B25" s="2" t="s">
        <v>184</v>
      </c>
      <c r="C25" s="2" t="s">
        <v>139</v>
      </c>
      <c r="D25" s="2" t="s">
        <v>140</v>
      </c>
      <c r="E25" s="2">
        <f>Buku_Besar!E25+Buku_Besar!G25+Buku_Besar!I25</f>
        <v>0</v>
      </c>
      <c r="F25" s="2">
        <f>Buku_Besar!F25+Buku_Besar!H25+Buku_Besar!J25</f>
        <v>0</v>
      </c>
    </row>
    <row r="26" spans="1:6" x14ac:dyDescent="0.3">
      <c r="A26" s="2" t="s">
        <v>185</v>
      </c>
      <c r="B26" s="2" t="s">
        <v>186</v>
      </c>
      <c r="C26" s="2" t="s">
        <v>187</v>
      </c>
      <c r="D26" s="2" t="s">
        <v>188</v>
      </c>
      <c r="E26" s="2">
        <f>Buku_Besar!E26+Buku_Besar!G26+Buku_Besar!I26</f>
        <v>7000000</v>
      </c>
      <c r="F26" s="2">
        <f>Buku_Besar!F26+Buku_Besar!H26+Buku_Besar!J26</f>
        <v>8250000</v>
      </c>
    </row>
    <row r="27" spans="1:6" x14ac:dyDescent="0.3">
      <c r="A27" s="2" t="s">
        <v>190</v>
      </c>
      <c r="B27" s="2" t="s">
        <v>191</v>
      </c>
      <c r="C27" s="2" t="s">
        <v>187</v>
      </c>
      <c r="D27" s="2" t="s">
        <v>188</v>
      </c>
      <c r="E27" s="2">
        <f>Buku_Besar!E27+Buku_Besar!G27+Buku_Besar!I27</f>
        <v>12000000</v>
      </c>
      <c r="F27" s="2">
        <f>Buku_Besar!F27+Buku_Besar!H27+Buku_Besar!J27</f>
        <v>12333333.33</v>
      </c>
    </row>
    <row r="28" spans="1:6" x14ac:dyDescent="0.3">
      <c r="A28" s="2" t="s">
        <v>192</v>
      </c>
      <c r="B28" s="2" t="s">
        <v>193</v>
      </c>
      <c r="C28" s="2" t="s">
        <v>187</v>
      </c>
      <c r="D28" s="2" t="s">
        <v>188</v>
      </c>
      <c r="E28" s="2">
        <f>Buku_Besar!E28+Buku_Besar!G28+Buku_Besar!I28</f>
        <v>0</v>
      </c>
      <c r="F28" s="2">
        <f>Buku_Besar!F28+Buku_Besar!H28+Buku_Besar!J28</f>
        <v>54166666.670000002</v>
      </c>
    </row>
    <row r="29" spans="1:6" x14ac:dyDescent="0.3">
      <c r="A29" s="2" t="s">
        <v>194</v>
      </c>
      <c r="B29" s="2" t="s">
        <v>195</v>
      </c>
      <c r="C29" s="2" t="s">
        <v>187</v>
      </c>
      <c r="D29" s="2" t="s">
        <v>188</v>
      </c>
      <c r="E29" s="2">
        <f>Buku_Besar!E29+Buku_Besar!G29+Buku_Besar!I29</f>
        <v>2000000</v>
      </c>
      <c r="F29" s="2">
        <f>Buku_Besar!F29+Buku_Besar!H29+Buku_Besar!J29</f>
        <v>4500000</v>
      </c>
    </row>
    <row r="30" spans="1:6" x14ac:dyDescent="0.3">
      <c r="A30" s="2" t="s">
        <v>196</v>
      </c>
      <c r="B30" s="2" t="s">
        <v>197</v>
      </c>
      <c r="C30" s="2" t="s">
        <v>198</v>
      </c>
      <c r="D30" s="2" t="s">
        <v>188</v>
      </c>
      <c r="E30" s="2">
        <f>Buku_Besar!E30+Buku_Besar!G30+Buku_Besar!I30</f>
        <v>412580000</v>
      </c>
      <c r="F30" s="2">
        <f>Buku_Besar!F30+Buku_Besar!H30+Buku_Besar!J30</f>
        <v>560980000</v>
      </c>
    </row>
    <row r="31" spans="1:6" x14ac:dyDescent="0.3">
      <c r="A31" s="2" t="s">
        <v>200</v>
      </c>
      <c r="B31" s="2" t="s">
        <v>201</v>
      </c>
      <c r="C31" s="2" t="s">
        <v>198</v>
      </c>
      <c r="D31" s="2" t="s">
        <v>188</v>
      </c>
      <c r="E31" s="2">
        <f>Buku_Besar!E31+Buku_Besar!G31+Buku_Besar!I31</f>
        <v>0</v>
      </c>
      <c r="F31" s="2">
        <f>Buku_Besar!F31+Buku_Besar!H31+Buku_Besar!J31</f>
        <v>5000000</v>
      </c>
    </row>
    <row r="32" spans="1:6" x14ac:dyDescent="0.3">
      <c r="A32" s="2" t="s">
        <v>202</v>
      </c>
      <c r="B32" s="2" t="s">
        <v>203</v>
      </c>
      <c r="C32" s="2" t="s">
        <v>198</v>
      </c>
      <c r="D32" s="2" t="s">
        <v>188</v>
      </c>
      <c r="E32" s="2">
        <f>Buku_Besar!E32+Buku_Besar!G32+Buku_Besar!I32</f>
        <v>0</v>
      </c>
      <c r="F32" s="2">
        <f>Buku_Besar!F32+Buku_Besar!H32+Buku_Besar!J32</f>
        <v>7500000</v>
      </c>
    </row>
    <row r="33" spans="1:6" x14ac:dyDescent="0.3">
      <c r="A33" s="2" t="s">
        <v>204</v>
      </c>
      <c r="B33" s="2" t="s">
        <v>205</v>
      </c>
      <c r="C33" s="2" t="s">
        <v>198</v>
      </c>
      <c r="D33" s="2" t="s">
        <v>188</v>
      </c>
      <c r="E33" s="2">
        <f>Buku_Besar!E33+Buku_Besar!G33+Buku_Besar!I33</f>
        <v>0</v>
      </c>
      <c r="F33" s="2">
        <f>Buku_Besar!F33+Buku_Besar!H33+Buku_Besar!J33</f>
        <v>1200000</v>
      </c>
    </row>
    <row r="34" spans="1:6" x14ac:dyDescent="0.3">
      <c r="A34" s="2" t="s">
        <v>206</v>
      </c>
      <c r="B34" s="2" t="s">
        <v>207</v>
      </c>
      <c r="C34" s="2" t="s">
        <v>198</v>
      </c>
      <c r="D34" s="2" t="s">
        <v>188</v>
      </c>
      <c r="E34" s="2">
        <f>Buku_Besar!E34+Buku_Besar!G34+Buku_Besar!I34</f>
        <v>0</v>
      </c>
      <c r="F34" s="2">
        <f>Buku_Besar!F34+Buku_Besar!H34+Buku_Besar!J34</f>
        <v>1800000</v>
      </c>
    </row>
    <row r="35" spans="1:6" x14ac:dyDescent="0.3">
      <c r="A35" s="2" t="s">
        <v>208</v>
      </c>
      <c r="B35" s="2" t="s">
        <v>209</v>
      </c>
      <c r="C35" s="2" t="s">
        <v>198</v>
      </c>
      <c r="D35" s="2" t="s">
        <v>188</v>
      </c>
      <c r="E35" s="2">
        <f>Buku_Besar!E35+Buku_Besar!G35+Buku_Besar!I35</f>
        <v>2500000</v>
      </c>
      <c r="F35" s="2">
        <f>Buku_Besar!F35+Buku_Besar!H35+Buku_Besar!J35</f>
        <v>4000000</v>
      </c>
    </row>
    <row r="36" spans="1:6" x14ac:dyDescent="0.3">
      <c r="A36" s="2" t="s">
        <v>210</v>
      </c>
      <c r="B36" s="2" t="s">
        <v>211</v>
      </c>
      <c r="C36" s="2" t="s">
        <v>198</v>
      </c>
      <c r="D36" s="2" t="s">
        <v>188</v>
      </c>
      <c r="E36" s="2">
        <f>Buku_Besar!E36+Buku_Besar!G36+Buku_Besar!I36</f>
        <v>0</v>
      </c>
      <c r="F36" s="2">
        <f>Buku_Besar!F36+Buku_Besar!H36+Buku_Besar!J36</f>
        <v>0</v>
      </c>
    </row>
    <row r="37" spans="1:6" x14ac:dyDescent="0.3">
      <c r="A37" s="2" t="s">
        <v>212</v>
      </c>
      <c r="B37" s="2" t="s">
        <v>213</v>
      </c>
      <c r="C37" s="2" t="s">
        <v>198</v>
      </c>
      <c r="D37" s="2" t="s">
        <v>188</v>
      </c>
      <c r="E37" s="2">
        <f>Buku_Besar!E37+Buku_Besar!G37+Buku_Besar!I37</f>
        <v>1000000</v>
      </c>
      <c r="F37" s="2">
        <f>Buku_Besar!F37+Buku_Besar!H37+Buku_Besar!J37</f>
        <v>1000000</v>
      </c>
    </row>
    <row r="38" spans="1:6" x14ac:dyDescent="0.3">
      <c r="A38" s="2" t="s">
        <v>214</v>
      </c>
      <c r="B38" s="2" t="s">
        <v>215</v>
      </c>
      <c r="C38" s="2" t="s">
        <v>198</v>
      </c>
      <c r="D38" s="2" t="s">
        <v>188</v>
      </c>
      <c r="E38" s="2">
        <f>Buku_Besar!E38+Buku_Besar!G38+Buku_Besar!I38</f>
        <v>750000</v>
      </c>
      <c r="F38" s="2">
        <f>Buku_Besar!F38+Buku_Besar!H38+Buku_Besar!J38</f>
        <v>750000</v>
      </c>
    </row>
    <row r="39" spans="1:6" x14ac:dyDescent="0.3">
      <c r="A39" s="2" t="s">
        <v>216</v>
      </c>
      <c r="B39" s="2" t="s">
        <v>217</v>
      </c>
      <c r="C39" s="2" t="s">
        <v>198</v>
      </c>
      <c r="D39" s="2" t="s">
        <v>188</v>
      </c>
      <c r="E39" s="2">
        <f>Buku_Besar!E39+Buku_Besar!G39+Buku_Besar!I39</f>
        <v>190000</v>
      </c>
      <c r="F39" s="2">
        <f>Buku_Besar!F39+Buku_Besar!H39+Buku_Besar!J39</f>
        <v>240000</v>
      </c>
    </row>
    <row r="40" spans="1:6" x14ac:dyDescent="0.3">
      <c r="A40" s="2" t="s">
        <v>218</v>
      </c>
      <c r="B40" s="2" t="s">
        <v>219</v>
      </c>
      <c r="C40" s="2" t="s">
        <v>198</v>
      </c>
      <c r="D40" s="2" t="s">
        <v>188</v>
      </c>
      <c r="E40" s="2">
        <f>Buku_Besar!E40+Buku_Besar!G40+Buku_Besar!I40</f>
        <v>2000000</v>
      </c>
      <c r="F40" s="2">
        <f>Buku_Besar!F40+Buku_Besar!H40+Buku_Besar!J40</f>
        <v>2000000</v>
      </c>
    </row>
    <row r="41" spans="1:6" x14ac:dyDescent="0.3">
      <c r="A41" s="2" t="s">
        <v>220</v>
      </c>
      <c r="B41" s="2" t="s">
        <v>221</v>
      </c>
      <c r="C41" s="2" t="s">
        <v>198</v>
      </c>
      <c r="D41" s="2" t="s">
        <v>188</v>
      </c>
      <c r="E41" s="2">
        <f>Buku_Besar!E41+Buku_Besar!G41+Buku_Besar!I41</f>
        <v>0</v>
      </c>
      <c r="F41" s="2">
        <f>Buku_Besar!F41+Buku_Besar!H41+Buku_Besar!J41</f>
        <v>8000000</v>
      </c>
    </row>
    <row r="42" spans="1:6" x14ac:dyDescent="0.3">
      <c r="A42" s="2" t="s">
        <v>222</v>
      </c>
      <c r="B42" s="2" t="s">
        <v>223</v>
      </c>
      <c r="C42" s="2" t="s">
        <v>198</v>
      </c>
      <c r="D42" s="2" t="s">
        <v>188</v>
      </c>
      <c r="E42" s="2">
        <f>Buku_Besar!E42+Buku_Besar!G42+Buku_Besar!I42</f>
        <v>0</v>
      </c>
      <c r="F42" s="2">
        <f>Buku_Besar!F42+Buku_Besar!H42+Buku_Besar!J42</f>
        <v>800000</v>
      </c>
    </row>
    <row r="43" spans="1:6" x14ac:dyDescent="0.3">
      <c r="A43" s="2" t="s">
        <v>224</v>
      </c>
      <c r="B43" s="2" t="s">
        <v>225</v>
      </c>
      <c r="C43" s="2" t="s">
        <v>198</v>
      </c>
      <c r="D43" s="2" t="s">
        <v>188</v>
      </c>
      <c r="E43" s="2">
        <f>Buku_Besar!E43+Buku_Besar!G43+Buku_Besar!I43</f>
        <v>10000000</v>
      </c>
      <c r="F43" s="2">
        <f>Buku_Besar!F43+Buku_Besar!H43+Buku_Besar!J43</f>
        <v>50000000</v>
      </c>
    </row>
    <row r="44" spans="1:6" x14ac:dyDescent="0.3">
      <c r="A44" s="2" t="s">
        <v>226</v>
      </c>
      <c r="B44" s="2" t="s">
        <v>227</v>
      </c>
      <c r="C44" s="2" t="s">
        <v>198</v>
      </c>
      <c r="D44" s="2" t="s">
        <v>188</v>
      </c>
      <c r="E44" s="2">
        <f>Buku_Besar!E44+Buku_Besar!G44+Buku_Besar!I44</f>
        <v>20000000</v>
      </c>
      <c r="F44" s="2">
        <f>Buku_Besar!F44+Buku_Besar!H44+Buku_Besar!J44</f>
        <v>400000000</v>
      </c>
    </row>
    <row r="45" spans="1:6" x14ac:dyDescent="0.3">
      <c r="A45" s="2" t="s">
        <v>229</v>
      </c>
      <c r="B45" s="2" t="s">
        <v>230</v>
      </c>
      <c r="C45" s="2" t="s">
        <v>198</v>
      </c>
      <c r="D45" s="2" t="s">
        <v>188</v>
      </c>
      <c r="E45" s="2">
        <f>Buku_Besar!E45+Buku_Besar!G45+Buku_Besar!I45</f>
        <v>44440000</v>
      </c>
      <c r="F45" s="2">
        <f>Buku_Besar!F45+Buku_Besar!H45+Buku_Besar!J45</f>
        <v>44440000</v>
      </c>
    </row>
    <row r="46" spans="1:6" x14ac:dyDescent="0.3">
      <c r="A46" s="2" t="s">
        <v>231</v>
      </c>
      <c r="B46" s="2" t="s">
        <v>232</v>
      </c>
      <c r="C46" s="2" t="s">
        <v>198</v>
      </c>
      <c r="D46" s="2" t="s">
        <v>188</v>
      </c>
      <c r="E46" s="2">
        <f>Buku_Besar!E46+Buku_Besar!G46+Buku_Besar!I46</f>
        <v>0</v>
      </c>
      <c r="F46" s="2">
        <f>Buku_Besar!F46+Buku_Besar!H46+Buku_Besar!J46</f>
        <v>0</v>
      </c>
    </row>
    <row r="47" spans="1:6" x14ac:dyDescent="0.3">
      <c r="A47" s="2" t="s">
        <v>233</v>
      </c>
      <c r="B47" s="2" t="s">
        <v>234</v>
      </c>
      <c r="C47" s="2" t="s">
        <v>198</v>
      </c>
      <c r="D47" s="2" t="s">
        <v>188</v>
      </c>
      <c r="E47" s="2">
        <f>Buku_Besar!E47+Buku_Besar!G47+Buku_Besar!I47</f>
        <v>0</v>
      </c>
      <c r="F47" s="2">
        <f>Buku_Besar!F47+Buku_Besar!H47+Buku_Besar!J47</f>
        <v>0</v>
      </c>
    </row>
    <row r="48" spans="1:6" x14ac:dyDescent="0.3">
      <c r="A48" s="2" t="s">
        <v>235</v>
      </c>
      <c r="B48" s="2" t="s">
        <v>236</v>
      </c>
      <c r="C48" s="2" t="s">
        <v>198</v>
      </c>
      <c r="D48" s="2" t="s">
        <v>188</v>
      </c>
      <c r="E48" s="2">
        <f>Buku_Besar!E48+Buku_Besar!G48+Buku_Besar!I48</f>
        <v>15000000</v>
      </c>
      <c r="F48" s="2">
        <f>Buku_Besar!F48+Buku_Besar!H48+Buku_Besar!J48</f>
        <v>15000000</v>
      </c>
    </row>
    <row r="49" spans="1:6" x14ac:dyDescent="0.3">
      <c r="A49" s="2" t="s">
        <v>237</v>
      </c>
      <c r="B49" s="2" t="s">
        <v>238</v>
      </c>
      <c r="C49" s="2" t="s">
        <v>239</v>
      </c>
      <c r="D49" s="2" t="s">
        <v>188</v>
      </c>
      <c r="E49" s="2">
        <f>Buku_Besar!E49+Buku_Besar!G49+Buku_Besar!I49</f>
        <v>0</v>
      </c>
      <c r="F49" s="2">
        <f>Buku_Besar!F49+Buku_Besar!H49+Buku_Besar!J49</f>
        <v>1730000000</v>
      </c>
    </row>
    <row r="50" spans="1:6" x14ac:dyDescent="0.3">
      <c r="A50" s="2" t="s">
        <v>241</v>
      </c>
      <c r="B50" s="2" t="s">
        <v>242</v>
      </c>
      <c r="C50" s="2" t="s">
        <v>243</v>
      </c>
      <c r="D50" s="2" t="s">
        <v>140</v>
      </c>
      <c r="E50" s="2">
        <f>Buku_Besar!E50+Buku_Besar!G50+Buku_Besar!I50</f>
        <v>15000000</v>
      </c>
      <c r="F50" s="2">
        <f>Buku_Besar!F50+Buku_Besar!H50+Buku_Besar!J50</f>
        <v>0</v>
      </c>
    </row>
    <row r="51" spans="1:6" x14ac:dyDescent="0.3">
      <c r="A51" s="2" t="s">
        <v>245</v>
      </c>
      <c r="B51" s="2" t="s">
        <v>246</v>
      </c>
      <c r="C51" s="2" t="s">
        <v>239</v>
      </c>
      <c r="D51" s="2" t="s">
        <v>188</v>
      </c>
      <c r="E51" s="2">
        <f>Buku_Besar!E51+Buku_Besar!G51+Buku_Besar!I51</f>
        <v>0</v>
      </c>
      <c r="F51" s="2">
        <f>Buku_Besar!F51+Buku_Besar!H51+Buku_Besar!J51</f>
        <v>0</v>
      </c>
    </row>
    <row r="52" spans="1:6" x14ac:dyDescent="0.3">
      <c r="A52" s="2" t="s">
        <v>247</v>
      </c>
      <c r="B52" s="2" t="s">
        <v>248</v>
      </c>
      <c r="C52" s="2" t="s">
        <v>249</v>
      </c>
      <c r="D52" s="2" t="s">
        <v>188</v>
      </c>
      <c r="E52" s="2">
        <f>Buku_Besar!E52+Buku_Besar!G52+Buku_Besar!I52</f>
        <v>0</v>
      </c>
      <c r="F52" s="2">
        <f>Buku_Besar!F52+Buku_Besar!H52+Buku_Besar!J52</f>
        <v>0</v>
      </c>
    </row>
    <row r="53" spans="1:6" x14ac:dyDescent="0.3">
      <c r="A53" s="2" t="s">
        <v>251</v>
      </c>
      <c r="B53" s="2" t="s">
        <v>252</v>
      </c>
      <c r="C53" s="2" t="s">
        <v>253</v>
      </c>
      <c r="D53" s="2" t="s">
        <v>188</v>
      </c>
      <c r="E53" s="2">
        <f>Buku_Besar!E53+Buku_Besar!G53+Buku_Besar!I53</f>
        <v>0</v>
      </c>
      <c r="F53" s="2">
        <f>Buku_Besar!F53+Buku_Besar!H53+Buku_Besar!J53</f>
        <v>699000000</v>
      </c>
    </row>
    <row r="54" spans="1:6" x14ac:dyDescent="0.3">
      <c r="A54" s="2" t="s">
        <v>255</v>
      </c>
      <c r="B54" s="2" t="s">
        <v>256</v>
      </c>
      <c r="C54" s="2" t="s">
        <v>257</v>
      </c>
      <c r="D54" s="2" t="s">
        <v>140</v>
      </c>
      <c r="E54" s="2">
        <f>Buku_Besar!E54+Buku_Besar!G54+Buku_Besar!I54</f>
        <v>25000000</v>
      </c>
      <c r="F54" s="2">
        <f>Buku_Besar!F54+Buku_Besar!H54+Buku_Besar!J54</f>
        <v>0</v>
      </c>
    </row>
    <row r="55" spans="1:6" x14ac:dyDescent="0.3">
      <c r="A55" s="2" t="s">
        <v>258</v>
      </c>
      <c r="B55" s="2" t="s">
        <v>259</v>
      </c>
      <c r="C55" s="2" t="s">
        <v>257</v>
      </c>
      <c r="D55" s="2" t="s">
        <v>140</v>
      </c>
      <c r="E55" s="2">
        <f>Buku_Besar!E55+Buku_Besar!G55+Buku_Besar!I55</f>
        <v>4600000</v>
      </c>
      <c r="F55" s="2">
        <f>Buku_Besar!F55+Buku_Besar!H55+Buku_Besar!J55</f>
        <v>0</v>
      </c>
    </row>
    <row r="56" spans="1:6" x14ac:dyDescent="0.3">
      <c r="A56" s="2" t="s">
        <v>260</v>
      </c>
      <c r="B56" s="2" t="s">
        <v>261</v>
      </c>
      <c r="C56" s="2" t="s">
        <v>253</v>
      </c>
      <c r="D56" s="2" t="s">
        <v>188</v>
      </c>
      <c r="E56" s="2">
        <f>Buku_Besar!E56+Buku_Besar!G56+Buku_Besar!I56</f>
        <v>0</v>
      </c>
      <c r="F56" s="2">
        <f>Buku_Besar!F56+Buku_Besar!H56+Buku_Besar!J56</f>
        <v>0</v>
      </c>
    </row>
    <row r="57" spans="1:6" x14ac:dyDescent="0.3">
      <c r="A57" s="2" t="s">
        <v>262</v>
      </c>
      <c r="B57" s="2" t="s">
        <v>263</v>
      </c>
      <c r="C57" s="2" t="s">
        <v>253</v>
      </c>
      <c r="D57" s="2" t="s">
        <v>188</v>
      </c>
      <c r="E57" s="2">
        <f>Buku_Besar!E57+Buku_Besar!G57+Buku_Besar!I57</f>
        <v>0</v>
      </c>
      <c r="F57" s="2">
        <f>Buku_Besar!F57+Buku_Besar!H57+Buku_Besar!J57</f>
        <v>2200000</v>
      </c>
    </row>
    <row r="58" spans="1:6" x14ac:dyDescent="0.3">
      <c r="A58" s="2" t="s">
        <v>265</v>
      </c>
      <c r="B58" s="2" t="s">
        <v>266</v>
      </c>
      <c r="C58" s="2" t="s">
        <v>253</v>
      </c>
      <c r="D58" s="2" t="s">
        <v>188</v>
      </c>
      <c r="E58" s="2">
        <f>Buku_Besar!E58+Buku_Besar!G58+Buku_Besar!I58</f>
        <v>0</v>
      </c>
      <c r="F58" s="2">
        <f>Buku_Besar!F58+Buku_Besar!H58+Buku_Besar!J58</f>
        <v>2000000</v>
      </c>
    </row>
    <row r="59" spans="1:6" x14ac:dyDescent="0.3">
      <c r="A59" s="2" t="s">
        <v>267</v>
      </c>
      <c r="B59" s="2" t="s">
        <v>268</v>
      </c>
      <c r="C59" s="2" t="s">
        <v>253</v>
      </c>
      <c r="D59" s="2" t="s">
        <v>188</v>
      </c>
      <c r="E59" s="2">
        <f>Buku_Besar!E59+Buku_Besar!G59+Buku_Besar!I59</f>
        <v>0</v>
      </c>
      <c r="F59" s="2">
        <f>Buku_Besar!F59+Buku_Besar!H59+Buku_Besar!J59</f>
        <v>150000</v>
      </c>
    </row>
    <row r="60" spans="1:6" x14ac:dyDescent="0.3">
      <c r="A60" s="2" t="s">
        <v>269</v>
      </c>
      <c r="B60" s="2" t="s">
        <v>16</v>
      </c>
      <c r="C60" s="2" t="s">
        <v>270</v>
      </c>
      <c r="D60" s="2" t="s">
        <v>140</v>
      </c>
      <c r="E60" s="2">
        <f>Buku_Besar!E60+Buku_Besar!G60+Buku_Besar!I60</f>
        <v>406400000</v>
      </c>
      <c r="F60" s="2">
        <f>Buku_Besar!F60+Buku_Besar!H60+Buku_Besar!J60</f>
        <v>15000000</v>
      </c>
    </row>
    <row r="61" spans="1:6" x14ac:dyDescent="0.3">
      <c r="A61" s="2" t="s">
        <v>272</v>
      </c>
      <c r="B61" s="2" t="s">
        <v>273</v>
      </c>
      <c r="C61" s="2" t="s">
        <v>274</v>
      </c>
      <c r="D61" s="2" t="s">
        <v>140</v>
      </c>
      <c r="E61" s="2">
        <f>Buku_Besar!E61+Buku_Besar!G61+Buku_Besar!I61</f>
        <v>30000000</v>
      </c>
      <c r="F61" s="2">
        <f>Buku_Besar!F61+Buku_Besar!H61+Buku_Besar!J61</f>
        <v>0</v>
      </c>
    </row>
    <row r="62" spans="1:6" x14ac:dyDescent="0.3">
      <c r="A62" s="2" t="s">
        <v>276</v>
      </c>
      <c r="B62" s="2" t="s">
        <v>277</v>
      </c>
      <c r="C62" s="2" t="s">
        <v>274</v>
      </c>
      <c r="D62" s="2" t="s">
        <v>140</v>
      </c>
      <c r="E62" s="2">
        <f>Buku_Besar!E62+Buku_Besar!G62+Buku_Besar!I62</f>
        <v>3500000</v>
      </c>
      <c r="F62" s="2">
        <f>Buku_Besar!F62+Buku_Besar!H62+Buku_Besar!J62</f>
        <v>0</v>
      </c>
    </row>
    <row r="63" spans="1:6" x14ac:dyDescent="0.3">
      <c r="A63" s="2" t="s">
        <v>278</v>
      </c>
      <c r="B63" s="2" t="s">
        <v>279</v>
      </c>
      <c r="C63" s="2" t="s">
        <v>274</v>
      </c>
      <c r="D63" s="2" t="s">
        <v>140</v>
      </c>
      <c r="E63" s="2">
        <f>Buku_Besar!E63+Buku_Besar!G63+Buku_Besar!I63</f>
        <v>26000000</v>
      </c>
      <c r="F63" s="2">
        <f>Buku_Besar!F63+Buku_Besar!H63+Buku_Besar!J63</f>
        <v>0</v>
      </c>
    </row>
    <row r="64" spans="1:6" x14ac:dyDescent="0.3">
      <c r="A64" s="2" t="s">
        <v>280</v>
      </c>
      <c r="B64" s="2" t="s">
        <v>281</v>
      </c>
      <c r="C64" s="2" t="s">
        <v>274</v>
      </c>
      <c r="D64" s="2" t="s">
        <v>140</v>
      </c>
      <c r="E64" s="2">
        <f>Buku_Besar!E64+Buku_Besar!G64+Buku_Besar!I64</f>
        <v>1500000</v>
      </c>
      <c r="F64" s="2">
        <f>Buku_Besar!F64+Buku_Besar!H64+Buku_Besar!J64</f>
        <v>0</v>
      </c>
    </row>
    <row r="65" spans="1:6" x14ac:dyDescent="0.3">
      <c r="A65" s="2" t="s">
        <v>282</v>
      </c>
      <c r="B65" s="2" t="s">
        <v>283</v>
      </c>
      <c r="C65" s="2" t="s">
        <v>274</v>
      </c>
      <c r="D65" s="2" t="s">
        <v>140</v>
      </c>
      <c r="E65" s="2">
        <f>Buku_Besar!E65+Buku_Besar!G65+Buku_Besar!I65</f>
        <v>2200000</v>
      </c>
      <c r="F65" s="2">
        <f>Buku_Besar!F65+Buku_Besar!H65+Buku_Besar!J65</f>
        <v>0</v>
      </c>
    </row>
    <row r="66" spans="1:6" x14ac:dyDescent="0.3">
      <c r="A66" s="2" t="s">
        <v>284</v>
      </c>
      <c r="B66" s="2" t="s">
        <v>285</v>
      </c>
      <c r="C66" s="2" t="s">
        <v>274</v>
      </c>
      <c r="D66" s="2" t="s">
        <v>140</v>
      </c>
      <c r="E66" s="2">
        <f>Buku_Besar!E66+Buku_Besar!G66+Buku_Besar!I66</f>
        <v>1000000</v>
      </c>
      <c r="F66" s="2">
        <f>Buku_Besar!F66+Buku_Besar!H66+Buku_Besar!J66</f>
        <v>0</v>
      </c>
    </row>
    <row r="67" spans="1:6" x14ac:dyDescent="0.3">
      <c r="A67" s="2" t="s">
        <v>286</v>
      </c>
      <c r="B67" s="2" t="s">
        <v>287</v>
      </c>
      <c r="C67" s="2" t="s">
        <v>274</v>
      </c>
      <c r="D67" s="2" t="s">
        <v>140</v>
      </c>
      <c r="E67" s="2">
        <f>Buku_Besar!E67+Buku_Besar!G67+Buku_Besar!I67</f>
        <v>400000</v>
      </c>
      <c r="F67" s="2">
        <f>Buku_Besar!F67+Buku_Besar!H67+Buku_Besar!J67</f>
        <v>0</v>
      </c>
    </row>
    <row r="68" spans="1:6" x14ac:dyDescent="0.3">
      <c r="A68" s="2" t="s">
        <v>288</v>
      </c>
      <c r="B68" s="2" t="s">
        <v>289</v>
      </c>
      <c r="C68" s="2" t="s">
        <v>274</v>
      </c>
      <c r="D68" s="2" t="s">
        <v>140</v>
      </c>
      <c r="E68" s="2">
        <f>Buku_Besar!E68+Buku_Besar!G68+Buku_Besar!I68</f>
        <v>1250000</v>
      </c>
      <c r="F68" s="2">
        <f>Buku_Besar!F68+Buku_Besar!H68+Buku_Besar!J68</f>
        <v>0</v>
      </c>
    </row>
    <row r="69" spans="1:6" x14ac:dyDescent="0.3">
      <c r="A69" s="2" t="s">
        <v>290</v>
      </c>
      <c r="B69" s="2" t="s">
        <v>291</v>
      </c>
      <c r="C69" s="2" t="s">
        <v>274</v>
      </c>
      <c r="D69" s="2" t="s">
        <v>140</v>
      </c>
      <c r="E69" s="2">
        <f>Buku_Besar!E69+Buku_Besar!G69+Buku_Besar!I69</f>
        <v>333333.33</v>
      </c>
      <c r="F69" s="2">
        <f>Buku_Besar!F69+Buku_Besar!H69+Buku_Besar!J69</f>
        <v>0</v>
      </c>
    </row>
    <row r="70" spans="1:6" x14ac:dyDescent="0.3">
      <c r="A70" s="2" t="s">
        <v>292</v>
      </c>
      <c r="B70" s="2" t="s">
        <v>293</v>
      </c>
      <c r="C70" s="2" t="s">
        <v>274</v>
      </c>
      <c r="D70" s="2" t="s">
        <v>140</v>
      </c>
      <c r="E70" s="2">
        <f>Buku_Besar!E70+Buku_Besar!G70+Buku_Besar!I70</f>
        <v>4166666.67</v>
      </c>
      <c r="F70" s="2">
        <f>Buku_Besar!F70+Buku_Besar!H70+Buku_Besar!J70</f>
        <v>0</v>
      </c>
    </row>
    <row r="71" spans="1:6" x14ac:dyDescent="0.3">
      <c r="A71" s="2" t="s">
        <v>294</v>
      </c>
      <c r="B71" s="2" t="s">
        <v>295</v>
      </c>
      <c r="C71" s="2" t="s">
        <v>274</v>
      </c>
      <c r="D71" s="2" t="s">
        <v>140</v>
      </c>
      <c r="E71" s="2">
        <f>Buku_Besar!E71+Buku_Besar!G71+Buku_Besar!I71</f>
        <v>7400000</v>
      </c>
      <c r="F71" s="2">
        <f>Buku_Besar!F71+Buku_Besar!H71+Buku_Besar!J71</f>
        <v>0</v>
      </c>
    </row>
    <row r="72" spans="1:6" x14ac:dyDescent="0.3">
      <c r="A72" s="2" t="s">
        <v>296</v>
      </c>
      <c r="B72" s="2" t="s">
        <v>297</v>
      </c>
      <c r="C72" s="2" t="s">
        <v>274</v>
      </c>
      <c r="D72" s="2" t="s">
        <v>140</v>
      </c>
      <c r="E72" s="2">
        <f>Buku_Besar!E72+Buku_Besar!G72+Buku_Besar!I72</f>
        <v>3500000</v>
      </c>
      <c r="F72" s="2">
        <f>Buku_Besar!F72+Buku_Besar!H72+Buku_Besar!J72</f>
        <v>0</v>
      </c>
    </row>
    <row r="73" spans="1:6" x14ac:dyDescent="0.3">
      <c r="A73" s="2" t="s">
        <v>298</v>
      </c>
      <c r="B73" s="2" t="s">
        <v>299</v>
      </c>
      <c r="C73" s="2" t="s">
        <v>274</v>
      </c>
      <c r="D73" s="2" t="s">
        <v>140</v>
      </c>
      <c r="E73" s="2">
        <f>Buku_Besar!E73+Buku_Besar!G73+Buku_Besar!I73</f>
        <v>18000000</v>
      </c>
      <c r="F73" s="2">
        <f>Buku_Besar!F73+Buku_Besar!H73+Buku_Besar!J73</f>
        <v>0</v>
      </c>
    </row>
    <row r="74" spans="1:6" x14ac:dyDescent="0.3">
      <c r="A74" s="2" t="s">
        <v>300</v>
      </c>
      <c r="B74" s="2" t="s">
        <v>301</v>
      </c>
      <c r="C74" s="2" t="s">
        <v>274</v>
      </c>
      <c r="D74" s="2" t="s">
        <v>140</v>
      </c>
      <c r="E74" s="2">
        <f>Buku_Besar!E74+Buku_Besar!G74+Buku_Besar!I74</f>
        <v>3000000</v>
      </c>
      <c r="F74" s="2">
        <f>Buku_Besar!F74+Buku_Besar!H74+Buku_Besar!J74</f>
        <v>0</v>
      </c>
    </row>
    <row r="75" spans="1:6" x14ac:dyDescent="0.3">
      <c r="A75" s="2" t="s">
        <v>302</v>
      </c>
      <c r="B75" s="2" t="s">
        <v>303</v>
      </c>
      <c r="C75" s="2" t="s">
        <v>274</v>
      </c>
      <c r="D75" s="2" t="s">
        <v>140</v>
      </c>
      <c r="E75" s="2">
        <f>Buku_Besar!E75+Buku_Besar!G75+Buku_Besar!I75</f>
        <v>0</v>
      </c>
      <c r="F75" s="2">
        <f>Buku_Besar!F75+Buku_Besar!H75+Buku_Besar!J75</f>
        <v>0</v>
      </c>
    </row>
    <row r="76" spans="1:6" x14ac:dyDescent="0.3">
      <c r="A76" s="2" t="s">
        <v>304</v>
      </c>
      <c r="B76" s="2" t="s">
        <v>305</v>
      </c>
      <c r="C76" s="2" t="s">
        <v>274</v>
      </c>
      <c r="D76" s="2" t="s">
        <v>140</v>
      </c>
      <c r="E76" s="2">
        <f>Buku_Besar!E76+Buku_Besar!G76+Buku_Besar!I76</f>
        <v>4200000</v>
      </c>
      <c r="F76" s="2">
        <f>Buku_Besar!F76+Buku_Besar!H76+Buku_Besar!J76</f>
        <v>0</v>
      </c>
    </row>
    <row r="77" spans="1:6" x14ac:dyDescent="0.3">
      <c r="A77" s="2" t="s">
        <v>306</v>
      </c>
      <c r="B77" s="2" t="s">
        <v>307</v>
      </c>
      <c r="C77" s="2" t="s">
        <v>274</v>
      </c>
      <c r="D77" s="2" t="s">
        <v>140</v>
      </c>
      <c r="E77" s="2">
        <f>Buku_Besar!E77+Buku_Besar!G77+Buku_Besar!I77</f>
        <v>3800000</v>
      </c>
      <c r="F77" s="2">
        <f>Buku_Besar!F77+Buku_Besar!H77+Buku_Besar!J77</f>
        <v>0</v>
      </c>
    </row>
    <row r="78" spans="1:6" x14ac:dyDescent="0.3">
      <c r="A78" s="2" t="s">
        <v>308</v>
      </c>
      <c r="B78" s="2" t="s">
        <v>309</v>
      </c>
      <c r="C78" s="2" t="s">
        <v>274</v>
      </c>
      <c r="D78" s="2" t="s">
        <v>140</v>
      </c>
      <c r="E78" s="2">
        <f>Buku_Besar!E78+Buku_Besar!G78+Buku_Besar!I78</f>
        <v>7500000</v>
      </c>
      <c r="F78" s="2">
        <f>Buku_Besar!F78+Buku_Besar!H78+Buku_Besar!J78</f>
        <v>0</v>
      </c>
    </row>
    <row r="79" spans="1:6" x14ac:dyDescent="0.3">
      <c r="A79" s="2" t="s">
        <v>310</v>
      </c>
      <c r="B79" s="2" t="s">
        <v>311</v>
      </c>
      <c r="C79" s="2" t="s">
        <v>274</v>
      </c>
      <c r="D79" s="2" t="s">
        <v>140</v>
      </c>
      <c r="E79" s="2">
        <f>Buku_Besar!E79+Buku_Besar!G79+Buku_Besar!I79</f>
        <v>4500000</v>
      </c>
      <c r="F79" s="2">
        <f>Buku_Besar!F79+Buku_Besar!H79+Buku_Besar!J79</f>
        <v>0</v>
      </c>
    </row>
    <row r="80" spans="1:6" x14ac:dyDescent="0.3">
      <c r="A80" s="2" t="s">
        <v>312</v>
      </c>
      <c r="B80" s="2" t="s">
        <v>313</v>
      </c>
      <c r="C80" s="2" t="s">
        <v>274</v>
      </c>
      <c r="D80" s="2" t="s">
        <v>140</v>
      </c>
      <c r="E80" s="2">
        <f>Buku_Besar!E80+Buku_Besar!G80+Buku_Besar!I80</f>
        <v>10500000</v>
      </c>
      <c r="F80" s="2">
        <f>Buku_Besar!F80+Buku_Besar!H80+Buku_Besar!J80</f>
        <v>0</v>
      </c>
    </row>
    <row r="81" spans="1:6" x14ac:dyDescent="0.3">
      <c r="A81" s="2" t="s">
        <v>314</v>
      </c>
      <c r="B81" s="2" t="s">
        <v>315</v>
      </c>
      <c r="C81" s="2" t="s">
        <v>274</v>
      </c>
      <c r="D81" s="2" t="s">
        <v>140</v>
      </c>
      <c r="E81" s="2">
        <f>Buku_Besar!E81+Buku_Besar!G81+Buku_Besar!I81</f>
        <v>800000</v>
      </c>
      <c r="F81" s="2">
        <f>Buku_Besar!F81+Buku_Besar!H81+Buku_Besar!J81</f>
        <v>0</v>
      </c>
    </row>
    <row r="82" spans="1:6" x14ac:dyDescent="0.3">
      <c r="A82" s="2" t="s">
        <v>316</v>
      </c>
      <c r="B82" s="2" t="s">
        <v>317</v>
      </c>
      <c r="C82" s="2" t="s">
        <v>274</v>
      </c>
      <c r="D82" s="2" t="s">
        <v>140</v>
      </c>
      <c r="E82" s="2">
        <f>Buku_Besar!E82+Buku_Besar!G82+Buku_Besar!I82</f>
        <v>400000</v>
      </c>
      <c r="F82" s="2">
        <f>Buku_Besar!F82+Buku_Besar!H82+Buku_Besar!J82</f>
        <v>0</v>
      </c>
    </row>
    <row r="83" spans="1:6" x14ac:dyDescent="0.3">
      <c r="A83" s="2" t="s">
        <v>318</v>
      </c>
      <c r="B83" s="2" t="s">
        <v>319</v>
      </c>
      <c r="C83" s="2" t="s">
        <v>274</v>
      </c>
      <c r="D83" s="2" t="s">
        <v>140</v>
      </c>
      <c r="E83" s="2">
        <f>Buku_Besar!E83+Buku_Besar!G83+Buku_Besar!I83</f>
        <v>8000000</v>
      </c>
      <c r="F83" s="2">
        <f>Buku_Besar!F83+Buku_Besar!H83+Buku_Besar!J83</f>
        <v>0</v>
      </c>
    </row>
    <row r="84" spans="1:6" x14ac:dyDescent="0.3">
      <c r="A84" s="2" t="s">
        <v>321</v>
      </c>
      <c r="B84" s="2" t="s">
        <v>322</v>
      </c>
      <c r="C84" s="2" t="s">
        <v>274</v>
      </c>
      <c r="D84" s="2" t="s">
        <v>140</v>
      </c>
      <c r="E84" s="2">
        <f>Buku_Besar!E84+Buku_Besar!G84+Buku_Besar!I84</f>
        <v>2000000</v>
      </c>
      <c r="F84" s="2">
        <f>Buku_Besar!F84+Buku_Besar!H84+Buku_Besar!J84</f>
        <v>0</v>
      </c>
    </row>
    <row r="85" spans="1:6" x14ac:dyDescent="0.3">
      <c r="A85" s="2" t="s">
        <v>323</v>
      </c>
      <c r="B85" s="2" t="s">
        <v>324</v>
      </c>
      <c r="C85" s="2" t="s">
        <v>274</v>
      </c>
      <c r="D85" s="2" t="s">
        <v>140</v>
      </c>
      <c r="E85" s="2">
        <f>Buku_Besar!E85+Buku_Besar!G85+Buku_Besar!I85</f>
        <v>1500000</v>
      </c>
      <c r="F85" s="2">
        <f>Buku_Besar!F85+Buku_Besar!H85+Buku_Besar!J85</f>
        <v>0</v>
      </c>
    </row>
    <row r="86" spans="1:6" x14ac:dyDescent="0.3">
      <c r="A86" s="2" t="s">
        <v>325</v>
      </c>
      <c r="B86" s="2" t="s">
        <v>326</v>
      </c>
      <c r="C86" s="2" t="s">
        <v>274</v>
      </c>
      <c r="D86" s="2" t="s">
        <v>140</v>
      </c>
      <c r="E86" s="2">
        <f>Buku_Besar!E86+Buku_Besar!G86+Buku_Besar!I86</f>
        <v>800000</v>
      </c>
      <c r="F86" s="2">
        <f>Buku_Besar!F86+Buku_Besar!H86+Buku_Besar!J86</f>
        <v>0</v>
      </c>
    </row>
    <row r="87" spans="1:6" x14ac:dyDescent="0.3">
      <c r="A87" s="2" t="s">
        <v>327</v>
      </c>
      <c r="B87" s="2" t="s">
        <v>328</v>
      </c>
      <c r="C87" s="2" t="s">
        <v>274</v>
      </c>
      <c r="D87" s="2" t="s">
        <v>140</v>
      </c>
      <c r="E87" s="2">
        <f>Buku_Besar!E87+Buku_Besar!G87+Buku_Besar!I87</f>
        <v>300000</v>
      </c>
      <c r="F87" s="2">
        <f>Buku_Besar!F87+Buku_Besar!H87+Buku_Besar!J87</f>
        <v>0</v>
      </c>
    </row>
    <row r="88" spans="1:6" x14ac:dyDescent="0.3">
      <c r="A88" s="2" t="s">
        <v>329</v>
      </c>
      <c r="B88" s="2" t="s">
        <v>330</v>
      </c>
      <c r="C88" s="2" t="s">
        <v>274</v>
      </c>
      <c r="D88" s="2" t="s">
        <v>140</v>
      </c>
      <c r="E88" s="2">
        <f>Buku_Besar!E88+Buku_Besar!G88+Buku_Besar!I88</f>
        <v>1000000</v>
      </c>
      <c r="F88" s="2">
        <f>Buku_Besar!F88+Buku_Besar!H88+Buku_Besar!J88</f>
        <v>0</v>
      </c>
    </row>
    <row r="89" spans="1:6" x14ac:dyDescent="0.3">
      <c r="A89" s="2" t="s">
        <v>332</v>
      </c>
      <c r="B89" s="2" t="s">
        <v>333</v>
      </c>
      <c r="C89" s="2" t="s">
        <v>274</v>
      </c>
      <c r="D89" s="2" t="s">
        <v>140</v>
      </c>
      <c r="E89" s="2">
        <f>Buku_Besar!E89+Buku_Besar!G89+Buku_Besar!I89</f>
        <v>0</v>
      </c>
      <c r="F89" s="2">
        <f>Buku_Besar!F89+Buku_Besar!H89+Buku_Besar!J89</f>
        <v>0</v>
      </c>
    </row>
    <row r="90" spans="1:6" x14ac:dyDescent="0.3">
      <c r="A90" s="2" t="s">
        <v>334</v>
      </c>
      <c r="B90" s="2" t="s">
        <v>335</v>
      </c>
      <c r="C90" s="2" t="s">
        <v>198</v>
      </c>
      <c r="D90" s="2" t="s">
        <v>188</v>
      </c>
      <c r="E90" s="2">
        <f>Buku_Besar!E90+Buku_Besar!G90+Buku_Besar!I90</f>
        <v>0</v>
      </c>
      <c r="F90" s="2">
        <f>Buku_Besar!F90+Buku_Besar!H90+Buku_Besar!J90</f>
        <v>12100000</v>
      </c>
    </row>
    <row r="91" spans="1:6" x14ac:dyDescent="0.3">
      <c r="A91" s="2" t="s">
        <v>336</v>
      </c>
      <c r="B91" s="2" t="s">
        <v>337</v>
      </c>
      <c r="C91" s="2" t="s">
        <v>198</v>
      </c>
      <c r="D91" s="2" t="s">
        <v>188</v>
      </c>
      <c r="E91" s="2">
        <f>Buku_Besar!E91+Buku_Besar!G91+Buku_Besar!I91</f>
        <v>78210000</v>
      </c>
      <c r="F91" s="2">
        <f>Buku_Besar!F91+Buku_Besar!H91+Buku_Besar!J91</f>
        <v>78210000</v>
      </c>
    </row>
    <row r="92" spans="1:6" x14ac:dyDescent="0.3">
      <c r="A92" s="2" t="s">
        <v>922</v>
      </c>
      <c r="B92" s="2"/>
      <c r="C92" s="2"/>
      <c r="D92" s="2"/>
      <c r="E92" s="14">
        <f>SUM(E4:E91)</f>
        <v>5899864000</v>
      </c>
      <c r="F92" s="14">
        <f>SUM(F4:F91)</f>
        <v>5899864000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82"/>
  <sheetViews>
    <sheetView topLeftCell="A2" workbookViewId="0">
      <selection activeCell="A2" sqref="A2:G82"/>
    </sheetView>
  </sheetViews>
  <sheetFormatPr defaultRowHeight="14.4" x14ac:dyDescent="0.3"/>
  <cols>
    <col min="1" max="2" width="10.88671875" bestFit="1" customWidth="1"/>
    <col min="3" max="3" width="10.77734375" bestFit="1" customWidth="1"/>
    <col min="4" max="4" width="30.5546875" bestFit="1" customWidth="1"/>
    <col min="5" max="6" width="15" bestFit="1" customWidth="1"/>
    <col min="7" max="7" width="44.109375" bestFit="1" customWidth="1"/>
  </cols>
  <sheetData>
    <row r="1" spans="1:7" x14ac:dyDescent="0.3">
      <c r="A1" t="s">
        <v>1193</v>
      </c>
    </row>
    <row r="2" spans="1:7" x14ac:dyDescent="0.3">
      <c r="A2" s="2" t="s">
        <v>1496</v>
      </c>
      <c r="B2" s="2" t="s">
        <v>1497</v>
      </c>
      <c r="C2" s="2" t="s">
        <v>1498</v>
      </c>
      <c r="D2" s="2" t="s">
        <v>1499</v>
      </c>
      <c r="E2" s="2" t="s">
        <v>1500</v>
      </c>
      <c r="F2" s="2" t="s">
        <v>1501</v>
      </c>
      <c r="G2" s="2" t="s">
        <v>1502</v>
      </c>
    </row>
    <row r="3" spans="1:7" x14ac:dyDescent="0.3">
      <c r="A3" s="2" t="s">
        <v>454</v>
      </c>
      <c r="B3" s="2" t="s">
        <v>453</v>
      </c>
      <c r="C3" s="2" t="s">
        <v>1194</v>
      </c>
      <c r="D3" s="2" t="s">
        <v>773</v>
      </c>
      <c r="E3" s="2" t="s">
        <v>774</v>
      </c>
      <c r="F3" s="2" t="s">
        <v>775</v>
      </c>
      <c r="G3" s="2" t="s">
        <v>425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>
        <v>46418</v>
      </c>
      <c r="B5" s="2">
        <v>1</v>
      </c>
      <c r="C5" s="2" t="s">
        <v>1195</v>
      </c>
      <c r="D5" s="2" t="s">
        <v>252</v>
      </c>
      <c r="E5" s="2">
        <f>Buku_Besar!$L$53</f>
        <v>699000000</v>
      </c>
      <c r="F5" s="2">
        <v>0</v>
      </c>
      <c r="G5" s="2" t="s">
        <v>1196</v>
      </c>
    </row>
    <row r="6" spans="1:7" x14ac:dyDescent="0.3">
      <c r="A6" s="2">
        <v>46418</v>
      </c>
      <c r="B6" s="2">
        <v>2</v>
      </c>
      <c r="C6" s="2" t="s">
        <v>1195</v>
      </c>
      <c r="D6" s="2" t="s">
        <v>248</v>
      </c>
      <c r="E6" s="2">
        <v>0</v>
      </c>
      <c r="F6" s="2">
        <f>Buku_Besar!$L$53</f>
        <v>699000000</v>
      </c>
      <c r="G6" s="2" t="s">
        <v>1197</v>
      </c>
    </row>
    <row r="7" spans="1:7" x14ac:dyDescent="0.3">
      <c r="A7" s="2">
        <v>46418</v>
      </c>
      <c r="B7" s="2">
        <v>3</v>
      </c>
      <c r="C7" s="2" t="s">
        <v>1195</v>
      </c>
      <c r="D7" s="2" t="s">
        <v>248</v>
      </c>
      <c r="E7" s="2">
        <f>Buku_Besar!$K$54</f>
        <v>25000000</v>
      </c>
      <c r="F7" s="2">
        <v>0</v>
      </c>
      <c r="G7" s="2" t="s">
        <v>1198</v>
      </c>
    </row>
    <row r="8" spans="1:7" x14ac:dyDescent="0.3">
      <c r="A8" s="2">
        <v>46418</v>
      </c>
      <c r="B8" s="2">
        <v>4</v>
      </c>
      <c r="C8" s="2" t="s">
        <v>1195</v>
      </c>
      <c r="D8" s="2" t="s">
        <v>256</v>
      </c>
      <c r="E8" s="2">
        <v>0</v>
      </c>
      <c r="F8" s="2">
        <f>Buku_Besar!$K$54</f>
        <v>25000000</v>
      </c>
      <c r="G8" s="2" t="s">
        <v>1198</v>
      </c>
    </row>
    <row r="9" spans="1:7" x14ac:dyDescent="0.3">
      <c r="A9" s="2">
        <v>46418</v>
      </c>
      <c r="B9" s="2">
        <v>5</v>
      </c>
      <c r="C9" s="2" t="s">
        <v>1195</v>
      </c>
      <c r="D9" s="2" t="s">
        <v>248</v>
      </c>
      <c r="E9" s="2">
        <f>Buku_Besar!$K$55</f>
        <v>4600000</v>
      </c>
      <c r="F9" s="2">
        <v>0</v>
      </c>
      <c r="G9" s="2" t="s">
        <v>1199</v>
      </c>
    </row>
    <row r="10" spans="1:7" x14ac:dyDescent="0.3">
      <c r="A10" s="2">
        <v>46418</v>
      </c>
      <c r="B10" s="2">
        <v>6</v>
      </c>
      <c r="C10" s="2" t="s">
        <v>1195</v>
      </c>
      <c r="D10" s="2" t="s">
        <v>259</v>
      </c>
      <c r="E10" s="2">
        <v>0</v>
      </c>
      <c r="F10" s="2">
        <f>Buku_Besar!$K$55</f>
        <v>4600000</v>
      </c>
      <c r="G10" s="2" t="s">
        <v>1199</v>
      </c>
    </row>
    <row r="11" spans="1:7" x14ac:dyDescent="0.3">
      <c r="A11" s="2">
        <v>46418</v>
      </c>
      <c r="B11" s="2">
        <v>7</v>
      </c>
      <c r="C11" s="2" t="s">
        <v>1195</v>
      </c>
      <c r="D11" s="2" t="s">
        <v>261</v>
      </c>
      <c r="E11" s="2">
        <f>Buku_Besar!$L$56</f>
        <v>0</v>
      </c>
      <c r="F11" s="2">
        <v>0</v>
      </c>
      <c r="G11" s="2" t="s">
        <v>1200</v>
      </c>
    </row>
    <row r="12" spans="1:7" x14ac:dyDescent="0.3">
      <c r="A12" s="2">
        <v>46418</v>
      </c>
      <c r="B12" s="2">
        <v>8</v>
      </c>
      <c r="C12" s="2" t="s">
        <v>1195</v>
      </c>
      <c r="D12" s="2" t="s">
        <v>248</v>
      </c>
      <c r="E12" s="2">
        <v>0</v>
      </c>
      <c r="F12" s="2">
        <f>Buku_Besar!$L$56</f>
        <v>0</v>
      </c>
      <c r="G12" s="2" t="s">
        <v>1201</v>
      </c>
    </row>
    <row r="13" spans="1:7" x14ac:dyDescent="0.3">
      <c r="A13" s="2">
        <v>46418</v>
      </c>
      <c r="B13" s="2">
        <v>9</v>
      </c>
      <c r="C13" s="2" t="s">
        <v>1195</v>
      </c>
      <c r="D13" s="2" t="s">
        <v>263</v>
      </c>
      <c r="E13" s="2">
        <f>Buku_Besar!$L$57</f>
        <v>2200000</v>
      </c>
      <c r="F13" s="2">
        <v>0</v>
      </c>
      <c r="G13" s="2" t="s">
        <v>1202</v>
      </c>
    </row>
    <row r="14" spans="1:7" x14ac:dyDescent="0.3">
      <c r="A14" s="2">
        <v>46418</v>
      </c>
      <c r="B14" s="2">
        <v>10</v>
      </c>
      <c r="C14" s="2" t="s">
        <v>1195</v>
      </c>
      <c r="D14" s="2" t="s">
        <v>248</v>
      </c>
      <c r="E14" s="2">
        <v>0</v>
      </c>
      <c r="F14" s="2">
        <f>Buku_Besar!$L$57</f>
        <v>2200000</v>
      </c>
      <c r="G14" s="2" t="s">
        <v>1203</v>
      </c>
    </row>
    <row r="15" spans="1:7" x14ac:dyDescent="0.3">
      <c r="A15" s="2">
        <v>46418</v>
      </c>
      <c r="B15" s="2">
        <v>11</v>
      </c>
      <c r="C15" s="2" t="s">
        <v>1195</v>
      </c>
      <c r="D15" s="2" t="s">
        <v>266</v>
      </c>
      <c r="E15" s="2">
        <f>Buku_Besar!$L$58</f>
        <v>2000000</v>
      </c>
      <c r="F15" s="2">
        <v>0</v>
      </c>
      <c r="G15" s="2" t="s">
        <v>1204</v>
      </c>
    </row>
    <row r="16" spans="1:7" x14ac:dyDescent="0.3">
      <c r="A16" s="2">
        <v>46418</v>
      </c>
      <c r="B16" s="2">
        <v>12</v>
      </c>
      <c r="C16" s="2" t="s">
        <v>1195</v>
      </c>
      <c r="D16" s="2" t="s">
        <v>248</v>
      </c>
      <c r="E16" s="2">
        <v>0</v>
      </c>
      <c r="F16" s="2">
        <f>Buku_Besar!$L$58</f>
        <v>2000000</v>
      </c>
      <c r="G16" s="2" t="s">
        <v>1205</v>
      </c>
    </row>
    <row r="17" spans="1:7" x14ac:dyDescent="0.3">
      <c r="A17" s="2">
        <v>46418</v>
      </c>
      <c r="B17" s="2">
        <v>13</v>
      </c>
      <c r="C17" s="2" t="s">
        <v>1195</v>
      </c>
      <c r="D17" s="2" t="s">
        <v>268</v>
      </c>
      <c r="E17" s="2">
        <f>Buku_Besar!$L$59</f>
        <v>150000</v>
      </c>
      <c r="F17" s="2">
        <v>0</v>
      </c>
      <c r="G17" s="2" t="s">
        <v>1206</v>
      </c>
    </row>
    <row r="18" spans="1:7" x14ac:dyDescent="0.3">
      <c r="A18" s="2">
        <v>46418</v>
      </c>
      <c r="B18" s="2">
        <v>14</v>
      </c>
      <c r="C18" s="2" t="s">
        <v>1195</v>
      </c>
      <c r="D18" s="2" t="s">
        <v>248</v>
      </c>
      <c r="E18" s="2">
        <v>0</v>
      </c>
      <c r="F18" s="2">
        <f>Buku_Besar!$L$59</f>
        <v>150000</v>
      </c>
      <c r="G18" s="2" t="s">
        <v>1207</v>
      </c>
    </row>
    <row r="19" spans="1:7" x14ac:dyDescent="0.3">
      <c r="A19" s="2">
        <v>46418</v>
      </c>
      <c r="B19" s="2">
        <v>15</v>
      </c>
      <c r="C19" s="2" t="s">
        <v>1195</v>
      </c>
      <c r="D19" s="2" t="s">
        <v>248</v>
      </c>
      <c r="E19" s="2">
        <f>Buku_Besar!$K$60</f>
        <v>391400000</v>
      </c>
      <c r="F19" s="2">
        <v>0</v>
      </c>
      <c r="G19" s="2" t="s">
        <v>1208</v>
      </c>
    </row>
    <row r="20" spans="1:7" x14ac:dyDescent="0.3">
      <c r="A20" s="2">
        <v>46418</v>
      </c>
      <c r="B20" s="2">
        <v>16</v>
      </c>
      <c r="C20" s="2" t="s">
        <v>1195</v>
      </c>
      <c r="D20" s="2" t="s">
        <v>16</v>
      </c>
      <c r="E20" s="2">
        <v>0</v>
      </c>
      <c r="F20" s="2">
        <f>Buku_Besar!$K$60</f>
        <v>391400000</v>
      </c>
      <c r="G20" s="2" t="s">
        <v>1209</v>
      </c>
    </row>
    <row r="21" spans="1:7" x14ac:dyDescent="0.3">
      <c r="A21" s="2">
        <v>46418</v>
      </c>
      <c r="B21" s="2">
        <v>17</v>
      </c>
      <c r="C21" s="2" t="s">
        <v>1195</v>
      </c>
      <c r="D21" s="2" t="s">
        <v>248</v>
      </c>
      <c r="E21" s="2">
        <f>Buku_Besar!$K$61</f>
        <v>30000000</v>
      </c>
      <c r="F21" s="2">
        <v>0</v>
      </c>
      <c r="G21" s="2" t="s">
        <v>1210</v>
      </c>
    </row>
    <row r="22" spans="1:7" x14ac:dyDescent="0.3">
      <c r="A22" s="2">
        <v>46418</v>
      </c>
      <c r="B22" s="2">
        <v>18</v>
      </c>
      <c r="C22" s="2" t="s">
        <v>1195</v>
      </c>
      <c r="D22" s="2" t="s">
        <v>273</v>
      </c>
      <c r="E22" s="2">
        <v>0</v>
      </c>
      <c r="F22" s="2">
        <f>Buku_Besar!$K$61</f>
        <v>30000000</v>
      </c>
      <c r="G22" s="2" t="s">
        <v>1211</v>
      </c>
    </row>
    <row r="23" spans="1:7" x14ac:dyDescent="0.3">
      <c r="A23" s="2">
        <v>46418</v>
      </c>
      <c r="B23" s="2">
        <v>19</v>
      </c>
      <c r="C23" s="2" t="s">
        <v>1195</v>
      </c>
      <c r="D23" s="2" t="s">
        <v>248</v>
      </c>
      <c r="E23" s="2">
        <f>Buku_Besar!$K$62</f>
        <v>3500000</v>
      </c>
      <c r="F23" s="2">
        <v>0</v>
      </c>
      <c r="G23" s="2" t="s">
        <v>1212</v>
      </c>
    </row>
    <row r="24" spans="1:7" x14ac:dyDescent="0.3">
      <c r="A24" s="2">
        <v>46418</v>
      </c>
      <c r="B24" s="2">
        <v>20</v>
      </c>
      <c r="C24" s="2" t="s">
        <v>1195</v>
      </c>
      <c r="D24" s="2" t="s">
        <v>277</v>
      </c>
      <c r="E24" s="2">
        <v>0</v>
      </c>
      <c r="F24" s="2">
        <f>Buku_Besar!$K$62</f>
        <v>3500000</v>
      </c>
      <c r="G24" s="2" t="s">
        <v>1213</v>
      </c>
    </row>
    <row r="25" spans="1:7" x14ac:dyDescent="0.3">
      <c r="A25" s="2">
        <v>46418</v>
      </c>
      <c r="B25" s="2">
        <v>21</v>
      </c>
      <c r="C25" s="2" t="s">
        <v>1195</v>
      </c>
      <c r="D25" s="2" t="s">
        <v>248</v>
      </c>
      <c r="E25" s="2">
        <f>Buku_Besar!$K$63</f>
        <v>26000000</v>
      </c>
      <c r="F25" s="2">
        <v>0</v>
      </c>
      <c r="G25" s="2" t="s">
        <v>1214</v>
      </c>
    </row>
    <row r="26" spans="1:7" x14ac:dyDescent="0.3">
      <c r="A26" s="2">
        <v>46418</v>
      </c>
      <c r="B26" s="2">
        <v>22</v>
      </c>
      <c r="C26" s="2" t="s">
        <v>1195</v>
      </c>
      <c r="D26" s="2" t="s">
        <v>279</v>
      </c>
      <c r="E26" s="2">
        <v>0</v>
      </c>
      <c r="F26" s="2">
        <f>Buku_Besar!$K$63</f>
        <v>26000000</v>
      </c>
      <c r="G26" s="2" t="s">
        <v>1215</v>
      </c>
    </row>
    <row r="27" spans="1:7" x14ac:dyDescent="0.3">
      <c r="A27" s="2">
        <v>46418</v>
      </c>
      <c r="B27" s="2">
        <v>23</v>
      </c>
      <c r="C27" s="2" t="s">
        <v>1195</v>
      </c>
      <c r="D27" s="2" t="s">
        <v>248</v>
      </c>
      <c r="E27" s="2">
        <f>Buku_Besar!$K$64</f>
        <v>1500000</v>
      </c>
      <c r="F27" s="2">
        <v>0</v>
      </c>
      <c r="G27" s="2" t="s">
        <v>1216</v>
      </c>
    </row>
    <row r="28" spans="1:7" x14ac:dyDescent="0.3">
      <c r="A28" s="2">
        <v>46418</v>
      </c>
      <c r="B28" s="2">
        <v>24</v>
      </c>
      <c r="C28" s="2" t="s">
        <v>1195</v>
      </c>
      <c r="D28" s="2" t="s">
        <v>281</v>
      </c>
      <c r="E28" s="2">
        <v>0</v>
      </c>
      <c r="F28" s="2">
        <f>Buku_Besar!$K$64</f>
        <v>1500000</v>
      </c>
      <c r="G28" s="2" t="s">
        <v>1217</v>
      </c>
    </row>
    <row r="29" spans="1:7" x14ac:dyDescent="0.3">
      <c r="A29" s="2">
        <v>46418</v>
      </c>
      <c r="B29" s="2">
        <v>25</v>
      </c>
      <c r="C29" s="2" t="s">
        <v>1195</v>
      </c>
      <c r="D29" s="2" t="s">
        <v>248</v>
      </c>
      <c r="E29" s="2">
        <f>Buku_Besar!$K$65</f>
        <v>2200000</v>
      </c>
      <c r="F29" s="2">
        <v>0</v>
      </c>
      <c r="G29" s="2" t="s">
        <v>1218</v>
      </c>
    </row>
    <row r="30" spans="1:7" x14ac:dyDescent="0.3">
      <c r="A30" s="2">
        <v>46418</v>
      </c>
      <c r="B30" s="2">
        <v>26</v>
      </c>
      <c r="C30" s="2" t="s">
        <v>1195</v>
      </c>
      <c r="D30" s="2" t="s">
        <v>283</v>
      </c>
      <c r="E30" s="2">
        <v>0</v>
      </c>
      <c r="F30" s="2">
        <f>Buku_Besar!$K$65</f>
        <v>2200000</v>
      </c>
      <c r="G30" s="2" t="s">
        <v>1219</v>
      </c>
    </row>
    <row r="31" spans="1:7" x14ac:dyDescent="0.3">
      <c r="A31" s="2">
        <v>46418</v>
      </c>
      <c r="B31" s="2">
        <v>27</v>
      </c>
      <c r="C31" s="2" t="s">
        <v>1195</v>
      </c>
      <c r="D31" s="2" t="s">
        <v>248</v>
      </c>
      <c r="E31" s="2">
        <f>Buku_Besar!$K$66</f>
        <v>1000000</v>
      </c>
      <c r="F31" s="2">
        <v>0</v>
      </c>
      <c r="G31" s="2" t="s">
        <v>1220</v>
      </c>
    </row>
    <row r="32" spans="1:7" x14ac:dyDescent="0.3">
      <c r="A32" s="2">
        <v>46418</v>
      </c>
      <c r="B32" s="2">
        <v>28</v>
      </c>
      <c r="C32" s="2" t="s">
        <v>1195</v>
      </c>
      <c r="D32" s="2" t="s">
        <v>285</v>
      </c>
      <c r="E32" s="2">
        <v>0</v>
      </c>
      <c r="F32" s="2">
        <f>Buku_Besar!$K$66</f>
        <v>1000000</v>
      </c>
      <c r="G32" s="2" t="s">
        <v>1221</v>
      </c>
    </row>
    <row r="33" spans="1:7" x14ac:dyDescent="0.3">
      <c r="A33" s="2">
        <v>46418</v>
      </c>
      <c r="B33" s="2">
        <v>29</v>
      </c>
      <c r="C33" s="2" t="s">
        <v>1195</v>
      </c>
      <c r="D33" s="2" t="s">
        <v>248</v>
      </c>
      <c r="E33" s="2">
        <f>Buku_Besar!$K$67</f>
        <v>400000</v>
      </c>
      <c r="F33" s="2">
        <v>0</v>
      </c>
      <c r="G33" s="2" t="s">
        <v>1222</v>
      </c>
    </row>
    <row r="34" spans="1:7" x14ac:dyDescent="0.3">
      <c r="A34" s="2">
        <v>46418</v>
      </c>
      <c r="B34" s="2">
        <v>30</v>
      </c>
      <c r="C34" s="2" t="s">
        <v>1195</v>
      </c>
      <c r="D34" s="2" t="s">
        <v>287</v>
      </c>
      <c r="E34" s="2">
        <v>0</v>
      </c>
      <c r="F34" s="2">
        <f>Buku_Besar!$K$67</f>
        <v>400000</v>
      </c>
      <c r="G34" s="2" t="s">
        <v>1223</v>
      </c>
    </row>
    <row r="35" spans="1:7" x14ac:dyDescent="0.3">
      <c r="A35" s="2">
        <v>46418</v>
      </c>
      <c r="B35" s="2">
        <v>31</v>
      </c>
      <c r="C35" s="2" t="s">
        <v>1195</v>
      </c>
      <c r="D35" s="2" t="s">
        <v>248</v>
      </c>
      <c r="E35" s="2">
        <f>Buku_Besar!$K$68</f>
        <v>1250000</v>
      </c>
      <c r="F35" s="2">
        <v>0</v>
      </c>
      <c r="G35" s="2" t="s">
        <v>1224</v>
      </c>
    </row>
    <row r="36" spans="1:7" x14ac:dyDescent="0.3">
      <c r="A36" s="2">
        <v>46418</v>
      </c>
      <c r="B36" s="2">
        <v>32</v>
      </c>
      <c r="C36" s="2" t="s">
        <v>1195</v>
      </c>
      <c r="D36" s="2" t="s">
        <v>289</v>
      </c>
      <c r="E36" s="2">
        <v>0</v>
      </c>
      <c r="F36" s="2">
        <f>Buku_Besar!$K$68</f>
        <v>1250000</v>
      </c>
      <c r="G36" s="2" t="s">
        <v>1225</v>
      </c>
    </row>
    <row r="37" spans="1:7" x14ac:dyDescent="0.3">
      <c r="A37" s="2">
        <v>46418</v>
      </c>
      <c r="B37" s="2">
        <v>33</v>
      </c>
      <c r="C37" s="2" t="s">
        <v>1195</v>
      </c>
      <c r="D37" s="2" t="s">
        <v>248</v>
      </c>
      <c r="E37" s="2">
        <f>Buku_Besar!$K$69</f>
        <v>333333.33</v>
      </c>
      <c r="F37" s="2">
        <v>0</v>
      </c>
      <c r="G37" s="2" t="s">
        <v>1226</v>
      </c>
    </row>
    <row r="38" spans="1:7" x14ac:dyDescent="0.3">
      <c r="A38" s="2">
        <v>46418</v>
      </c>
      <c r="B38" s="2">
        <v>34</v>
      </c>
      <c r="C38" s="2" t="s">
        <v>1195</v>
      </c>
      <c r="D38" s="2" t="s">
        <v>291</v>
      </c>
      <c r="E38" s="2">
        <v>0</v>
      </c>
      <c r="F38" s="2">
        <f>Buku_Besar!$K$69</f>
        <v>333333.33</v>
      </c>
      <c r="G38" s="2" t="s">
        <v>1227</v>
      </c>
    </row>
    <row r="39" spans="1:7" x14ac:dyDescent="0.3">
      <c r="A39" s="2">
        <v>46418</v>
      </c>
      <c r="B39" s="2">
        <v>35</v>
      </c>
      <c r="C39" s="2" t="s">
        <v>1195</v>
      </c>
      <c r="D39" s="2" t="s">
        <v>248</v>
      </c>
      <c r="E39" s="2">
        <f>Buku_Besar!$K$70</f>
        <v>4166666.67</v>
      </c>
      <c r="F39" s="2">
        <v>0</v>
      </c>
      <c r="G39" s="2" t="s">
        <v>1228</v>
      </c>
    </row>
    <row r="40" spans="1:7" x14ac:dyDescent="0.3">
      <c r="A40" s="2">
        <v>46418</v>
      </c>
      <c r="B40" s="2">
        <v>36</v>
      </c>
      <c r="C40" s="2" t="s">
        <v>1195</v>
      </c>
      <c r="D40" s="2" t="s">
        <v>293</v>
      </c>
      <c r="E40" s="2">
        <v>0</v>
      </c>
      <c r="F40" s="2">
        <f>Buku_Besar!$K$70</f>
        <v>4166666.67</v>
      </c>
      <c r="G40" s="2" t="s">
        <v>1229</v>
      </c>
    </row>
    <row r="41" spans="1:7" x14ac:dyDescent="0.3">
      <c r="A41" s="2">
        <v>46418</v>
      </c>
      <c r="B41" s="2">
        <v>37</v>
      </c>
      <c r="C41" s="2" t="s">
        <v>1195</v>
      </c>
      <c r="D41" s="2" t="s">
        <v>248</v>
      </c>
      <c r="E41" s="2">
        <f>Buku_Besar!$K$71</f>
        <v>7400000</v>
      </c>
      <c r="F41" s="2">
        <v>0</v>
      </c>
      <c r="G41" s="2" t="s">
        <v>1230</v>
      </c>
    </row>
    <row r="42" spans="1:7" x14ac:dyDescent="0.3">
      <c r="A42" s="2">
        <v>46418</v>
      </c>
      <c r="B42" s="2">
        <v>38</v>
      </c>
      <c r="C42" s="2" t="s">
        <v>1195</v>
      </c>
      <c r="D42" s="2" t="s">
        <v>295</v>
      </c>
      <c r="E42" s="2">
        <v>0</v>
      </c>
      <c r="F42" s="2">
        <f>Buku_Besar!$K$71</f>
        <v>7400000</v>
      </c>
      <c r="G42" s="2" t="s">
        <v>1231</v>
      </c>
    </row>
    <row r="43" spans="1:7" x14ac:dyDescent="0.3">
      <c r="A43" s="2">
        <v>46418</v>
      </c>
      <c r="B43" s="2">
        <v>39</v>
      </c>
      <c r="C43" s="2" t="s">
        <v>1195</v>
      </c>
      <c r="D43" s="2" t="s">
        <v>248</v>
      </c>
      <c r="E43" s="2">
        <f>Buku_Besar!$K$72</f>
        <v>3500000</v>
      </c>
      <c r="F43" s="2">
        <v>0</v>
      </c>
      <c r="G43" s="2" t="s">
        <v>1232</v>
      </c>
    </row>
    <row r="44" spans="1:7" x14ac:dyDescent="0.3">
      <c r="A44" s="2">
        <v>46418</v>
      </c>
      <c r="B44" s="2">
        <v>40</v>
      </c>
      <c r="C44" s="2" t="s">
        <v>1195</v>
      </c>
      <c r="D44" s="2" t="s">
        <v>297</v>
      </c>
      <c r="E44" s="2">
        <v>0</v>
      </c>
      <c r="F44" s="2">
        <f>Buku_Besar!$K$72</f>
        <v>3500000</v>
      </c>
      <c r="G44" s="2" t="s">
        <v>1233</v>
      </c>
    </row>
    <row r="45" spans="1:7" x14ac:dyDescent="0.3">
      <c r="A45" s="2">
        <v>46418</v>
      </c>
      <c r="B45" s="2">
        <v>41</v>
      </c>
      <c r="C45" s="2" t="s">
        <v>1195</v>
      </c>
      <c r="D45" s="2" t="s">
        <v>248</v>
      </c>
      <c r="E45" s="2">
        <f>Buku_Besar!$K$73</f>
        <v>18000000</v>
      </c>
      <c r="F45" s="2">
        <v>0</v>
      </c>
      <c r="G45" s="2" t="s">
        <v>1234</v>
      </c>
    </row>
    <row r="46" spans="1:7" x14ac:dyDescent="0.3">
      <c r="A46" s="2">
        <v>46418</v>
      </c>
      <c r="B46" s="2">
        <v>42</v>
      </c>
      <c r="C46" s="2" t="s">
        <v>1195</v>
      </c>
      <c r="D46" s="2" t="s">
        <v>299</v>
      </c>
      <c r="E46" s="2">
        <v>0</v>
      </c>
      <c r="F46" s="2">
        <f>Buku_Besar!$K$73</f>
        <v>18000000</v>
      </c>
      <c r="G46" s="2" t="s">
        <v>1235</v>
      </c>
    </row>
    <row r="47" spans="1:7" x14ac:dyDescent="0.3">
      <c r="A47" s="2">
        <v>46418</v>
      </c>
      <c r="B47" s="2">
        <v>43</v>
      </c>
      <c r="C47" s="2" t="s">
        <v>1195</v>
      </c>
      <c r="D47" s="2" t="s">
        <v>248</v>
      </c>
      <c r="E47" s="2">
        <f>Buku_Besar!$K$74</f>
        <v>3000000</v>
      </c>
      <c r="F47" s="2">
        <v>0</v>
      </c>
      <c r="G47" s="2" t="s">
        <v>1236</v>
      </c>
    </row>
    <row r="48" spans="1:7" x14ac:dyDescent="0.3">
      <c r="A48" s="2">
        <v>46418</v>
      </c>
      <c r="B48" s="2">
        <v>44</v>
      </c>
      <c r="C48" s="2" t="s">
        <v>1195</v>
      </c>
      <c r="D48" s="2" t="s">
        <v>301</v>
      </c>
      <c r="E48" s="2">
        <v>0</v>
      </c>
      <c r="F48" s="2">
        <f>Buku_Besar!$K$74</f>
        <v>3000000</v>
      </c>
      <c r="G48" s="2" t="s">
        <v>1237</v>
      </c>
    </row>
    <row r="49" spans="1:7" x14ac:dyDescent="0.3">
      <c r="A49" s="2">
        <v>46418</v>
      </c>
      <c r="B49" s="2">
        <v>45</v>
      </c>
      <c r="C49" s="2" t="s">
        <v>1195</v>
      </c>
      <c r="D49" s="2" t="s">
        <v>248</v>
      </c>
      <c r="E49" s="2">
        <f>Buku_Besar!$K$75</f>
        <v>0</v>
      </c>
      <c r="F49" s="2">
        <v>0</v>
      </c>
      <c r="G49" s="2" t="s">
        <v>1238</v>
      </c>
    </row>
    <row r="50" spans="1:7" x14ac:dyDescent="0.3">
      <c r="A50" s="2">
        <v>46418</v>
      </c>
      <c r="B50" s="2">
        <v>46</v>
      </c>
      <c r="C50" s="2" t="s">
        <v>1195</v>
      </c>
      <c r="D50" s="2" t="s">
        <v>303</v>
      </c>
      <c r="E50" s="2">
        <v>0</v>
      </c>
      <c r="F50" s="2">
        <f>Buku_Besar!$K$75</f>
        <v>0</v>
      </c>
      <c r="G50" s="2" t="s">
        <v>1239</v>
      </c>
    </row>
    <row r="51" spans="1:7" x14ac:dyDescent="0.3">
      <c r="A51" s="2">
        <v>46418</v>
      </c>
      <c r="B51" s="2">
        <v>47</v>
      </c>
      <c r="C51" s="2" t="s">
        <v>1195</v>
      </c>
      <c r="D51" s="2" t="s">
        <v>248</v>
      </c>
      <c r="E51" s="2">
        <f>Buku_Besar!$K$76</f>
        <v>4200000</v>
      </c>
      <c r="F51" s="2">
        <v>0</v>
      </c>
      <c r="G51" s="2" t="s">
        <v>1240</v>
      </c>
    </row>
    <row r="52" spans="1:7" x14ac:dyDescent="0.3">
      <c r="A52" s="2">
        <v>46418</v>
      </c>
      <c r="B52" s="2">
        <v>48</v>
      </c>
      <c r="C52" s="2" t="s">
        <v>1195</v>
      </c>
      <c r="D52" s="2" t="s">
        <v>305</v>
      </c>
      <c r="E52" s="2">
        <v>0</v>
      </c>
      <c r="F52" s="2">
        <f>Buku_Besar!$K$76</f>
        <v>4200000</v>
      </c>
      <c r="G52" s="2" t="s">
        <v>1241</v>
      </c>
    </row>
    <row r="53" spans="1:7" x14ac:dyDescent="0.3">
      <c r="A53" s="2">
        <v>46418</v>
      </c>
      <c r="B53" s="2">
        <v>49</v>
      </c>
      <c r="C53" s="2" t="s">
        <v>1195</v>
      </c>
      <c r="D53" s="2" t="s">
        <v>248</v>
      </c>
      <c r="E53" s="2">
        <f>Buku_Besar!$K$77</f>
        <v>3800000</v>
      </c>
      <c r="F53" s="2">
        <v>0</v>
      </c>
      <c r="G53" s="2" t="s">
        <v>1242</v>
      </c>
    </row>
    <row r="54" spans="1:7" x14ac:dyDescent="0.3">
      <c r="A54" s="2">
        <v>46418</v>
      </c>
      <c r="B54" s="2">
        <v>50</v>
      </c>
      <c r="C54" s="2" t="s">
        <v>1195</v>
      </c>
      <c r="D54" s="2" t="s">
        <v>307</v>
      </c>
      <c r="E54" s="2">
        <v>0</v>
      </c>
      <c r="F54" s="2">
        <f>Buku_Besar!$K$77</f>
        <v>3800000</v>
      </c>
      <c r="G54" s="2" t="s">
        <v>1243</v>
      </c>
    </row>
    <row r="55" spans="1:7" x14ac:dyDescent="0.3">
      <c r="A55" s="2">
        <v>46418</v>
      </c>
      <c r="B55" s="2">
        <v>51</v>
      </c>
      <c r="C55" s="2" t="s">
        <v>1195</v>
      </c>
      <c r="D55" s="2" t="s">
        <v>248</v>
      </c>
      <c r="E55" s="2">
        <f>Buku_Besar!$K$78</f>
        <v>7500000</v>
      </c>
      <c r="F55" s="2">
        <v>0</v>
      </c>
      <c r="G55" s="2" t="s">
        <v>1244</v>
      </c>
    </row>
    <row r="56" spans="1:7" x14ac:dyDescent="0.3">
      <c r="A56" s="2">
        <v>46418</v>
      </c>
      <c r="B56" s="2">
        <v>52</v>
      </c>
      <c r="C56" s="2" t="s">
        <v>1195</v>
      </c>
      <c r="D56" s="2" t="s">
        <v>309</v>
      </c>
      <c r="E56" s="2">
        <v>0</v>
      </c>
      <c r="F56" s="2">
        <f>Buku_Besar!$K$78</f>
        <v>7500000</v>
      </c>
      <c r="G56" s="2" t="s">
        <v>1245</v>
      </c>
    </row>
    <row r="57" spans="1:7" x14ac:dyDescent="0.3">
      <c r="A57" s="2">
        <v>46418</v>
      </c>
      <c r="B57" s="2">
        <v>53</v>
      </c>
      <c r="C57" s="2" t="s">
        <v>1195</v>
      </c>
      <c r="D57" s="2" t="s">
        <v>248</v>
      </c>
      <c r="E57" s="2">
        <f>Buku_Besar!$K$79</f>
        <v>4500000</v>
      </c>
      <c r="F57" s="2">
        <v>0</v>
      </c>
      <c r="G57" s="2" t="s">
        <v>1246</v>
      </c>
    </row>
    <row r="58" spans="1:7" x14ac:dyDescent="0.3">
      <c r="A58" s="2">
        <v>46418</v>
      </c>
      <c r="B58" s="2">
        <v>54</v>
      </c>
      <c r="C58" s="2" t="s">
        <v>1195</v>
      </c>
      <c r="D58" s="2" t="s">
        <v>311</v>
      </c>
      <c r="E58" s="2">
        <v>0</v>
      </c>
      <c r="F58" s="2">
        <f>Buku_Besar!$K$79</f>
        <v>4500000</v>
      </c>
      <c r="G58" s="2" t="s">
        <v>1247</v>
      </c>
    </row>
    <row r="59" spans="1:7" x14ac:dyDescent="0.3">
      <c r="A59" s="2">
        <v>46418</v>
      </c>
      <c r="B59" s="2">
        <v>55</v>
      </c>
      <c r="C59" s="2" t="s">
        <v>1195</v>
      </c>
      <c r="D59" s="2" t="s">
        <v>248</v>
      </c>
      <c r="E59" s="2">
        <f>Buku_Besar!$K$80</f>
        <v>10500000</v>
      </c>
      <c r="F59" s="2">
        <v>0</v>
      </c>
      <c r="G59" s="2" t="s">
        <v>1248</v>
      </c>
    </row>
    <row r="60" spans="1:7" x14ac:dyDescent="0.3">
      <c r="A60" s="2">
        <v>46418</v>
      </c>
      <c r="B60" s="2">
        <v>56</v>
      </c>
      <c r="C60" s="2" t="s">
        <v>1195</v>
      </c>
      <c r="D60" s="2" t="s">
        <v>313</v>
      </c>
      <c r="E60" s="2">
        <v>0</v>
      </c>
      <c r="F60" s="2">
        <f>Buku_Besar!$K$80</f>
        <v>10500000</v>
      </c>
      <c r="G60" s="2" t="s">
        <v>1249</v>
      </c>
    </row>
    <row r="61" spans="1:7" x14ac:dyDescent="0.3">
      <c r="A61" s="2">
        <v>46418</v>
      </c>
      <c r="B61" s="2">
        <v>57</v>
      </c>
      <c r="C61" s="2" t="s">
        <v>1195</v>
      </c>
      <c r="D61" s="2" t="s">
        <v>248</v>
      </c>
      <c r="E61" s="2">
        <f>Buku_Besar!$K$81</f>
        <v>800000</v>
      </c>
      <c r="F61" s="2">
        <v>0</v>
      </c>
      <c r="G61" s="2" t="s">
        <v>1250</v>
      </c>
    </row>
    <row r="62" spans="1:7" x14ac:dyDescent="0.3">
      <c r="A62" s="2">
        <v>46418</v>
      </c>
      <c r="B62" s="2">
        <v>58</v>
      </c>
      <c r="C62" s="2" t="s">
        <v>1195</v>
      </c>
      <c r="D62" s="2" t="s">
        <v>315</v>
      </c>
      <c r="E62" s="2">
        <v>0</v>
      </c>
      <c r="F62" s="2">
        <f>Buku_Besar!$K$81</f>
        <v>800000</v>
      </c>
      <c r="G62" s="2" t="s">
        <v>1251</v>
      </c>
    </row>
    <row r="63" spans="1:7" x14ac:dyDescent="0.3">
      <c r="A63" s="2">
        <v>46418</v>
      </c>
      <c r="B63" s="2">
        <v>59</v>
      </c>
      <c r="C63" s="2" t="s">
        <v>1195</v>
      </c>
      <c r="D63" s="2" t="s">
        <v>248</v>
      </c>
      <c r="E63" s="2">
        <f>Buku_Besar!$K$82</f>
        <v>400000</v>
      </c>
      <c r="F63" s="2">
        <v>0</v>
      </c>
      <c r="G63" s="2" t="s">
        <v>1252</v>
      </c>
    </row>
    <row r="64" spans="1:7" x14ac:dyDescent="0.3">
      <c r="A64" s="2">
        <v>46418</v>
      </c>
      <c r="B64" s="2">
        <v>60</v>
      </c>
      <c r="C64" s="2" t="s">
        <v>1195</v>
      </c>
      <c r="D64" s="2" t="s">
        <v>317</v>
      </c>
      <c r="E64" s="2">
        <v>0</v>
      </c>
      <c r="F64" s="2">
        <f>Buku_Besar!$K$82</f>
        <v>400000</v>
      </c>
      <c r="G64" s="2" t="s">
        <v>1253</v>
      </c>
    </row>
    <row r="65" spans="1:7" x14ac:dyDescent="0.3">
      <c r="A65" s="2">
        <v>46418</v>
      </c>
      <c r="B65" s="2">
        <v>61</v>
      </c>
      <c r="C65" s="2" t="s">
        <v>1195</v>
      </c>
      <c r="D65" s="2" t="s">
        <v>248</v>
      </c>
      <c r="E65" s="2">
        <f>Buku_Besar!$K$83</f>
        <v>8000000</v>
      </c>
      <c r="F65" s="2">
        <v>0</v>
      </c>
      <c r="G65" s="2" t="s">
        <v>1254</v>
      </c>
    </row>
    <row r="66" spans="1:7" x14ac:dyDescent="0.3">
      <c r="A66" s="2">
        <v>46418</v>
      </c>
      <c r="B66" s="2">
        <v>62</v>
      </c>
      <c r="C66" s="2" t="s">
        <v>1195</v>
      </c>
      <c r="D66" s="2" t="s">
        <v>319</v>
      </c>
      <c r="E66" s="2">
        <v>0</v>
      </c>
      <c r="F66" s="2">
        <f>Buku_Besar!$K$83</f>
        <v>8000000</v>
      </c>
      <c r="G66" s="2" t="s">
        <v>1255</v>
      </c>
    </row>
    <row r="67" spans="1:7" x14ac:dyDescent="0.3">
      <c r="A67" s="2">
        <v>46418</v>
      </c>
      <c r="B67" s="2">
        <v>63</v>
      </c>
      <c r="C67" s="2" t="s">
        <v>1195</v>
      </c>
      <c r="D67" s="2" t="s">
        <v>248</v>
      </c>
      <c r="E67" s="2">
        <f>Buku_Besar!$K$84</f>
        <v>2000000</v>
      </c>
      <c r="F67" s="2">
        <v>0</v>
      </c>
      <c r="G67" s="2" t="s">
        <v>1256</v>
      </c>
    </row>
    <row r="68" spans="1:7" x14ac:dyDescent="0.3">
      <c r="A68" s="2">
        <v>46418</v>
      </c>
      <c r="B68" s="2">
        <v>64</v>
      </c>
      <c r="C68" s="2" t="s">
        <v>1195</v>
      </c>
      <c r="D68" s="2" t="s">
        <v>322</v>
      </c>
      <c r="E68" s="2">
        <v>0</v>
      </c>
      <c r="F68" s="2">
        <f>Buku_Besar!$K$84</f>
        <v>2000000</v>
      </c>
      <c r="G68" s="2" t="s">
        <v>1257</v>
      </c>
    </row>
    <row r="69" spans="1:7" x14ac:dyDescent="0.3">
      <c r="A69" s="2">
        <v>46418</v>
      </c>
      <c r="B69" s="2">
        <v>65</v>
      </c>
      <c r="C69" s="2" t="s">
        <v>1195</v>
      </c>
      <c r="D69" s="2" t="s">
        <v>248</v>
      </c>
      <c r="E69" s="2">
        <f>Buku_Besar!$K$85</f>
        <v>1500000</v>
      </c>
      <c r="F69" s="2">
        <v>0</v>
      </c>
      <c r="G69" s="2" t="s">
        <v>1258</v>
      </c>
    </row>
    <row r="70" spans="1:7" x14ac:dyDescent="0.3">
      <c r="A70" s="2">
        <v>46418</v>
      </c>
      <c r="B70" s="2">
        <v>66</v>
      </c>
      <c r="C70" s="2" t="s">
        <v>1195</v>
      </c>
      <c r="D70" s="2" t="s">
        <v>324</v>
      </c>
      <c r="E70" s="2">
        <v>0</v>
      </c>
      <c r="F70" s="2">
        <f>Buku_Besar!$K$85</f>
        <v>1500000</v>
      </c>
      <c r="G70" s="2" t="s">
        <v>1259</v>
      </c>
    </row>
    <row r="71" spans="1:7" x14ac:dyDescent="0.3">
      <c r="A71" s="2">
        <v>46418</v>
      </c>
      <c r="B71" s="2">
        <v>67</v>
      </c>
      <c r="C71" s="2" t="s">
        <v>1195</v>
      </c>
      <c r="D71" s="2" t="s">
        <v>248</v>
      </c>
      <c r="E71" s="2">
        <f>Buku_Besar!$K$86</f>
        <v>800000</v>
      </c>
      <c r="F71" s="2">
        <v>0</v>
      </c>
      <c r="G71" s="2" t="s">
        <v>1260</v>
      </c>
    </row>
    <row r="72" spans="1:7" x14ac:dyDescent="0.3">
      <c r="A72" s="2">
        <v>46418</v>
      </c>
      <c r="B72" s="2">
        <v>68</v>
      </c>
      <c r="C72" s="2" t="s">
        <v>1195</v>
      </c>
      <c r="D72" s="2" t="s">
        <v>326</v>
      </c>
      <c r="E72" s="2">
        <v>0</v>
      </c>
      <c r="F72" s="2">
        <f>Buku_Besar!$K$86</f>
        <v>800000</v>
      </c>
      <c r="G72" s="2" t="s">
        <v>1261</v>
      </c>
    </row>
    <row r="73" spans="1:7" x14ac:dyDescent="0.3">
      <c r="A73" s="2">
        <v>46418</v>
      </c>
      <c r="B73" s="2">
        <v>69</v>
      </c>
      <c r="C73" s="2" t="s">
        <v>1195</v>
      </c>
      <c r="D73" s="2" t="s">
        <v>248</v>
      </c>
      <c r="E73" s="2">
        <f>Buku_Besar!$K$87</f>
        <v>300000</v>
      </c>
      <c r="F73" s="2">
        <v>0</v>
      </c>
      <c r="G73" s="2" t="s">
        <v>1262</v>
      </c>
    </row>
    <row r="74" spans="1:7" x14ac:dyDescent="0.3">
      <c r="A74" s="2">
        <v>46418</v>
      </c>
      <c r="B74" s="2">
        <v>70</v>
      </c>
      <c r="C74" s="2" t="s">
        <v>1195</v>
      </c>
      <c r="D74" s="2" t="s">
        <v>328</v>
      </c>
      <c r="E74" s="2">
        <v>0</v>
      </c>
      <c r="F74" s="2">
        <f>Buku_Besar!$K$87</f>
        <v>300000</v>
      </c>
      <c r="G74" s="2" t="s">
        <v>1263</v>
      </c>
    </row>
    <row r="75" spans="1:7" x14ac:dyDescent="0.3">
      <c r="A75" s="2">
        <v>46418</v>
      </c>
      <c r="B75" s="2">
        <v>71</v>
      </c>
      <c r="C75" s="2" t="s">
        <v>1195</v>
      </c>
      <c r="D75" s="2" t="s">
        <v>248</v>
      </c>
      <c r="E75" s="2">
        <f>Buku_Besar!$K$88</f>
        <v>1000000</v>
      </c>
      <c r="F75" s="2">
        <v>0</v>
      </c>
      <c r="G75" s="2" t="s">
        <v>1264</v>
      </c>
    </row>
    <row r="76" spans="1:7" x14ac:dyDescent="0.3">
      <c r="A76" s="2">
        <v>46418</v>
      </c>
      <c r="B76" s="2">
        <v>72</v>
      </c>
      <c r="C76" s="2" t="s">
        <v>1195</v>
      </c>
      <c r="D76" s="2" t="s">
        <v>330</v>
      </c>
      <c r="E76" s="2">
        <v>0</v>
      </c>
      <c r="F76" s="2">
        <f>Buku_Besar!$K$88</f>
        <v>1000000</v>
      </c>
      <c r="G76" s="2" t="s">
        <v>1265</v>
      </c>
    </row>
    <row r="77" spans="1:7" x14ac:dyDescent="0.3">
      <c r="A77" s="2">
        <v>46418</v>
      </c>
      <c r="B77" s="2">
        <v>73</v>
      </c>
      <c r="C77" s="2" t="s">
        <v>1195</v>
      </c>
      <c r="D77" s="2" t="s">
        <v>248</v>
      </c>
      <c r="E77" s="2">
        <f>Buku_Besar!$K$89</f>
        <v>0</v>
      </c>
      <c r="F77" s="2">
        <v>0</v>
      </c>
      <c r="G77" s="2" t="s">
        <v>1266</v>
      </c>
    </row>
    <row r="78" spans="1:7" x14ac:dyDescent="0.3">
      <c r="A78" s="2">
        <v>46418</v>
      </c>
      <c r="B78" s="2">
        <v>74</v>
      </c>
      <c r="C78" s="2" t="s">
        <v>1195</v>
      </c>
      <c r="D78" s="2" t="s">
        <v>333</v>
      </c>
      <c r="E78" s="2">
        <v>0</v>
      </c>
      <c r="F78" s="2">
        <f>Buku_Besar!$K$89</f>
        <v>0</v>
      </c>
      <c r="G78" s="2" t="s">
        <v>1267</v>
      </c>
    </row>
    <row r="79" spans="1:7" x14ac:dyDescent="0.3">
      <c r="A79" s="2">
        <v>46418</v>
      </c>
      <c r="B79" s="2">
        <v>75</v>
      </c>
      <c r="C79" s="2" t="s">
        <v>1195</v>
      </c>
      <c r="D79" s="2" t="s">
        <v>248</v>
      </c>
      <c r="E79" s="2">
        <f>MAX(0,Laba_Rugi!$B$45)</f>
        <v>134800000</v>
      </c>
      <c r="F79" s="2">
        <f>MAX(0,-Laba_Rugi!$B$45)</f>
        <v>0</v>
      </c>
      <c r="G79" s="2" t="s">
        <v>1268</v>
      </c>
    </row>
    <row r="80" spans="1:7" x14ac:dyDescent="0.3">
      <c r="A80" s="2">
        <v>46418</v>
      </c>
      <c r="B80" s="2">
        <v>76</v>
      </c>
      <c r="C80" s="2" t="s">
        <v>1195</v>
      </c>
      <c r="D80" s="2" t="s">
        <v>246</v>
      </c>
      <c r="E80" s="2">
        <f>MAX(0,-Laba_Rugi!$B$45)</f>
        <v>0</v>
      </c>
      <c r="F80" s="2">
        <f>MAX(0,Laba_Rugi!$B$45)</f>
        <v>134800000</v>
      </c>
      <c r="G80" s="2" t="s">
        <v>1269</v>
      </c>
    </row>
    <row r="81" spans="1:7" x14ac:dyDescent="0.3">
      <c r="A81" s="2">
        <v>46418</v>
      </c>
      <c r="B81" s="2">
        <v>77</v>
      </c>
      <c r="C81" s="2" t="s">
        <v>1195</v>
      </c>
      <c r="D81" s="2" t="s">
        <v>242</v>
      </c>
      <c r="E81" s="2">
        <v>0</v>
      </c>
      <c r="F81" s="2">
        <f>Buku_Besar!$K$50</f>
        <v>15000000</v>
      </c>
      <c r="G81" s="2" t="s">
        <v>1270</v>
      </c>
    </row>
    <row r="82" spans="1:7" x14ac:dyDescent="0.3">
      <c r="A82" s="2">
        <v>46418</v>
      </c>
      <c r="B82" s="2">
        <v>78</v>
      </c>
      <c r="C82" s="2" t="s">
        <v>1195</v>
      </c>
      <c r="D82" s="2" t="s">
        <v>246</v>
      </c>
      <c r="E82" s="2">
        <f>Buku_Besar!$K$50</f>
        <v>15000000</v>
      </c>
      <c r="F82" s="2">
        <v>0</v>
      </c>
      <c r="G82" s="2" t="s">
        <v>1271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92"/>
  <sheetViews>
    <sheetView topLeftCell="A3" workbookViewId="0">
      <selection activeCell="A3" sqref="A3:F92"/>
    </sheetView>
  </sheetViews>
  <sheetFormatPr defaultRowHeight="14.4" x14ac:dyDescent="0.3"/>
  <cols>
    <col min="1" max="1" width="12.44140625" bestFit="1" customWidth="1"/>
    <col min="2" max="2" width="33.77734375" bestFit="1" customWidth="1"/>
    <col min="3" max="3" width="16.6640625" bestFit="1" customWidth="1"/>
    <col min="4" max="4" width="14.5546875" bestFit="1" customWidth="1"/>
    <col min="5" max="6" width="16.5546875" bestFit="1" customWidth="1"/>
  </cols>
  <sheetData>
    <row r="1" spans="1:6" x14ac:dyDescent="0.3">
      <c r="A1" t="s">
        <v>1272</v>
      </c>
    </row>
    <row r="2" spans="1:6" x14ac:dyDescent="0.3">
      <c r="A2" t="s">
        <v>1273</v>
      </c>
    </row>
    <row r="3" spans="1:6" x14ac:dyDescent="0.3">
      <c r="A3" s="2" t="s">
        <v>132</v>
      </c>
      <c r="B3" s="2" t="s">
        <v>133</v>
      </c>
      <c r="C3" s="2" t="s">
        <v>134</v>
      </c>
      <c r="D3" s="2" t="s">
        <v>135</v>
      </c>
      <c r="E3" s="2" t="s">
        <v>774</v>
      </c>
      <c r="F3" s="2" t="s">
        <v>775</v>
      </c>
    </row>
    <row r="4" spans="1:6" x14ac:dyDescent="0.3">
      <c r="A4" s="2" t="s">
        <v>137</v>
      </c>
      <c r="B4" s="2" t="s">
        <v>138</v>
      </c>
      <c r="C4" s="2" t="s">
        <v>139</v>
      </c>
      <c r="D4" s="2" t="s">
        <v>140</v>
      </c>
      <c r="E4" s="2">
        <f>Buku_Besar!O4</f>
        <v>1403427000</v>
      </c>
      <c r="F4" s="2">
        <f>Buku_Besar!P4</f>
        <v>0</v>
      </c>
    </row>
    <row r="5" spans="1:6" x14ac:dyDescent="0.3">
      <c r="A5" s="2" t="s">
        <v>142</v>
      </c>
      <c r="B5" s="2" t="s">
        <v>143</v>
      </c>
      <c r="C5" s="2" t="s">
        <v>139</v>
      </c>
      <c r="D5" s="2" t="s">
        <v>140</v>
      </c>
      <c r="E5" s="2">
        <f>Buku_Besar!O5</f>
        <v>37850000</v>
      </c>
      <c r="F5" s="2">
        <f>Buku_Besar!P5</f>
        <v>0</v>
      </c>
    </row>
    <row r="6" spans="1:6" x14ac:dyDescent="0.3">
      <c r="A6" s="2" t="s">
        <v>144</v>
      </c>
      <c r="B6" s="2" t="s">
        <v>145</v>
      </c>
      <c r="C6" s="2" t="s">
        <v>139</v>
      </c>
      <c r="D6" s="2" t="s">
        <v>140</v>
      </c>
      <c r="E6" s="2">
        <f>Buku_Besar!O6</f>
        <v>116140000</v>
      </c>
      <c r="F6" s="2">
        <f>Buku_Besar!P6</f>
        <v>0</v>
      </c>
    </row>
    <row r="7" spans="1:6" x14ac:dyDescent="0.3">
      <c r="A7" s="2" t="s">
        <v>146</v>
      </c>
      <c r="B7" s="2" t="s">
        <v>147</v>
      </c>
      <c r="C7" s="2" t="s">
        <v>139</v>
      </c>
      <c r="D7" s="2" t="s">
        <v>140</v>
      </c>
      <c r="E7" s="2">
        <f>Buku_Besar!O7</f>
        <v>3000000</v>
      </c>
      <c r="F7" s="2">
        <f>Buku_Besar!P7</f>
        <v>0</v>
      </c>
    </row>
    <row r="8" spans="1:6" x14ac:dyDescent="0.3">
      <c r="A8" s="2" t="s">
        <v>148</v>
      </c>
      <c r="B8" s="2" t="s">
        <v>149</v>
      </c>
      <c r="C8" s="2" t="s">
        <v>139</v>
      </c>
      <c r="D8" s="2" t="s">
        <v>140</v>
      </c>
      <c r="E8" s="2">
        <f>Buku_Besar!O8</f>
        <v>700000</v>
      </c>
      <c r="F8" s="2">
        <f>Buku_Besar!P8</f>
        <v>0</v>
      </c>
    </row>
    <row r="9" spans="1:6" x14ac:dyDescent="0.3">
      <c r="A9" s="2" t="s">
        <v>150</v>
      </c>
      <c r="B9" s="2" t="s">
        <v>151</v>
      </c>
      <c r="C9" s="2" t="s">
        <v>139</v>
      </c>
      <c r="D9" s="2" t="s">
        <v>140</v>
      </c>
      <c r="E9" s="2">
        <f>Buku_Besar!O9</f>
        <v>0</v>
      </c>
      <c r="F9" s="2">
        <f>Buku_Besar!P9</f>
        <v>0</v>
      </c>
    </row>
    <row r="10" spans="1:6" x14ac:dyDescent="0.3">
      <c r="A10" s="2" t="s">
        <v>152</v>
      </c>
      <c r="B10" s="2" t="s">
        <v>153</v>
      </c>
      <c r="C10" s="2" t="s">
        <v>139</v>
      </c>
      <c r="D10" s="2" t="s">
        <v>140</v>
      </c>
      <c r="E10" s="2">
        <f>Buku_Besar!O10</f>
        <v>251800000</v>
      </c>
      <c r="F10" s="2">
        <f>Buku_Besar!P10</f>
        <v>0</v>
      </c>
    </row>
    <row r="11" spans="1:6" x14ac:dyDescent="0.3">
      <c r="A11" s="2" t="s">
        <v>154</v>
      </c>
      <c r="B11" s="2" t="s">
        <v>155</v>
      </c>
      <c r="C11" s="2" t="s">
        <v>139</v>
      </c>
      <c r="D11" s="2" t="s">
        <v>140</v>
      </c>
      <c r="E11" s="2">
        <f>Buku_Besar!O11</f>
        <v>26158000</v>
      </c>
      <c r="F11" s="2">
        <f>Buku_Besar!P11</f>
        <v>0</v>
      </c>
    </row>
    <row r="12" spans="1:6" x14ac:dyDescent="0.3">
      <c r="A12" s="2" t="s">
        <v>156</v>
      </c>
      <c r="B12" s="2" t="s">
        <v>157</v>
      </c>
      <c r="C12" s="2" t="s">
        <v>139</v>
      </c>
      <c r="D12" s="2" t="s">
        <v>140</v>
      </c>
      <c r="E12" s="2">
        <f>Buku_Besar!O12</f>
        <v>2625000</v>
      </c>
      <c r="F12" s="2">
        <f>Buku_Besar!P12</f>
        <v>0</v>
      </c>
    </row>
    <row r="13" spans="1:6" x14ac:dyDescent="0.3">
      <c r="A13" s="2" t="s">
        <v>158</v>
      </c>
      <c r="B13" s="2" t="s">
        <v>159</v>
      </c>
      <c r="C13" s="2" t="s">
        <v>139</v>
      </c>
      <c r="D13" s="2" t="s">
        <v>140</v>
      </c>
      <c r="E13" s="2">
        <f>Buku_Besar!O13</f>
        <v>0</v>
      </c>
      <c r="F13" s="2">
        <f>Buku_Besar!P13</f>
        <v>0</v>
      </c>
    </row>
    <row r="14" spans="1:6" x14ac:dyDescent="0.3">
      <c r="A14" s="2" t="s">
        <v>160</v>
      </c>
      <c r="B14" s="2" t="s">
        <v>161</v>
      </c>
      <c r="C14" s="2" t="s">
        <v>139</v>
      </c>
      <c r="D14" s="2" t="s">
        <v>140</v>
      </c>
      <c r="E14" s="2">
        <f>Buku_Besar!O14</f>
        <v>0</v>
      </c>
      <c r="F14" s="2">
        <f>Buku_Besar!P14</f>
        <v>0</v>
      </c>
    </row>
    <row r="15" spans="1:6" x14ac:dyDescent="0.3">
      <c r="A15" s="2" t="s">
        <v>162</v>
      </c>
      <c r="B15" s="2" t="s">
        <v>163</v>
      </c>
      <c r="C15" s="2" t="s">
        <v>139</v>
      </c>
      <c r="D15" s="2" t="s">
        <v>140</v>
      </c>
      <c r="E15" s="2">
        <f>Buku_Besar!O15</f>
        <v>18000000</v>
      </c>
      <c r="F15" s="2">
        <f>Buku_Besar!P15</f>
        <v>0</v>
      </c>
    </row>
    <row r="16" spans="1:6" x14ac:dyDescent="0.3">
      <c r="A16" s="2" t="s">
        <v>164</v>
      </c>
      <c r="B16" s="2" t="s">
        <v>165</v>
      </c>
      <c r="C16" s="2" t="s">
        <v>139</v>
      </c>
      <c r="D16" s="2" t="s">
        <v>140</v>
      </c>
      <c r="E16" s="2">
        <f>Buku_Besar!O16</f>
        <v>19500000</v>
      </c>
      <c r="F16" s="2">
        <f>Buku_Besar!P16</f>
        <v>0</v>
      </c>
    </row>
    <row r="17" spans="1:6" x14ac:dyDescent="0.3">
      <c r="A17" s="2" t="s">
        <v>166</v>
      </c>
      <c r="B17" s="2" t="s">
        <v>167</v>
      </c>
      <c r="C17" s="2" t="s">
        <v>139</v>
      </c>
      <c r="D17" s="2" t="s">
        <v>140</v>
      </c>
      <c r="E17" s="2">
        <f>Buku_Besar!O17</f>
        <v>11000000</v>
      </c>
      <c r="F17" s="2">
        <f>Buku_Besar!P17</f>
        <v>0</v>
      </c>
    </row>
    <row r="18" spans="1:6" x14ac:dyDescent="0.3">
      <c r="A18" s="2" t="s">
        <v>168</v>
      </c>
      <c r="B18" s="2" t="s">
        <v>169</v>
      </c>
      <c r="C18" s="2" t="s">
        <v>139</v>
      </c>
      <c r="D18" s="2" t="s">
        <v>140</v>
      </c>
      <c r="E18" s="2">
        <f>Buku_Besar!O18</f>
        <v>2800000</v>
      </c>
      <c r="F18" s="2">
        <f>Buku_Besar!P18</f>
        <v>0</v>
      </c>
    </row>
    <row r="19" spans="1:6" x14ac:dyDescent="0.3">
      <c r="A19" s="2" t="s">
        <v>170</v>
      </c>
      <c r="B19" s="2" t="s">
        <v>171</v>
      </c>
      <c r="C19" s="2" t="s">
        <v>139</v>
      </c>
      <c r="D19" s="2" t="s">
        <v>140</v>
      </c>
      <c r="E19" s="2">
        <f>Buku_Besar!O19</f>
        <v>0</v>
      </c>
      <c r="F19" s="2">
        <f>Buku_Besar!P19</f>
        <v>0</v>
      </c>
    </row>
    <row r="20" spans="1:6" x14ac:dyDescent="0.3">
      <c r="A20" s="2" t="s">
        <v>172</v>
      </c>
      <c r="B20" s="2" t="s">
        <v>173</v>
      </c>
      <c r="C20" s="2" t="s">
        <v>139</v>
      </c>
      <c r="D20" s="2" t="s">
        <v>140</v>
      </c>
      <c r="E20" s="2">
        <f>Buku_Besar!O20</f>
        <v>4400000</v>
      </c>
      <c r="F20" s="2">
        <f>Buku_Besar!P20</f>
        <v>0</v>
      </c>
    </row>
    <row r="21" spans="1:6" x14ac:dyDescent="0.3">
      <c r="A21" s="2" t="s">
        <v>174</v>
      </c>
      <c r="B21" s="2" t="s">
        <v>175</v>
      </c>
      <c r="C21" s="2" t="s">
        <v>139</v>
      </c>
      <c r="D21" s="2" t="s">
        <v>140</v>
      </c>
      <c r="E21" s="2">
        <f>Buku_Besar!O21</f>
        <v>12000000</v>
      </c>
      <c r="F21" s="2">
        <f>Buku_Besar!P21</f>
        <v>0</v>
      </c>
    </row>
    <row r="22" spans="1:6" x14ac:dyDescent="0.3">
      <c r="A22" s="2" t="s">
        <v>176</v>
      </c>
      <c r="B22" s="2" t="s">
        <v>177</v>
      </c>
      <c r="C22" s="2" t="s">
        <v>139</v>
      </c>
      <c r="D22" s="2" t="s">
        <v>140</v>
      </c>
      <c r="E22" s="2">
        <f>Buku_Besar!O22</f>
        <v>145000000</v>
      </c>
      <c r="F22" s="2">
        <f>Buku_Besar!P22</f>
        <v>0</v>
      </c>
    </row>
    <row r="23" spans="1:6" x14ac:dyDescent="0.3">
      <c r="A23" s="2" t="s">
        <v>179</v>
      </c>
      <c r="B23" s="2" t="s">
        <v>180</v>
      </c>
      <c r="C23" s="2" t="s">
        <v>139</v>
      </c>
      <c r="D23" s="2" t="s">
        <v>140</v>
      </c>
      <c r="E23" s="2">
        <f>Buku_Besar!O23</f>
        <v>60000000</v>
      </c>
      <c r="F23" s="2">
        <f>Buku_Besar!P23</f>
        <v>0</v>
      </c>
    </row>
    <row r="24" spans="1:6" x14ac:dyDescent="0.3">
      <c r="A24" s="2" t="s">
        <v>181</v>
      </c>
      <c r="B24" s="2" t="s">
        <v>182</v>
      </c>
      <c r="C24" s="2" t="s">
        <v>139</v>
      </c>
      <c r="D24" s="2" t="s">
        <v>140</v>
      </c>
      <c r="E24" s="2">
        <f>Buku_Besar!O24</f>
        <v>400000000</v>
      </c>
      <c r="F24" s="2">
        <f>Buku_Besar!P24</f>
        <v>0</v>
      </c>
    </row>
    <row r="25" spans="1:6" x14ac:dyDescent="0.3">
      <c r="A25" s="2" t="s">
        <v>183</v>
      </c>
      <c r="B25" s="2" t="s">
        <v>184</v>
      </c>
      <c r="C25" s="2" t="s">
        <v>139</v>
      </c>
      <c r="D25" s="2" t="s">
        <v>140</v>
      </c>
      <c r="E25" s="2">
        <f>Buku_Besar!O25</f>
        <v>0</v>
      </c>
      <c r="F25" s="2">
        <f>Buku_Besar!P25</f>
        <v>0</v>
      </c>
    </row>
    <row r="26" spans="1:6" x14ac:dyDescent="0.3">
      <c r="A26" s="2" t="s">
        <v>185</v>
      </c>
      <c r="B26" s="2" t="s">
        <v>186</v>
      </c>
      <c r="C26" s="2" t="s">
        <v>187</v>
      </c>
      <c r="D26" s="2" t="s">
        <v>188</v>
      </c>
      <c r="E26" s="2">
        <f>Buku_Besar!O26</f>
        <v>0</v>
      </c>
      <c r="F26" s="2">
        <f>Buku_Besar!P26</f>
        <v>1250000</v>
      </c>
    </row>
    <row r="27" spans="1:6" x14ac:dyDescent="0.3">
      <c r="A27" s="2" t="s">
        <v>190</v>
      </c>
      <c r="B27" s="2" t="s">
        <v>191</v>
      </c>
      <c r="C27" s="2" t="s">
        <v>187</v>
      </c>
      <c r="D27" s="2" t="s">
        <v>188</v>
      </c>
      <c r="E27" s="2">
        <f>Buku_Besar!O27</f>
        <v>0</v>
      </c>
      <c r="F27" s="2">
        <f>Buku_Besar!P27</f>
        <v>333333.33000000007</v>
      </c>
    </row>
    <row r="28" spans="1:6" x14ac:dyDescent="0.3">
      <c r="A28" s="2" t="s">
        <v>192</v>
      </c>
      <c r="B28" s="2" t="s">
        <v>193</v>
      </c>
      <c r="C28" s="2" t="s">
        <v>187</v>
      </c>
      <c r="D28" s="2" t="s">
        <v>188</v>
      </c>
      <c r="E28" s="2">
        <f>Buku_Besar!O28</f>
        <v>0</v>
      </c>
      <c r="F28" s="2">
        <f>Buku_Besar!P28</f>
        <v>54166666.670000002</v>
      </c>
    </row>
    <row r="29" spans="1:6" x14ac:dyDescent="0.3">
      <c r="A29" s="2" t="s">
        <v>194</v>
      </c>
      <c r="B29" s="2" t="s">
        <v>195</v>
      </c>
      <c r="C29" s="2" t="s">
        <v>187</v>
      </c>
      <c r="D29" s="2" t="s">
        <v>188</v>
      </c>
      <c r="E29" s="2">
        <f>Buku_Besar!O29</f>
        <v>0</v>
      </c>
      <c r="F29" s="2">
        <f>Buku_Besar!P29</f>
        <v>2500000</v>
      </c>
    </row>
    <row r="30" spans="1:6" x14ac:dyDescent="0.3">
      <c r="A30" s="2" t="s">
        <v>196</v>
      </c>
      <c r="B30" s="2" t="s">
        <v>197</v>
      </c>
      <c r="C30" s="2" t="s">
        <v>198</v>
      </c>
      <c r="D30" s="2" t="s">
        <v>188</v>
      </c>
      <c r="E30" s="2">
        <f>Buku_Besar!O30</f>
        <v>0</v>
      </c>
      <c r="F30" s="2">
        <f>Buku_Besar!P30</f>
        <v>148400000</v>
      </c>
    </row>
    <row r="31" spans="1:6" x14ac:dyDescent="0.3">
      <c r="A31" s="2" t="s">
        <v>200</v>
      </c>
      <c r="B31" s="2" t="s">
        <v>201</v>
      </c>
      <c r="C31" s="2" t="s">
        <v>198</v>
      </c>
      <c r="D31" s="2" t="s">
        <v>188</v>
      </c>
      <c r="E31" s="2">
        <f>Buku_Besar!O31</f>
        <v>0</v>
      </c>
      <c r="F31" s="2">
        <f>Buku_Besar!P31</f>
        <v>5000000</v>
      </c>
    </row>
    <row r="32" spans="1:6" x14ac:dyDescent="0.3">
      <c r="A32" s="2" t="s">
        <v>202</v>
      </c>
      <c r="B32" s="2" t="s">
        <v>203</v>
      </c>
      <c r="C32" s="2" t="s">
        <v>198</v>
      </c>
      <c r="D32" s="2" t="s">
        <v>188</v>
      </c>
      <c r="E32" s="2">
        <f>Buku_Besar!O32</f>
        <v>0</v>
      </c>
      <c r="F32" s="2">
        <f>Buku_Besar!P32</f>
        <v>7500000</v>
      </c>
    </row>
    <row r="33" spans="1:6" x14ac:dyDescent="0.3">
      <c r="A33" s="2" t="s">
        <v>204</v>
      </c>
      <c r="B33" s="2" t="s">
        <v>205</v>
      </c>
      <c r="C33" s="2" t="s">
        <v>198</v>
      </c>
      <c r="D33" s="2" t="s">
        <v>188</v>
      </c>
      <c r="E33" s="2">
        <f>Buku_Besar!O33</f>
        <v>0</v>
      </c>
      <c r="F33" s="2">
        <f>Buku_Besar!P33</f>
        <v>1200000</v>
      </c>
    </row>
    <row r="34" spans="1:6" x14ac:dyDescent="0.3">
      <c r="A34" s="2" t="s">
        <v>206</v>
      </c>
      <c r="B34" s="2" t="s">
        <v>207</v>
      </c>
      <c r="C34" s="2" t="s">
        <v>198</v>
      </c>
      <c r="D34" s="2" t="s">
        <v>188</v>
      </c>
      <c r="E34" s="2">
        <f>Buku_Besar!O34</f>
        <v>0</v>
      </c>
      <c r="F34" s="2">
        <f>Buku_Besar!P34</f>
        <v>1800000</v>
      </c>
    </row>
    <row r="35" spans="1:6" x14ac:dyDescent="0.3">
      <c r="A35" s="2" t="s">
        <v>208</v>
      </c>
      <c r="B35" s="2" t="s">
        <v>209</v>
      </c>
      <c r="C35" s="2" t="s">
        <v>198</v>
      </c>
      <c r="D35" s="2" t="s">
        <v>188</v>
      </c>
      <c r="E35" s="2">
        <f>Buku_Besar!O35</f>
        <v>0</v>
      </c>
      <c r="F35" s="2">
        <f>Buku_Besar!P35</f>
        <v>1500000</v>
      </c>
    </row>
    <row r="36" spans="1:6" x14ac:dyDescent="0.3">
      <c r="A36" s="2" t="s">
        <v>210</v>
      </c>
      <c r="B36" s="2" t="s">
        <v>211</v>
      </c>
      <c r="C36" s="2" t="s">
        <v>198</v>
      </c>
      <c r="D36" s="2" t="s">
        <v>188</v>
      </c>
      <c r="E36" s="2">
        <f>Buku_Besar!O36</f>
        <v>0</v>
      </c>
      <c r="F36" s="2">
        <f>Buku_Besar!P36</f>
        <v>0</v>
      </c>
    </row>
    <row r="37" spans="1:6" x14ac:dyDescent="0.3">
      <c r="A37" s="2" t="s">
        <v>212</v>
      </c>
      <c r="B37" s="2" t="s">
        <v>213</v>
      </c>
      <c r="C37" s="2" t="s">
        <v>198</v>
      </c>
      <c r="D37" s="2" t="s">
        <v>188</v>
      </c>
      <c r="E37" s="2">
        <f>Buku_Besar!O37</f>
        <v>0</v>
      </c>
      <c r="F37" s="2">
        <f>Buku_Besar!P37</f>
        <v>0</v>
      </c>
    </row>
    <row r="38" spans="1:6" x14ac:dyDescent="0.3">
      <c r="A38" s="2" t="s">
        <v>214</v>
      </c>
      <c r="B38" s="2" t="s">
        <v>215</v>
      </c>
      <c r="C38" s="2" t="s">
        <v>198</v>
      </c>
      <c r="D38" s="2" t="s">
        <v>188</v>
      </c>
      <c r="E38" s="2">
        <f>Buku_Besar!O38</f>
        <v>0</v>
      </c>
      <c r="F38" s="2">
        <f>Buku_Besar!P38</f>
        <v>0</v>
      </c>
    </row>
    <row r="39" spans="1:6" x14ac:dyDescent="0.3">
      <c r="A39" s="2" t="s">
        <v>216</v>
      </c>
      <c r="B39" s="2" t="s">
        <v>217</v>
      </c>
      <c r="C39" s="2" t="s">
        <v>198</v>
      </c>
      <c r="D39" s="2" t="s">
        <v>188</v>
      </c>
      <c r="E39" s="2">
        <f>Buku_Besar!O39</f>
        <v>0</v>
      </c>
      <c r="F39" s="2">
        <f>Buku_Besar!P39</f>
        <v>50000</v>
      </c>
    </row>
    <row r="40" spans="1:6" x14ac:dyDescent="0.3">
      <c r="A40" s="2" t="s">
        <v>218</v>
      </c>
      <c r="B40" s="2" t="s">
        <v>219</v>
      </c>
      <c r="C40" s="2" t="s">
        <v>198</v>
      </c>
      <c r="D40" s="2" t="s">
        <v>188</v>
      </c>
      <c r="E40" s="2">
        <f>Buku_Besar!O40</f>
        <v>0</v>
      </c>
      <c r="F40" s="2">
        <f>Buku_Besar!P40</f>
        <v>0</v>
      </c>
    </row>
    <row r="41" spans="1:6" x14ac:dyDescent="0.3">
      <c r="A41" s="2" t="s">
        <v>220</v>
      </c>
      <c r="B41" s="2" t="s">
        <v>221</v>
      </c>
      <c r="C41" s="2" t="s">
        <v>198</v>
      </c>
      <c r="D41" s="2" t="s">
        <v>188</v>
      </c>
      <c r="E41" s="2">
        <f>Buku_Besar!O41</f>
        <v>0</v>
      </c>
      <c r="F41" s="2">
        <f>Buku_Besar!P41</f>
        <v>8000000</v>
      </c>
    </row>
    <row r="42" spans="1:6" x14ac:dyDescent="0.3">
      <c r="A42" s="2" t="s">
        <v>222</v>
      </c>
      <c r="B42" s="2" t="s">
        <v>223</v>
      </c>
      <c r="C42" s="2" t="s">
        <v>198</v>
      </c>
      <c r="D42" s="2" t="s">
        <v>188</v>
      </c>
      <c r="E42" s="2">
        <f>Buku_Besar!O42</f>
        <v>0</v>
      </c>
      <c r="F42" s="2">
        <f>Buku_Besar!P42</f>
        <v>800000</v>
      </c>
    </row>
    <row r="43" spans="1:6" x14ac:dyDescent="0.3">
      <c r="A43" s="2" t="s">
        <v>224</v>
      </c>
      <c r="B43" s="2" t="s">
        <v>225</v>
      </c>
      <c r="C43" s="2" t="s">
        <v>198</v>
      </c>
      <c r="D43" s="2" t="s">
        <v>188</v>
      </c>
      <c r="E43" s="2">
        <f>Buku_Besar!O43</f>
        <v>0</v>
      </c>
      <c r="F43" s="2">
        <f>Buku_Besar!P43</f>
        <v>40000000</v>
      </c>
    </row>
    <row r="44" spans="1:6" x14ac:dyDescent="0.3">
      <c r="A44" s="2" t="s">
        <v>226</v>
      </c>
      <c r="B44" s="2" t="s">
        <v>227</v>
      </c>
      <c r="C44" s="2" t="s">
        <v>198</v>
      </c>
      <c r="D44" s="2" t="s">
        <v>188</v>
      </c>
      <c r="E44" s="2">
        <f>Buku_Besar!O44</f>
        <v>0</v>
      </c>
      <c r="F44" s="2">
        <f>Buku_Besar!P44</f>
        <v>380000000</v>
      </c>
    </row>
    <row r="45" spans="1:6" x14ac:dyDescent="0.3">
      <c r="A45" s="2" t="s">
        <v>229</v>
      </c>
      <c r="B45" s="2" t="s">
        <v>230</v>
      </c>
      <c r="C45" s="2" t="s">
        <v>198</v>
      </c>
      <c r="D45" s="2" t="s">
        <v>188</v>
      </c>
      <c r="E45" s="2">
        <f>Buku_Besar!O45</f>
        <v>0</v>
      </c>
      <c r="F45" s="2">
        <f>Buku_Besar!P45</f>
        <v>0</v>
      </c>
    </row>
    <row r="46" spans="1:6" x14ac:dyDescent="0.3">
      <c r="A46" s="2" t="s">
        <v>231</v>
      </c>
      <c r="B46" s="2" t="s">
        <v>232</v>
      </c>
      <c r="C46" s="2" t="s">
        <v>198</v>
      </c>
      <c r="D46" s="2" t="s">
        <v>188</v>
      </c>
      <c r="E46" s="2">
        <f>Buku_Besar!O46</f>
        <v>0</v>
      </c>
      <c r="F46" s="2">
        <f>Buku_Besar!P46</f>
        <v>0</v>
      </c>
    </row>
    <row r="47" spans="1:6" x14ac:dyDescent="0.3">
      <c r="A47" s="2" t="s">
        <v>233</v>
      </c>
      <c r="B47" s="2" t="s">
        <v>234</v>
      </c>
      <c r="C47" s="2" t="s">
        <v>198</v>
      </c>
      <c r="D47" s="2" t="s">
        <v>188</v>
      </c>
      <c r="E47" s="2">
        <f>Buku_Besar!O47</f>
        <v>0</v>
      </c>
      <c r="F47" s="2">
        <f>Buku_Besar!P47</f>
        <v>0</v>
      </c>
    </row>
    <row r="48" spans="1:6" x14ac:dyDescent="0.3">
      <c r="A48" s="2" t="s">
        <v>235</v>
      </c>
      <c r="B48" s="2" t="s">
        <v>236</v>
      </c>
      <c r="C48" s="2" t="s">
        <v>198</v>
      </c>
      <c r="D48" s="2" t="s">
        <v>188</v>
      </c>
      <c r="E48" s="2">
        <f>Buku_Besar!O48</f>
        <v>0</v>
      </c>
      <c r="F48" s="2">
        <f>Buku_Besar!P48</f>
        <v>0</v>
      </c>
    </row>
    <row r="49" spans="1:6" x14ac:dyDescent="0.3">
      <c r="A49" s="2" t="s">
        <v>237</v>
      </c>
      <c r="B49" s="2" t="s">
        <v>238</v>
      </c>
      <c r="C49" s="2" t="s">
        <v>239</v>
      </c>
      <c r="D49" s="2" t="s">
        <v>188</v>
      </c>
      <c r="E49" s="2">
        <f>Buku_Besar!O49</f>
        <v>0</v>
      </c>
      <c r="F49" s="2">
        <f>Buku_Besar!P49</f>
        <v>1730000000</v>
      </c>
    </row>
    <row r="50" spans="1:6" x14ac:dyDescent="0.3">
      <c r="A50" s="2" t="s">
        <v>241</v>
      </c>
      <c r="B50" s="2" t="s">
        <v>242</v>
      </c>
      <c r="C50" s="2" t="s">
        <v>243</v>
      </c>
      <c r="D50" s="2" t="s">
        <v>140</v>
      </c>
      <c r="E50" s="2">
        <f>Buku_Besar!O50</f>
        <v>0</v>
      </c>
      <c r="F50" s="2">
        <f>Buku_Besar!P50</f>
        <v>0</v>
      </c>
    </row>
    <row r="51" spans="1:6" x14ac:dyDescent="0.3">
      <c r="A51" s="2" t="s">
        <v>245</v>
      </c>
      <c r="B51" s="2" t="s">
        <v>246</v>
      </c>
      <c r="C51" s="2" t="s">
        <v>239</v>
      </c>
      <c r="D51" s="2" t="s">
        <v>188</v>
      </c>
      <c r="E51" s="2">
        <f>Buku_Besar!O51</f>
        <v>0</v>
      </c>
      <c r="F51" s="2">
        <f>Buku_Besar!P51</f>
        <v>119800000</v>
      </c>
    </row>
    <row r="52" spans="1:6" x14ac:dyDescent="0.3">
      <c r="A52" s="2" t="s">
        <v>247</v>
      </c>
      <c r="B52" s="2" t="s">
        <v>248</v>
      </c>
      <c r="C52" s="2" t="s">
        <v>249</v>
      </c>
      <c r="D52" s="2" t="s">
        <v>188</v>
      </c>
      <c r="E52" s="2">
        <f>Buku_Besar!O52</f>
        <v>0</v>
      </c>
      <c r="F52" s="2">
        <f>Buku_Besar!P52</f>
        <v>0</v>
      </c>
    </row>
    <row r="53" spans="1:6" x14ac:dyDescent="0.3">
      <c r="A53" s="2" t="s">
        <v>251</v>
      </c>
      <c r="B53" s="2" t="s">
        <v>252</v>
      </c>
      <c r="C53" s="2" t="s">
        <v>253</v>
      </c>
      <c r="D53" s="2" t="s">
        <v>188</v>
      </c>
      <c r="E53" s="2">
        <f>Buku_Besar!O53</f>
        <v>0</v>
      </c>
      <c r="F53" s="2">
        <f>Buku_Besar!P53</f>
        <v>0</v>
      </c>
    </row>
    <row r="54" spans="1:6" x14ac:dyDescent="0.3">
      <c r="A54" s="2" t="s">
        <v>255</v>
      </c>
      <c r="B54" s="2" t="s">
        <v>256</v>
      </c>
      <c r="C54" s="2" t="s">
        <v>257</v>
      </c>
      <c r="D54" s="2" t="s">
        <v>140</v>
      </c>
      <c r="E54" s="2">
        <f>Buku_Besar!O54</f>
        <v>0</v>
      </c>
      <c r="F54" s="2">
        <f>Buku_Besar!P54</f>
        <v>0</v>
      </c>
    </row>
    <row r="55" spans="1:6" x14ac:dyDescent="0.3">
      <c r="A55" s="2" t="s">
        <v>258</v>
      </c>
      <c r="B55" s="2" t="s">
        <v>259</v>
      </c>
      <c r="C55" s="2" t="s">
        <v>257</v>
      </c>
      <c r="D55" s="2" t="s">
        <v>140</v>
      </c>
      <c r="E55" s="2">
        <f>Buku_Besar!O55</f>
        <v>0</v>
      </c>
      <c r="F55" s="2">
        <f>Buku_Besar!P55</f>
        <v>0</v>
      </c>
    </row>
    <row r="56" spans="1:6" x14ac:dyDescent="0.3">
      <c r="A56" s="2" t="s">
        <v>260</v>
      </c>
      <c r="B56" s="2" t="s">
        <v>261</v>
      </c>
      <c r="C56" s="2" t="s">
        <v>253</v>
      </c>
      <c r="D56" s="2" t="s">
        <v>188</v>
      </c>
      <c r="E56" s="2">
        <f>Buku_Besar!O56</f>
        <v>0</v>
      </c>
      <c r="F56" s="2">
        <f>Buku_Besar!P56</f>
        <v>0</v>
      </c>
    </row>
    <row r="57" spans="1:6" x14ac:dyDescent="0.3">
      <c r="A57" s="2" t="s">
        <v>262</v>
      </c>
      <c r="B57" s="2" t="s">
        <v>263</v>
      </c>
      <c r="C57" s="2" t="s">
        <v>253</v>
      </c>
      <c r="D57" s="2" t="s">
        <v>188</v>
      </c>
      <c r="E57" s="2">
        <f>Buku_Besar!O57</f>
        <v>0</v>
      </c>
      <c r="F57" s="2">
        <f>Buku_Besar!P57</f>
        <v>0</v>
      </c>
    </row>
    <row r="58" spans="1:6" x14ac:dyDescent="0.3">
      <c r="A58" s="2" t="s">
        <v>265</v>
      </c>
      <c r="B58" s="2" t="s">
        <v>266</v>
      </c>
      <c r="C58" s="2" t="s">
        <v>253</v>
      </c>
      <c r="D58" s="2" t="s">
        <v>188</v>
      </c>
      <c r="E58" s="2">
        <f>Buku_Besar!O58</f>
        <v>0</v>
      </c>
      <c r="F58" s="2">
        <f>Buku_Besar!P58</f>
        <v>0</v>
      </c>
    </row>
    <row r="59" spans="1:6" x14ac:dyDescent="0.3">
      <c r="A59" s="2" t="s">
        <v>267</v>
      </c>
      <c r="B59" s="2" t="s">
        <v>268</v>
      </c>
      <c r="C59" s="2" t="s">
        <v>253</v>
      </c>
      <c r="D59" s="2" t="s">
        <v>188</v>
      </c>
      <c r="E59" s="2">
        <f>Buku_Besar!O59</f>
        <v>0</v>
      </c>
      <c r="F59" s="2">
        <f>Buku_Besar!P59</f>
        <v>0</v>
      </c>
    </row>
    <row r="60" spans="1:6" x14ac:dyDescent="0.3">
      <c r="A60" s="2" t="s">
        <v>269</v>
      </c>
      <c r="B60" s="2" t="s">
        <v>16</v>
      </c>
      <c r="C60" s="2" t="s">
        <v>270</v>
      </c>
      <c r="D60" s="2" t="s">
        <v>140</v>
      </c>
      <c r="E60" s="2">
        <f>Buku_Besar!O60</f>
        <v>0</v>
      </c>
      <c r="F60" s="2">
        <f>Buku_Besar!P60</f>
        <v>0</v>
      </c>
    </row>
    <row r="61" spans="1:6" x14ac:dyDescent="0.3">
      <c r="A61" s="2" t="s">
        <v>272</v>
      </c>
      <c r="B61" s="2" t="s">
        <v>273</v>
      </c>
      <c r="C61" s="2" t="s">
        <v>274</v>
      </c>
      <c r="D61" s="2" t="s">
        <v>140</v>
      </c>
      <c r="E61" s="2">
        <f>Buku_Besar!O61</f>
        <v>0</v>
      </c>
      <c r="F61" s="2">
        <f>Buku_Besar!P61</f>
        <v>0</v>
      </c>
    </row>
    <row r="62" spans="1:6" x14ac:dyDescent="0.3">
      <c r="A62" s="2" t="s">
        <v>276</v>
      </c>
      <c r="B62" s="2" t="s">
        <v>277</v>
      </c>
      <c r="C62" s="2" t="s">
        <v>274</v>
      </c>
      <c r="D62" s="2" t="s">
        <v>140</v>
      </c>
      <c r="E62" s="2">
        <f>Buku_Besar!O62</f>
        <v>0</v>
      </c>
      <c r="F62" s="2">
        <f>Buku_Besar!P62</f>
        <v>0</v>
      </c>
    </row>
    <row r="63" spans="1:6" x14ac:dyDescent="0.3">
      <c r="A63" s="2" t="s">
        <v>278</v>
      </c>
      <c r="B63" s="2" t="s">
        <v>279</v>
      </c>
      <c r="C63" s="2" t="s">
        <v>274</v>
      </c>
      <c r="D63" s="2" t="s">
        <v>140</v>
      </c>
      <c r="E63" s="2">
        <f>Buku_Besar!O63</f>
        <v>0</v>
      </c>
      <c r="F63" s="2">
        <f>Buku_Besar!P63</f>
        <v>0</v>
      </c>
    </row>
    <row r="64" spans="1:6" x14ac:dyDescent="0.3">
      <c r="A64" s="2" t="s">
        <v>280</v>
      </c>
      <c r="B64" s="2" t="s">
        <v>281</v>
      </c>
      <c r="C64" s="2" t="s">
        <v>274</v>
      </c>
      <c r="D64" s="2" t="s">
        <v>140</v>
      </c>
      <c r="E64" s="2">
        <f>Buku_Besar!O64</f>
        <v>0</v>
      </c>
      <c r="F64" s="2">
        <f>Buku_Besar!P64</f>
        <v>0</v>
      </c>
    </row>
    <row r="65" spans="1:6" x14ac:dyDescent="0.3">
      <c r="A65" s="2" t="s">
        <v>282</v>
      </c>
      <c r="B65" s="2" t="s">
        <v>283</v>
      </c>
      <c r="C65" s="2" t="s">
        <v>274</v>
      </c>
      <c r="D65" s="2" t="s">
        <v>140</v>
      </c>
      <c r="E65" s="2">
        <f>Buku_Besar!O65</f>
        <v>0</v>
      </c>
      <c r="F65" s="2">
        <f>Buku_Besar!P65</f>
        <v>0</v>
      </c>
    </row>
    <row r="66" spans="1:6" x14ac:dyDescent="0.3">
      <c r="A66" s="2" t="s">
        <v>284</v>
      </c>
      <c r="B66" s="2" t="s">
        <v>285</v>
      </c>
      <c r="C66" s="2" t="s">
        <v>274</v>
      </c>
      <c r="D66" s="2" t="s">
        <v>140</v>
      </c>
      <c r="E66" s="2">
        <f>Buku_Besar!O66</f>
        <v>0</v>
      </c>
      <c r="F66" s="2">
        <f>Buku_Besar!P66</f>
        <v>0</v>
      </c>
    </row>
    <row r="67" spans="1:6" x14ac:dyDescent="0.3">
      <c r="A67" s="2" t="s">
        <v>286</v>
      </c>
      <c r="B67" s="2" t="s">
        <v>287</v>
      </c>
      <c r="C67" s="2" t="s">
        <v>274</v>
      </c>
      <c r="D67" s="2" t="s">
        <v>140</v>
      </c>
      <c r="E67" s="2">
        <f>Buku_Besar!O67</f>
        <v>0</v>
      </c>
      <c r="F67" s="2">
        <f>Buku_Besar!P67</f>
        <v>0</v>
      </c>
    </row>
    <row r="68" spans="1:6" x14ac:dyDescent="0.3">
      <c r="A68" s="2" t="s">
        <v>288</v>
      </c>
      <c r="B68" s="2" t="s">
        <v>289</v>
      </c>
      <c r="C68" s="2" t="s">
        <v>274</v>
      </c>
      <c r="D68" s="2" t="s">
        <v>140</v>
      </c>
      <c r="E68" s="2">
        <f>Buku_Besar!O68</f>
        <v>0</v>
      </c>
      <c r="F68" s="2">
        <f>Buku_Besar!P68</f>
        <v>0</v>
      </c>
    </row>
    <row r="69" spans="1:6" x14ac:dyDescent="0.3">
      <c r="A69" s="2" t="s">
        <v>290</v>
      </c>
      <c r="B69" s="2" t="s">
        <v>291</v>
      </c>
      <c r="C69" s="2" t="s">
        <v>274</v>
      </c>
      <c r="D69" s="2" t="s">
        <v>140</v>
      </c>
      <c r="E69" s="2">
        <f>Buku_Besar!O69</f>
        <v>0</v>
      </c>
      <c r="F69" s="2">
        <f>Buku_Besar!P69</f>
        <v>0</v>
      </c>
    </row>
    <row r="70" spans="1:6" x14ac:dyDescent="0.3">
      <c r="A70" s="2" t="s">
        <v>292</v>
      </c>
      <c r="B70" s="2" t="s">
        <v>293</v>
      </c>
      <c r="C70" s="2" t="s">
        <v>274</v>
      </c>
      <c r="D70" s="2" t="s">
        <v>140</v>
      </c>
      <c r="E70" s="2">
        <f>Buku_Besar!O70</f>
        <v>0</v>
      </c>
      <c r="F70" s="2">
        <f>Buku_Besar!P70</f>
        <v>0</v>
      </c>
    </row>
    <row r="71" spans="1:6" x14ac:dyDescent="0.3">
      <c r="A71" s="2" t="s">
        <v>294</v>
      </c>
      <c r="B71" s="2" t="s">
        <v>295</v>
      </c>
      <c r="C71" s="2" t="s">
        <v>274</v>
      </c>
      <c r="D71" s="2" t="s">
        <v>140</v>
      </c>
      <c r="E71" s="2">
        <f>Buku_Besar!O71</f>
        <v>0</v>
      </c>
      <c r="F71" s="2">
        <f>Buku_Besar!P71</f>
        <v>0</v>
      </c>
    </row>
    <row r="72" spans="1:6" x14ac:dyDescent="0.3">
      <c r="A72" s="2" t="s">
        <v>296</v>
      </c>
      <c r="B72" s="2" t="s">
        <v>297</v>
      </c>
      <c r="C72" s="2" t="s">
        <v>274</v>
      </c>
      <c r="D72" s="2" t="s">
        <v>140</v>
      </c>
      <c r="E72" s="2">
        <f>Buku_Besar!O72</f>
        <v>0</v>
      </c>
      <c r="F72" s="2">
        <f>Buku_Besar!P72</f>
        <v>0</v>
      </c>
    </row>
    <row r="73" spans="1:6" x14ac:dyDescent="0.3">
      <c r="A73" s="2" t="s">
        <v>298</v>
      </c>
      <c r="B73" s="2" t="s">
        <v>299</v>
      </c>
      <c r="C73" s="2" t="s">
        <v>274</v>
      </c>
      <c r="D73" s="2" t="s">
        <v>140</v>
      </c>
      <c r="E73" s="2">
        <f>Buku_Besar!O73</f>
        <v>0</v>
      </c>
      <c r="F73" s="2">
        <f>Buku_Besar!P73</f>
        <v>0</v>
      </c>
    </row>
    <row r="74" spans="1:6" x14ac:dyDescent="0.3">
      <c r="A74" s="2" t="s">
        <v>300</v>
      </c>
      <c r="B74" s="2" t="s">
        <v>301</v>
      </c>
      <c r="C74" s="2" t="s">
        <v>274</v>
      </c>
      <c r="D74" s="2" t="s">
        <v>140</v>
      </c>
      <c r="E74" s="2">
        <f>Buku_Besar!O74</f>
        <v>0</v>
      </c>
      <c r="F74" s="2">
        <f>Buku_Besar!P74</f>
        <v>0</v>
      </c>
    </row>
    <row r="75" spans="1:6" x14ac:dyDescent="0.3">
      <c r="A75" s="2" t="s">
        <v>302</v>
      </c>
      <c r="B75" s="2" t="s">
        <v>303</v>
      </c>
      <c r="C75" s="2" t="s">
        <v>274</v>
      </c>
      <c r="D75" s="2" t="s">
        <v>140</v>
      </c>
      <c r="E75" s="2">
        <f>Buku_Besar!O75</f>
        <v>0</v>
      </c>
      <c r="F75" s="2">
        <f>Buku_Besar!P75</f>
        <v>0</v>
      </c>
    </row>
    <row r="76" spans="1:6" x14ac:dyDescent="0.3">
      <c r="A76" s="2" t="s">
        <v>304</v>
      </c>
      <c r="B76" s="2" t="s">
        <v>305</v>
      </c>
      <c r="C76" s="2" t="s">
        <v>274</v>
      </c>
      <c r="D76" s="2" t="s">
        <v>140</v>
      </c>
      <c r="E76" s="2">
        <f>Buku_Besar!O76</f>
        <v>0</v>
      </c>
      <c r="F76" s="2">
        <f>Buku_Besar!P76</f>
        <v>0</v>
      </c>
    </row>
    <row r="77" spans="1:6" x14ac:dyDescent="0.3">
      <c r="A77" s="2" t="s">
        <v>306</v>
      </c>
      <c r="B77" s="2" t="s">
        <v>307</v>
      </c>
      <c r="C77" s="2" t="s">
        <v>274</v>
      </c>
      <c r="D77" s="2" t="s">
        <v>140</v>
      </c>
      <c r="E77" s="2">
        <f>Buku_Besar!O77</f>
        <v>0</v>
      </c>
      <c r="F77" s="2">
        <f>Buku_Besar!P77</f>
        <v>0</v>
      </c>
    </row>
    <row r="78" spans="1:6" x14ac:dyDescent="0.3">
      <c r="A78" s="2" t="s">
        <v>308</v>
      </c>
      <c r="B78" s="2" t="s">
        <v>309</v>
      </c>
      <c r="C78" s="2" t="s">
        <v>274</v>
      </c>
      <c r="D78" s="2" t="s">
        <v>140</v>
      </c>
      <c r="E78" s="2">
        <f>Buku_Besar!O78</f>
        <v>0</v>
      </c>
      <c r="F78" s="2">
        <f>Buku_Besar!P78</f>
        <v>0</v>
      </c>
    </row>
    <row r="79" spans="1:6" x14ac:dyDescent="0.3">
      <c r="A79" s="2" t="s">
        <v>310</v>
      </c>
      <c r="B79" s="2" t="s">
        <v>311</v>
      </c>
      <c r="C79" s="2" t="s">
        <v>274</v>
      </c>
      <c r="D79" s="2" t="s">
        <v>140</v>
      </c>
      <c r="E79" s="2">
        <f>Buku_Besar!O79</f>
        <v>0</v>
      </c>
      <c r="F79" s="2">
        <f>Buku_Besar!P79</f>
        <v>0</v>
      </c>
    </row>
    <row r="80" spans="1:6" x14ac:dyDescent="0.3">
      <c r="A80" s="2" t="s">
        <v>312</v>
      </c>
      <c r="B80" s="2" t="s">
        <v>313</v>
      </c>
      <c r="C80" s="2" t="s">
        <v>274</v>
      </c>
      <c r="D80" s="2" t="s">
        <v>140</v>
      </c>
      <c r="E80" s="2">
        <f>Buku_Besar!O80</f>
        <v>0</v>
      </c>
      <c r="F80" s="2">
        <f>Buku_Besar!P80</f>
        <v>0</v>
      </c>
    </row>
    <row r="81" spans="1:6" x14ac:dyDescent="0.3">
      <c r="A81" s="2" t="s">
        <v>314</v>
      </c>
      <c r="B81" s="2" t="s">
        <v>315</v>
      </c>
      <c r="C81" s="2" t="s">
        <v>274</v>
      </c>
      <c r="D81" s="2" t="s">
        <v>140</v>
      </c>
      <c r="E81" s="2">
        <f>Buku_Besar!O81</f>
        <v>0</v>
      </c>
      <c r="F81" s="2">
        <f>Buku_Besar!P81</f>
        <v>0</v>
      </c>
    </row>
    <row r="82" spans="1:6" x14ac:dyDescent="0.3">
      <c r="A82" s="2" t="s">
        <v>316</v>
      </c>
      <c r="B82" s="2" t="s">
        <v>317</v>
      </c>
      <c r="C82" s="2" t="s">
        <v>274</v>
      </c>
      <c r="D82" s="2" t="s">
        <v>140</v>
      </c>
      <c r="E82" s="2">
        <f>Buku_Besar!O82</f>
        <v>0</v>
      </c>
      <c r="F82" s="2">
        <f>Buku_Besar!P82</f>
        <v>0</v>
      </c>
    </row>
    <row r="83" spans="1:6" x14ac:dyDescent="0.3">
      <c r="A83" s="2" t="s">
        <v>318</v>
      </c>
      <c r="B83" s="2" t="s">
        <v>319</v>
      </c>
      <c r="C83" s="2" t="s">
        <v>274</v>
      </c>
      <c r="D83" s="2" t="s">
        <v>140</v>
      </c>
      <c r="E83" s="2">
        <f>Buku_Besar!O83</f>
        <v>0</v>
      </c>
      <c r="F83" s="2">
        <f>Buku_Besar!P83</f>
        <v>0</v>
      </c>
    </row>
    <row r="84" spans="1:6" x14ac:dyDescent="0.3">
      <c r="A84" s="2" t="s">
        <v>321</v>
      </c>
      <c r="B84" s="2" t="s">
        <v>322</v>
      </c>
      <c r="C84" s="2" t="s">
        <v>274</v>
      </c>
      <c r="D84" s="2" t="s">
        <v>140</v>
      </c>
      <c r="E84" s="2">
        <f>Buku_Besar!O84</f>
        <v>0</v>
      </c>
      <c r="F84" s="2">
        <f>Buku_Besar!P84</f>
        <v>0</v>
      </c>
    </row>
    <row r="85" spans="1:6" x14ac:dyDescent="0.3">
      <c r="A85" s="2" t="s">
        <v>323</v>
      </c>
      <c r="B85" s="2" t="s">
        <v>324</v>
      </c>
      <c r="C85" s="2" t="s">
        <v>274</v>
      </c>
      <c r="D85" s="2" t="s">
        <v>140</v>
      </c>
      <c r="E85" s="2">
        <f>Buku_Besar!O85</f>
        <v>0</v>
      </c>
      <c r="F85" s="2">
        <f>Buku_Besar!P85</f>
        <v>0</v>
      </c>
    </row>
    <row r="86" spans="1:6" x14ac:dyDescent="0.3">
      <c r="A86" s="2" t="s">
        <v>325</v>
      </c>
      <c r="B86" s="2" t="s">
        <v>326</v>
      </c>
      <c r="C86" s="2" t="s">
        <v>274</v>
      </c>
      <c r="D86" s="2" t="s">
        <v>140</v>
      </c>
      <c r="E86" s="2">
        <f>Buku_Besar!O86</f>
        <v>0</v>
      </c>
      <c r="F86" s="2">
        <f>Buku_Besar!P86</f>
        <v>0</v>
      </c>
    </row>
    <row r="87" spans="1:6" x14ac:dyDescent="0.3">
      <c r="A87" s="2" t="s">
        <v>327</v>
      </c>
      <c r="B87" s="2" t="s">
        <v>328</v>
      </c>
      <c r="C87" s="2" t="s">
        <v>274</v>
      </c>
      <c r="D87" s="2" t="s">
        <v>140</v>
      </c>
      <c r="E87" s="2">
        <f>Buku_Besar!O87</f>
        <v>0</v>
      </c>
      <c r="F87" s="2">
        <f>Buku_Besar!P87</f>
        <v>0</v>
      </c>
    </row>
    <row r="88" spans="1:6" x14ac:dyDescent="0.3">
      <c r="A88" s="2" t="s">
        <v>329</v>
      </c>
      <c r="B88" s="2" t="s">
        <v>330</v>
      </c>
      <c r="C88" s="2" t="s">
        <v>274</v>
      </c>
      <c r="D88" s="2" t="s">
        <v>140</v>
      </c>
      <c r="E88" s="2">
        <f>Buku_Besar!O88</f>
        <v>0</v>
      </c>
      <c r="F88" s="2">
        <f>Buku_Besar!P88</f>
        <v>0</v>
      </c>
    </row>
    <row r="89" spans="1:6" x14ac:dyDescent="0.3">
      <c r="A89" s="2" t="s">
        <v>332</v>
      </c>
      <c r="B89" s="2" t="s">
        <v>333</v>
      </c>
      <c r="C89" s="2" t="s">
        <v>274</v>
      </c>
      <c r="D89" s="2" t="s">
        <v>140</v>
      </c>
      <c r="E89" s="2">
        <f>Buku_Besar!O89</f>
        <v>0</v>
      </c>
      <c r="F89" s="2">
        <f>Buku_Besar!P89</f>
        <v>0</v>
      </c>
    </row>
    <row r="90" spans="1:6" x14ac:dyDescent="0.3">
      <c r="A90" s="2" t="s">
        <v>334</v>
      </c>
      <c r="B90" s="2" t="s">
        <v>335</v>
      </c>
      <c r="C90" s="2" t="s">
        <v>198</v>
      </c>
      <c r="D90" s="2" t="s">
        <v>188</v>
      </c>
      <c r="E90" s="2">
        <f>Buku_Besar!O90</f>
        <v>0</v>
      </c>
      <c r="F90" s="2">
        <f>Buku_Besar!P90</f>
        <v>12100000</v>
      </c>
    </row>
    <row r="91" spans="1:6" x14ac:dyDescent="0.3">
      <c r="A91" s="2" t="s">
        <v>336</v>
      </c>
      <c r="B91" s="2" t="s">
        <v>337</v>
      </c>
      <c r="C91" s="2" t="s">
        <v>198</v>
      </c>
      <c r="D91" s="2" t="s">
        <v>188</v>
      </c>
      <c r="E91" s="2">
        <f>Buku_Besar!O91</f>
        <v>0</v>
      </c>
      <c r="F91" s="2">
        <f>Buku_Besar!P91</f>
        <v>0</v>
      </c>
    </row>
    <row r="92" spans="1:6" x14ac:dyDescent="0.3">
      <c r="A92" s="2" t="s">
        <v>922</v>
      </c>
      <c r="B92" s="2"/>
      <c r="C92" s="2"/>
      <c r="D92" s="2"/>
      <c r="E92" s="2">
        <f>SUM(E4:E91)</f>
        <v>2514400000</v>
      </c>
      <c r="F92" s="2">
        <f>SUM(F4:F91)</f>
        <v>2514400000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45"/>
  <sheetViews>
    <sheetView topLeftCell="A4" workbookViewId="0">
      <selection activeCell="A4" sqref="A4:B45"/>
    </sheetView>
  </sheetViews>
  <sheetFormatPr defaultRowHeight="14.4" x14ac:dyDescent="0.3"/>
  <cols>
    <col min="1" max="1" width="30.5546875" bestFit="1" customWidth="1"/>
    <col min="2" max="2" width="15" bestFit="1" customWidth="1"/>
  </cols>
  <sheetData>
    <row r="1" spans="1:2" x14ac:dyDescent="0.3">
      <c r="A1" t="s">
        <v>1274</v>
      </c>
    </row>
    <row r="2" spans="1:2" x14ac:dyDescent="0.3">
      <c r="A2" t="s">
        <v>1275</v>
      </c>
    </row>
    <row r="4" spans="1:2" x14ac:dyDescent="0.3">
      <c r="A4" s="2" t="s">
        <v>425</v>
      </c>
      <c r="B4" s="2" t="s">
        <v>1276</v>
      </c>
    </row>
    <row r="5" spans="1:2" x14ac:dyDescent="0.3">
      <c r="A5" s="2" t="s">
        <v>252</v>
      </c>
      <c r="B5" s="2">
        <f>Buku_Besar!$L$53</f>
        <v>699000000</v>
      </c>
    </row>
    <row r="6" spans="1:2" x14ac:dyDescent="0.3">
      <c r="A6" s="2" t="s">
        <v>1277</v>
      </c>
      <c r="B6" s="2">
        <f>Buku_Besar!$K$54</f>
        <v>25000000</v>
      </c>
    </row>
    <row r="7" spans="1:2" x14ac:dyDescent="0.3">
      <c r="A7" s="2" t="s">
        <v>1278</v>
      </c>
      <c r="B7" s="2">
        <f>Buku_Besar!$K$55</f>
        <v>4600000</v>
      </c>
    </row>
    <row r="8" spans="1:2" x14ac:dyDescent="0.3">
      <c r="A8" s="2" t="s">
        <v>12</v>
      </c>
      <c r="B8" s="2">
        <f>B5-B6-B7</f>
        <v>669400000</v>
      </c>
    </row>
    <row r="9" spans="1:2" x14ac:dyDescent="0.3">
      <c r="A9" s="2" t="s">
        <v>1279</v>
      </c>
      <c r="B9" s="2">
        <f>Buku_Besar!$K$60</f>
        <v>391400000</v>
      </c>
    </row>
    <row r="10" spans="1:2" x14ac:dyDescent="0.3">
      <c r="A10" s="2" t="s">
        <v>19</v>
      </c>
      <c r="B10" s="2">
        <f>B8-B9</f>
        <v>278000000</v>
      </c>
    </row>
    <row r="11" spans="1:2" x14ac:dyDescent="0.3">
      <c r="A11" s="2" t="s">
        <v>273</v>
      </c>
      <c r="B11" s="2">
        <f>Buku_Besar!$K$61</f>
        <v>30000000</v>
      </c>
    </row>
    <row r="12" spans="1:2" x14ac:dyDescent="0.3">
      <c r="A12" s="2" t="s">
        <v>277</v>
      </c>
      <c r="B12" s="2">
        <f>Buku_Besar!$K$62</f>
        <v>3500000</v>
      </c>
    </row>
    <row r="13" spans="1:2" x14ac:dyDescent="0.3">
      <c r="A13" s="2" t="s">
        <v>279</v>
      </c>
      <c r="B13" s="2">
        <f>Buku_Besar!$K$63</f>
        <v>26000000</v>
      </c>
    </row>
    <row r="14" spans="1:2" x14ac:dyDescent="0.3">
      <c r="A14" s="2" t="s">
        <v>281</v>
      </c>
      <c r="B14" s="2">
        <f>Buku_Besar!$K$64</f>
        <v>1500000</v>
      </c>
    </row>
    <row r="15" spans="1:2" x14ac:dyDescent="0.3">
      <c r="A15" s="2" t="s">
        <v>283</v>
      </c>
      <c r="B15" s="2">
        <f>Buku_Besar!$K$65</f>
        <v>2200000</v>
      </c>
    </row>
    <row r="16" spans="1:2" x14ac:dyDescent="0.3">
      <c r="A16" s="2" t="s">
        <v>285</v>
      </c>
      <c r="B16" s="2">
        <f>Buku_Besar!$K$66</f>
        <v>1000000</v>
      </c>
    </row>
    <row r="17" spans="1:2" x14ac:dyDescent="0.3">
      <c r="A17" s="2" t="s">
        <v>287</v>
      </c>
      <c r="B17" s="2">
        <f>Buku_Besar!$K$67</f>
        <v>400000</v>
      </c>
    </row>
    <row r="18" spans="1:2" x14ac:dyDescent="0.3">
      <c r="A18" s="2" t="s">
        <v>289</v>
      </c>
      <c r="B18" s="2">
        <f>Buku_Besar!$K$68</f>
        <v>1250000</v>
      </c>
    </row>
    <row r="19" spans="1:2" x14ac:dyDescent="0.3">
      <c r="A19" s="2" t="s">
        <v>291</v>
      </c>
      <c r="B19" s="2">
        <f>Buku_Besar!$K$69</f>
        <v>333333.33</v>
      </c>
    </row>
    <row r="20" spans="1:2" x14ac:dyDescent="0.3">
      <c r="A20" s="2" t="s">
        <v>293</v>
      </c>
      <c r="B20" s="2">
        <f>Buku_Besar!$K$70</f>
        <v>4166666.67</v>
      </c>
    </row>
    <row r="21" spans="1:2" x14ac:dyDescent="0.3">
      <c r="A21" s="2" t="s">
        <v>295</v>
      </c>
      <c r="B21" s="2">
        <f>Buku_Besar!$K$71</f>
        <v>7400000</v>
      </c>
    </row>
    <row r="22" spans="1:2" x14ac:dyDescent="0.3">
      <c r="A22" s="2" t="s">
        <v>297</v>
      </c>
      <c r="B22" s="2">
        <f>Buku_Besar!$K$72</f>
        <v>3500000</v>
      </c>
    </row>
    <row r="23" spans="1:2" x14ac:dyDescent="0.3">
      <c r="A23" s="2" t="s">
        <v>299</v>
      </c>
      <c r="B23" s="2">
        <f>Buku_Besar!$K$73</f>
        <v>18000000</v>
      </c>
    </row>
    <row r="24" spans="1:2" x14ac:dyDescent="0.3">
      <c r="A24" s="2" t="s">
        <v>301</v>
      </c>
      <c r="B24" s="2">
        <f>Buku_Besar!$K$74</f>
        <v>3000000</v>
      </c>
    </row>
    <row r="25" spans="1:2" x14ac:dyDescent="0.3">
      <c r="A25" s="2" t="s">
        <v>303</v>
      </c>
      <c r="B25" s="2">
        <f>Buku_Besar!$K$75</f>
        <v>0</v>
      </c>
    </row>
    <row r="26" spans="1:2" x14ac:dyDescent="0.3">
      <c r="A26" s="2" t="s">
        <v>305</v>
      </c>
      <c r="B26" s="2">
        <f>Buku_Besar!$K$76</f>
        <v>4200000</v>
      </c>
    </row>
    <row r="27" spans="1:2" x14ac:dyDescent="0.3">
      <c r="A27" s="2" t="s">
        <v>307</v>
      </c>
      <c r="B27" s="2">
        <f>Buku_Besar!$K$77</f>
        <v>3800000</v>
      </c>
    </row>
    <row r="28" spans="1:2" x14ac:dyDescent="0.3">
      <c r="A28" s="2" t="s">
        <v>309</v>
      </c>
      <c r="B28" s="2">
        <f>Buku_Besar!$K$78</f>
        <v>7500000</v>
      </c>
    </row>
    <row r="29" spans="1:2" x14ac:dyDescent="0.3">
      <c r="A29" s="2" t="s">
        <v>311</v>
      </c>
      <c r="B29" s="2">
        <f>Buku_Besar!$K$79</f>
        <v>4500000</v>
      </c>
    </row>
    <row r="30" spans="1:2" x14ac:dyDescent="0.3">
      <c r="A30" s="2" t="s">
        <v>313</v>
      </c>
      <c r="B30" s="2">
        <f>Buku_Besar!$K$80</f>
        <v>10500000</v>
      </c>
    </row>
    <row r="31" spans="1:2" x14ac:dyDescent="0.3">
      <c r="A31" s="2" t="s">
        <v>315</v>
      </c>
      <c r="B31" s="2">
        <f>Buku_Besar!$K$81</f>
        <v>800000</v>
      </c>
    </row>
    <row r="32" spans="1:2" x14ac:dyDescent="0.3">
      <c r="A32" s="2" t="s">
        <v>317</v>
      </c>
      <c r="B32" s="2">
        <f>Buku_Besar!$K$82</f>
        <v>400000</v>
      </c>
    </row>
    <row r="33" spans="1:2" x14ac:dyDescent="0.3">
      <c r="A33" s="2" t="s">
        <v>322</v>
      </c>
      <c r="B33" s="2">
        <f>Buku_Besar!$K$84</f>
        <v>2000000</v>
      </c>
    </row>
    <row r="34" spans="1:2" x14ac:dyDescent="0.3">
      <c r="A34" s="2" t="s">
        <v>324</v>
      </c>
      <c r="B34" s="2">
        <f>Buku_Besar!$K$85</f>
        <v>1500000</v>
      </c>
    </row>
    <row r="35" spans="1:2" x14ac:dyDescent="0.3">
      <c r="A35" s="2" t="s">
        <v>326</v>
      </c>
      <c r="B35" s="2">
        <f>Buku_Besar!$K$86</f>
        <v>800000</v>
      </c>
    </row>
    <row r="36" spans="1:2" x14ac:dyDescent="0.3">
      <c r="A36" s="2" t="s">
        <v>328</v>
      </c>
      <c r="B36" s="2">
        <f>Buku_Besar!$K$87</f>
        <v>300000</v>
      </c>
    </row>
    <row r="37" spans="1:2" x14ac:dyDescent="0.3">
      <c r="A37" s="2" t="s">
        <v>1280</v>
      </c>
      <c r="B37" s="2">
        <f>SUM(B11:B36)</f>
        <v>138550000</v>
      </c>
    </row>
    <row r="38" spans="1:2" x14ac:dyDescent="0.3">
      <c r="A38" s="2" t="s">
        <v>27</v>
      </c>
      <c r="B38" s="2">
        <f>B10-B37</f>
        <v>139450000</v>
      </c>
    </row>
    <row r="39" spans="1:2" x14ac:dyDescent="0.3">
      <c r="A39" s="2" t="s">
        <v>263</v>
      </c>
      <c r="B39" s="2">
        <f>Buku_Besar!$L$57</f>
        <v>2200000</v>
      </c>
    </row>
    <row r="40" spans="1:2" x14ac:dyDescent="0.3">
      <c r="A40" s="2" t="s">
        <v>266</v>
      </c>
      <c r="B40" s="2">
        <f>Buku_Besar!$L$58</f>
        <v>2000000</v>
      </c>
    </row>
    <row r="41" spans="1:2" x14ac:dyDescent="0.3">
      <c r="A41" s="2" t="s">
        <v>268</v>
      </c>
      <c r="B41" s="2">
        <f>Buku_Besar!$L$59</f>
        <v>150000</v>
      </c>
    </row>
    <row r="42" spans="1:2" x14ac:dyDescent="0.3">
      <c r="A42" s="2" t="s">
        <v>330</v>
      </c>
      <c r="B42" s="2">
        <f>Buku_Besar!$K$88</f>
        <v>1000000</v>
      </c>
    </row>
    <row r="43" spans="1:2" x14ac:dyDescent="0.3">
      <c r="A43" s="2" t="s">
        <v>1281</v>
      </c>
      <c r="B43" s="2">
        <f>B38+B39+B40+B41-B42</f>
        <v>142800000</v>
      </c>
    </row>
    <row r="44" spans="1:2" x14ac:dyDescent="0.3">
      <c r="A44" s="2" t="s">
        <v>319</v>
      </c>
      <c r="B44" s="2">
        <f>Buku_Besar!$K$83</f>
        <v>8000000</v>
      </c>
    </row>
    <row r="45" spans="1:2" x14ac:dyDescent="0.3">
      <c r="A45" s="2" t="s">
        <v>30</v>
      </c>
      <c r="B45" s="2">
        <f>B43-B44</f>
        <v>134800000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9"/>
  <sheetViews>
    <sheetView workbookViewId="0">
      <selection activeCell="A4" sqref="A4:B9"/>
    </sheetView>
  </sheetViews>
  <sheetFormatPr defaultRowHeight="14.4" x14ac:dyDescent="0.3"/>
  <cols>
    <col min="1" max="1" width="15.21875" bestFit="1" customWidth="1"/>
    <col min="2" max="2" width="15.5546875" bestFit="1" customWidth="1"/>
  </cols>
  <sheetData>
    <row r="1" spans="1:2" x14ac:dyDescent="0.3">
      <c r="A1" t="s">
        <v>1282</v>
      </c>
    </row>
    <row r="2" spans="1:2" x14ac:dyDescent="0.3">
      <c r="A2" t="s">
        <v>1283</v>
      </c>
    </row>
    <row r="4" spans="1:2" x14ac:dyDescent="0.3">
      <c r="A4" s="2" t="s">
        <v>425</v>
      </c>
      <c r="B4" s="2" t="s">
        <v>1276</v>
      </c>
    </row>
    <row r="5" spans="1:2" x14ac:dyDescent="0.3">
      <c r="A5" s="2" t="s">
        <v>1284</v>
      </c>
      <c r="B5" s="2">
        <v>0</v>
      </c>
    </row>
    <row r="6" spans="1:2" x14ac:dyDescent="0.3">
      <c r="A6" s="2" t="s">
        <v>1285</v>
      </c>
      <c r="B6" s="2">
        <f>Buku_Besar!$P$49</f>
        <v>1730000000</v>
      </c>
    </row>
    <row r="7" spans="1:2" x14ac:dyDescent="0.3">
      <c r="A7" s="2" t="s">
        <v>1286</v>
      </c>
      <c r="B7" s="2">
        <f>Laba_Rugi!$B$45</f>
        <v>134800000</v>
      </c>
    </row>
    <row r="8" spans="1:2" x14ac:dyDescent="0.3">
      <c r="A8" s="2" t="s">
        <v>1287</v>
      </c>
      <c r="B8" s="2">
        <f>Buku_Besar!$O$50</f>
        <v>0</v>
      </c>
    </row>
    <row r="9" spans="1:2" x14ac:dyDescent="0.3">
      <c r="A9" s="2" t="s">
        <v>1288</v>
      </c>
      <c r="B9" s="2">
        <f>B5+B6+B7-B8</f>
        <v>1864800000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topLeftCell="A7" workbookViewId="0">
      <selection activeCell="E33" sqref="E33"/>
    </sheetView>
  </sheetViews>
  <sheetFormatPr defaultRowHeight="14.4" x14ac:dyDescent="0.3"/>
  <cols>
    <col min="1" max="1" width="33.77734375" bestFit="1" customWidth="1"/>
    <col min="2" max="2" width="16.5546875" bestFit="1" customWidth="1"/>
    <col min="3" max="3" width="10.77734375" bestFit="1" customWidth="1"/>
    <col min="4" max="4" width="23.33203125" bestFit="1" customWidth="1"/>
    <col min="5" max="5" width="16.5546875" bestFit="1" customWidth="1"/>
  </cols>
  <sheetData>
    <row r="1" spans="1:5" x14ac:dyDescent="0.3">
      <c r="A1" t="s">
        <v>1289</v>
      </c>
    </row>
    <row r="2" spans="1:5" x14ac:dyDescent="0.3">
      <c r="A2" t="s">
        <v>1290</v>
      </c>
    </row>
    <row r="4" spans="1:5" x14ac:dyDescent="0.3">
      <c r="A4" s="2" t="s">
        <v>1496</v>
      </c>
      <c r="B4" s="2" t="s">
        <v>1497</v>
      </c>
      <c r="C4" s="2" t="s">
        <v>1498</v>
      </c>
      <c r="D4" s="2" t="s">
        <v>1499</v>
      </c>
      <c r="E4" s="2" t="s">
        <v>1500</v>
      </c>
    </row>
    <row r="5" spans="1:5" x14ac:dyDescent="0.3">
      <c r="A5" s="2" t="s">
        <v>1291</v>
      </c>
      <c r="B5" s="2" t="s">
        <v>1276</v>
      </c>
      <c r="C5" s="2"/>
      <c r="D5" s="2" t="s">
        <v>1292</v>
      </c>
      <c r="E5" s="2" t="s">
        <v>1276</v>
      </c>
    </row>
    <row r="6" spans="1:5" x14ac:dyDescent="0.3">
      <c r="A6" s="2" t="s">
        <v>138</v>
      </c>
      <c r="B6" s="2">
        <f>IF(Buku_Besar!$O$4&gt;0,Buku_Besar!$O$4,-Buku_Besar!$P$4)</f>
        <v>1403427000</v>
      </c>
      <c r="C6" s="2"/>
      <c r="D6" s="2" t="s">
        <v>197</v>
      </c>
      <c r="E6" s="2">
        <f>IF(Buku_Besar!$P$30&gt;0,Buku_Besar!$P$30,-Buku_Besar!$O$30)</f>
        <v>148400000</v>
      </c>
    </row>
    <row r="7" spans="1:5" x14ac:dyDescent="0.3">
      <c r="A7" s="2" t="s">
        <v>143</v>
      </c>
      <c r="B7" s="2">
        <f>IF(Buku_Besar!$O$5&gt;0,Buku_Besar!$O$5,-Buku_Besar!$P$5)</f>
        <v>37850000</v>
      </c>
      <c r="C7" s="2"/>
      <c r="D7" s="2" t="s">
        <v>201</v>
      </c>
      <c r="E7" s="2">
        <f>IF(Buku_Besar!$P$31&gt;0,Buku_Besar!$P$31,-Buku_Besar!$O$31)</f>
        <v>5000000</v>
      </c>
    </row>
    <row r="8" spans="1:5" x14ac:dyDescent="0.3">
      <c r="A8" s="2" t="s">
        <v>145</v>
      </c>
      <c r="B8" s="2">
        <f>IF(Buku_Besar!$O$6&gt;0,Buku_Besar!$O$6,-Buku_Besar!$P$6)</f>
        <v>116140000</v>
      </c>
      <c r="C8" s="2"/>
      <c r="D8" s="2" t="s">
        <v>203</v>
      </c>
      <c r="E8" s="2">
        <f>IF(Buku_Besar!$P$32&gt;0,Buku_Besar!$P$32,-Buku_Besar!$O$32)</f>
        <v>7500000</v>
      </c>
    </row>
    <row r="9" spans="1:5" x14ac:dyDescent="0.3">
      <c r="A9" s="2" t="s">
        <v>147</v>
      </c>
      <c r="B9" s="2">
        <f>IF(Buku_Besar!$O$7&gt;0,Buku_Besar!$O$7,-Buku_Besar!$P$7)</f>
        <v>3000000</v>
      </c>
      <c r="C9" s="2"/>
      <c r="D9" s="2" t="s">
        <v>205</v>
      </c>
      <c r="E9" s="2">
        <f>IF(Buku_Besar!$P$33&gt;0,Buku_Besar!$P$33,-Buku_Besar!$O$33)</f>
        <v>1200000</v>
      </c>
    </row>
    <row r="10" spans="1:5" x14ac:dyDescent="0.3">
      <c r="A10" s="2" t="s">
        <v>195</v>
      </c>
      <c r="B10" s="2">
        <f>-IF(Buku_Besar!$P$29&gt;0,Buku_Besar!$P$29,-Buku_Besar!$O$29)</f>
        <v>-2500000</v>
      </c>
      <c r="C10" s="2"/>
      <c r="D10" s="2" t="s">
        <v>207</v>
      </c>
      <c r="E10" s="2">
        <f>IF(Buku_Besar!$P$34&gt;0,Buku_Besar!$P$34,-Buku_Besar!$O$34)</f>
        <v>1800000</v>
      </c>
    </row>
    <row r="11" spans="1:5" x14ac:dyDescent="0.3">
      <c r="A11" s="2" t="s">
        <v>149</v>
      </c>
      <c r="B11" s="2">
        <f>IF(Buku_Besar!$O$8&gt;0,Buku_Besar!$O$8,-Buku_Besar!$P$8)</f>
        <v>700000</v>
      </c>
      <c r="C11" s="2"/>
      <c r="D11" s="2" t="s">
        <v>209</v>
      </c>
      <c r="E11" s="2">
        <f>IF(Buku_Besar!$P$35&gt;0,Buku_Besar!$P$35,-Buku_Besar!$O$35)</f>
        <v>1500000</v>
      </c>
    </row>
    <row r="12" spans="1:5" x14ac:dyDescent="0.3">
      <c r="A12" s="2" t="s">
        <v>153</v>
      </c>
      <c r="B12" s="2">
        <f>IF(Buku_Besar!$O$10&gt;0,Buku_Besar!$O$10,-Buku_Besar!$P$10)</f>
        <v>251800000</v>
      </c>
      <c r="C12" s="2"/>
      <c r="D12" s="2" t="s">
        <v>211</v>
      </c>
      <c r="E12" s="2">
        <f>IF(Buku_Besar!$P$36&gt;0,Buku_Besar!$P$36,-Buku_Besar!$O$36)</f>
        <v>0</v>
      </c>
    </row>
    <row r="13" spans="1:5" x14ac:dyDescent="0.3">
      <c r="A13" s="2" t="s">
        <v>155</v>
      </c>
      <c r="B13" s="2">
        <f>IF(Buku_Besar!$O$11&gt;0,Buku_Besar!$O$11,-Buku_Besar!$P$11)</f>
        <v>26158000</v>
      </c>
      <c r="C13" s="2"/>
      <c r="D13" s="2" t="s">
        <v>213</v>
      </c>
      <c r="E13" s="2">
        <f>IF(Buku_Besar!$P$37&gt;0,Buku_Besar!$P$37,-Buku_Besar!$O$37)</f>
        <v>0</v>
      </c>
    </row>
    <row r="14" spans="1:5" x14ac:dyDescent="0.3">
      <c r="A14" s="2" t="s">
        <v>157</v>
      </c>
      <c r="B14" s="2">
        <f>IF(Buku_Besar!$O$12&gt;0,Buku_Besar!$O$12,-Buku_Besar!$P$12)</f>
        <v>2625000</v>
      </c>
      <c r="C14" s="2"/>
      <c r="D14" s="2" t="s">
        <v>215</v>
      </c>
      <c r="E14" s="2">
        <f>IF(Buku_Besar!$P$38&gt;0,Buku_Besar!$P$38,-Buku_Besar!$O$38)</f>
        <v>0</v>
      </c>
    </row>
    <row r="15" spans="1:5" x14ac:dyDescent="0.3">
      <c r="A15" s="2" t="s">
        <v>163</v>
      </c>
      <c r="B15" s="2">
        <f>IF(Buku_Besar!$O$15&gt;0,Buku_Besar!$O$15,-Buku_Besar!$P$15)</f>
        <v>18000000</v>
      </c>
      <c r="C15" s="2"/>
      <c r="D15" s="2" t="s">
        <v>217</v>
      </c>
      <c r="E15" s="2">
        <f>IF(Buku_Besar!$P$39&gt;0,Buku_Besar!$P$39,-Buku_Besar!$O$39)</f>
        <v>50000</v>
      </c>
    </row>
    <row r="16" spans="1:5" x14ac:dyDescent="0.3">
      <c r="A16" s="2" t="s">
        <v>165</v>
      </c>
      <c r="B16" s="2">
        <f>IF(Buku_Besar!$O$16&gt;0,Buku_Besar!$O$16,-Buku_Besar!$P$16)</f>
        <v>19500000</v>
      </c>
      <c r="C16" s="2"/>
      <c r="D16" s="2" t="s">
        <v>219</v>
      </c>
      <c r="E16" s="2">
        <f>IF(Buku_Besar!$P$40&gt;0,Buku_Besar!$P$40,-Buku_Besar!$O$40)</f>
        <v>0</v>
      </c>
    </row>
    <row r="17" spans="1:5" x14ac:dyDescent="0.3">
      <c r="A17" s="2" t="s">
        <v>167</v>
      </c>
      <c r="B17" s="2">
        <f>IF(Buku_Besar!$O$17&gt;0,Buku_Besar!$O$17,-Buku_Besar!$P$17)</f>
        <v>11000000</v>
      </c>
      <c r="C17" s="2"/>
      <c r="D17" s="2" t="s">
        <v>221</v>
      </c>
      <c r="E17" s="2">
        <f>IF(Buku_Besar!$P$41&gt;0,Buku_Besar!$P$41,-Buku_Besar!$O$41)</f>
        <v>8000000</v>
      </c>
    </row>
    <row r="18" spans="1:5" x14ac:dyDescent="0.3">
      <c r="A18" s="2" t="s">
        <v>169</v>
      </c>
      <c r="B18" s="2">
        <f>IF(Buku_Besar!$O$18&gt;0,Buku_Besar!$O$18,-Buku_Besar!$P$18)</f>
        <v>2800000</v>
      </c>
      <c r="C18" s="2"/>
      <c r="D18" s="2" t="s">
        <v>223</v>
      </c>
      <c r="E18" s="2">
        <f>IF(Buku_Besar!$P$42&gt;0,Buku_Besar!$P$42,-Buku_Besar!$O$42)</f>
        <v>800000</v>
      </c>
    </row>
    <row r="19" spans="1:5" x14ac:dyDescent="0.3">
      <c r="A19" s="2" t="s">
        <v>171</v>
      </c>
      <c r="B19" s="2">
        <f>IF(Buku_Besar!$O$19&gt;0,Buku_Besar!$O$19,-Buku_Besar!$P$19)</f>
        <v>0</v>
      </c>
      <c r="C19" s="2"/>
      <c r="D19" s="2" t="s">
        <v>225</v>
      </c>
      <c r="E19" s="2">
        <f>IF(Buku_Besar!$P$43&gt;0,Buku_Besar!$P$43,-Buku_Besar!$O$43)</f>
        <v>40000000</v>
      </c>
    </row>
    <row r="20" spans="1:5" x14ac:dyDescent="0.3">
      <c r="A20" s="2" t="s">
        <v>173</v>
      </c>
      <c r="B20" s="2">
        <f>IF(Buku_Besar!$O$20&gt;0,Buku_Besar!$O$20,-Buku_Besar!$P$20)</f>
        <v>4400000</v>
      </c>
      <c r="C20" s="2"/>
      <c r="D20" s="2" t="s">
        <v>227</v>
      </c>
      <c r="E20" s="2">
        <f>IF(Buku_Besar!$P$44&gt;0,Buku_Besar!$P$44,-Buku_Besar!$O$44)</f>
        <v>380000000</v>
      </c>
    </row>
    <row r="21" spans="1:5" x14ac:dyDescent="0.3">
      <c r="A21" s="2" t="s">
        <v>175</v>
      </c>
      <c r="B21" s="2">
        <f>IF(Buku_Besar!$O$21&gt;0,Buku_Besar!$O$21,-Buku_Besar!$P$21)</f>
        <v>12000000</v>
      </c>
      <c r="C21" s="2"/>
      <c r="D21" s="2" t="s">
        <v>230</v>
      </c>
      <c r="E21" s="2">
        <f>IF(Buku_Besar!$P$45&gt;0,Buku_Besar!$P$45,-Buku_Besar!$O$45)</f>
        <v>0</v>
      </c>
    </row>
    <row r="22" spans="1:5" x14ac:dyDescent="0.3">
      <c r="A22" s="2" t="s">
        <v>177</v>
      </c>
      <c r="B22" s="2">
        <f>IF(Buku_Besar!$O$22&gt;0,Buku_Besar!$O$22,-Buku_Besar!$P$22)</f>
        <v>145000000</v>
      </c>
      <c r="C22" s="2"/>
      <c r="D22" s="2" t="s">
        <v>236</v>
      </c>
      <c r="E22" s="2">
        <f>IF(Buku_Besar!$P$48&gt;0,Buku_Besar!$P$48,-Buku_Besar!$O$48)</f>
        <v>0</v>
      </c>
    </row>
    <row r="23" spans="1:5" x14ac:dyDescent="0.3">
      <c r="A23" s="2" t="s">
        <v>180</v>
      </c>
      <c r="B23" s="2">
        <f>IF(Buku_Besar!$O$23&gt;0,Buku_Besar!$O$23,-Buku_Besar!$P$23)</f>
        <v>60000000</v>
      </c>
      <c r="C23" s="2"/>
      <c r="D23" s="2" t="s">
        <v>335</v>
      </c>
      <c r="E23" s="2">
        <f>IF(Buku_Besar!$P$90&gt;0,Buku_Besar!$P$90,-Buku_Besar!$O$90)</f>
        <v>12100000</v>
      </c>
    </row>
    <row r="24" spans="1:5" x14ac:dyDescent="0.3">
      <c r="A24" s="2" t="s">
        <v>186</v>
      </c>
      <c r="B24" s="2">
        <f>-IF(Buku_Besar!$P$26&gt;0,Buku_Besar!$P$26,-Buku_Besar!$O$26)</f>
        <v>-1250000</v>
      </c>
      <c r="C24" s="2"/>
      <c r="D24" s="2" t="s">
        <v>337</v>
      </c>
      <c r="E24" s="2">
        <f>IF(Buku_Besar!$P$91&gt;0,Buku_Besar!$P$91,-Buku_Besar!$O$91)</f>
        <v>0</v>
      </c>
    </row>
    <row r="25" spans="1:5" x14ac:dyDescent="0.3">
      <c r="A25" s="2" t="s">
        <v>191</v>
      </c>
      <c r="B25" s="2">
        <f>-IF(Buku_Besar!$P$27&gt;0,Buku_Besar!$P$27,-Buku_Besar!$O$27)</f>
        <v>-333333.33000000007</v>
      </c>
      <c r="C25" s="2"/>
      <c r="D25" s="2" t="s">
        <v>1293</v>
      </c>
      <c r="E25" s="2">
        <f>SUM(E6:E24)</f>
        <v>606350000</v>
      </c>
    </row>
    <row r="26" spans="1:5" x14ac:dyDescent="0.3">
      <c r="A26" s="2" t="s">
        <v>182</v>
      </c>
      <c r="B26" s="2">
        <f>IF(Buku_Besar!$O$24&gt;0,Buku_Besar!$O$24,-Buku_Besar!$P$24)</f>
        <v>400000000</v>
      </c>
      <c r="C26" s="2"/>
      <c r="D26" s="2"/>
      <c r="E26" s="2"/>
    </row>
    <row r="27" spans="1:5" x14ac:dyDescent="0.3">
      <c r="A27" s="2" t="s">
        <v>193</v>
      </c>
      <c r="B27" s="2">
        <f>-IF(Buku_Besar!$P$28&gt;0,Buku_Besar!$P$28,-Buku_Besar!$O$28)</f>
        <v>-54166666.670000002</v>
      </c>
      <c r="C27" s="2"/>
      <c r="D27" s="2" t="s">
        <v>1294</v>
      </c>
      <c r="E27" s="2"/>
    </row>
    <row r="28" spans="1:5" x14ac:dyDescent="0.3">
      <c r="A28" s="2" t="s">
        <v>40</v>
      </c>
      <c r="B28" s="2">
        <f>SUM(B6:B27)</f>
        <v>2456150000</v>
      </c>
      <c r="C28" s="2"/>
      <c r="D28" s="2" t="s">
        <v>238</v>
      </c>
      <c r="E28" s="2">
        <f>IF(Buku_Besar!$P$49&gt;0,Buku_Besar!$P$49,-Buku_Besar!$O$49)</f>
        <v>1730000000</v>
      </c>
    </row>
    <row r="29" spans="1:5" x14ac:dyDescent="0.3">
      <c r="D29" s="8" t="s">
        <v>246</v>
      </c>
      <c r="E29" s="8">
        <f>IF(Buku_Besar!$P$51&gt;0,Buku_Besar!$P$51,-Buku_Besar!$O$51)</f>
        <v>119800000</v>
      </c>
    </row>
    <row r="30" spans="1:5" x14ac:dyDescent="0.3">
      <c r="D30" s="8" t="s">
        <v>1295</v>
      </c>
      <c r="E30" s="8">
        <f>SUM(E28:E29)</f>
        <v>1849800000</v>
      </c>
    </row>
    <row r="31" spans="1:5" x14ac:dyDescent="0.3">
      <c r="D31" s="8" t="s">
        <v>1296</v>
      </c>
      <c r="E31" s="8">
        <f>E25+E30</f>
        <v>2456150000</v>
      </c>
    </row>
    <row r="33" spans="4:5" x14ac:dyDescent="0.3">
      <c r="D33" t="s">
        <v>1297</v>
      </c>
      <c r="E33" s="9" t="str">
        <f>IF(ABS(B28-E31)&lt;0.01,"BALANCE","PERIKSA")</f>
        <v>BALANCE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2"/>
  <sheetViews>
    <sheetView workbookViewId="0">
      <selection activeCell="B22" sqref="B22"/>
    </sheetView>
  </sheetViews>
  <sheetFormatPr defaultRowHeight="14.4" x14ac:dyDescent="0.3"/>
  <cols>
    <col min="1" max="1" width="33.77734375" bestFit="1" customWidth="1"/>
    <col min="2" max="2" width="16.5546875" bestFit="1" customWidth="1"/>
    <col min="3" max="3" width="55.5546875" bestFit="1" customWidth="1"/>
  </cols>
  <sheetData>
    <row r="1" spans="1:3" x14ac:dyDescent="0.3">
      <c r="A1" t="s">
        <v>1298</v>
      </c>
    </row>
    <row r="2" spans="1:3" x14ac:dyDescent="0.3">
      <c r="A2" t="s">
        <v>1299</v>
      </c>
    </row>
    <row r="4" spans="1:3" x14ac:dyDescent="0.3">
      <c r="A4" s="2" t="s">
        <v>1496</v>
      </c>
      <c r="B4" s="2" t="s">
        <v>1497</v>
      </c>
      <c r="C4" s="2" t="s">
        <v>1498</v>
      </c>
    </row>
    <row r="5" spans="1:3" x14ac:dyDescent="0.3">
      <c r="A5" s="2" t="s">
        <v>425</v>
      </c>
      <c r="B5" s="2" t="s">
        <v>1276</v>
      </c>
      <c r="C5" s="2" t="s">
        <v>84</v>
      </c>
    </row>
    <row r="6" spans="1:3" x14ac:dyDescent="0.3">
      <c r="A6" s="2" t="s">
        <v>1300</v>
      </c>
      <c r="B6" s="2"/>
      <c r="C6" s="2"/>
    </row>
    <row r="7" spans="1:3" x14ac:dyDescent="0.3">
      <c r="A7" s="2" t="s">
        <v>1301</v>
      </c>
      <c r="B7" s="2">
        <f>SUMIFS(Arus_Kas_Data!$E$4:$E$70,Arus_Kas_Data!$G$4:$G$70,"Operasi")</f>
        <v>713244000</v>
      </c>
      <c r="C7" s="2" t="s">
        <v>1302</v>
      </c>
    </row>
    <row r="8" spans="1:3" x14ac:dyDescent="0.3">
      <c r="A8" s="2" t="s">
        <v>1303</v>
      </c>
      <c r="B8" s="2">
        <f>SUMIFS(Arus_Kas_Data!$F$4:$F$70,Arus_Kas_Data!$G$4:$G$70,"Operasi")</f>
        <v>710187000</v>
      </c>
      <c r="C8" s="2" t="s">
        <v>1304</v>
      </c>
    </row>
    <row r="9" spans="1:3" x14ac:dyDescent="0.3">
      <c r="A9" s="2" t="s">
        <v>1305</v>
      </c>
      <c r="B9" s="2">
        <f>B7-B8</f>
        <v>3057000</v>
      </c>
      <c r="C9" s="2"/>
    </row>
    <row r="10" spans="1:3" x14ac:dyDescent="0.3">
      <c r="A10" s="2" t="s">
        <v>1306</v>
      </c>
      <c r="B10" s="2"/>
      <c r="C10" s="2"/>
    </row>
    <row r="11" spans="1:3" x14ac:dyDescent="0.3">
      <c r="A11" s="2" t="s">
        <v>1307</v>
      </c>
      <c r="B11" s="2">
        <f>SUMIFS(Arus_Kas_Data!$E$4:$E$70,Arus_Kas_Data!$G$4:$G$70,"Investasi")</f>
        <v>35320000</v>
      </c>
      <c r="C11" s="2" t="s">
        <v>1308</v>
      </c>
    </row>
    <row r="12" spans="1:3" x14ac:dyDescent="0.3">
      <c r="A12" s="2" t="s">
        <v>1309</v>
      </c>
      <c r="B12" s="2">
        <f>SUMIFS(Arus_Kas_Data!$F$4:$F$70,Arus_Kas_Data!$G$4:$G$70,"Investasi")</f>
        <v>384100000</v>
      </c>
      <c r="C12" s="2" t="s">
        <v>1310</v>
      </c>
    </row>
    <row r="13" spans="1:3" x14ac:dyDescent="0.3">
      <c r="A13" s="2" t="s">
        <v>1311</v>
      </c>
      <c r="B13" s="2">
        <f>B11-B12</f>
        <v>-348780000</v>
      </c>
      <c r="C13" s="2"/>
    </row>
    <row r="14" spans="1:3" x14ac:dyDescent="0.3">
      <c r="A14" s="2" t="s">
        <v>1312</v>
      </c>
      <c r="B14" s="2"/>
      <c r="C14" s="2"/>
    </row>
    <row r="15" spans="1:3" x14ac:dyDescent="0.3">
      <c r="A15" s="2" t="s">
        <v>1313</v>
      </c>
      <c r="B15" s="2">
        <f>SUMIFS(Arus_Kas_Data!$E$4:$E$70,Arus_Kas_Data!$G$4:$G$70,"Pendanaan")</f>
        <v>1750000000</v>
      </c>
      <c r="C15" s="2" t="s">
        <v>1314</v>
      </c>
    </row>
    <row r="16" spans="1:3" x14ac:dyDescent="0.3">
      <c r="A16" s="2" t="s">
        <v>1315</v>
      </c>
      <c r="B16" s="2">
        <f>SUMIFS(Arus_Kas_Data!$F$4:$F$70,Arus_Kas_Data!$G$4:$G$70,"Pendanaan")</f>
        <v>73000000</v>
      </c>
      <c r="C16" s="2" t="s">
        <v>1316</v>
      </c>
    </row>
    <row r="17" spans="1:3" x14ac:dyDescent="0.3">
      <c r="A17" s="2" t="s">
        <v>1317</v>
      </c>
      <c r="B17" s="2">
        <f>B15-B16</f>
        <v>1677000000</v>
      </c>
      <c r="C17" s="2"/>
    </row>
    <row r="18" spans="1:3" x14ac:dyDescent="0.3">
      <c r="A18" s="2" t="s">
        <v>1318</v>
      </c>
      <c r="B18" s="2">
        <f>B9+B13+B17</f>
        <v>1331277000</v>
      </c>
      <c r="C18" s="2"/>
    </row>
    <row r="19" spans="1:3" x14ac:dyDescent="0.3">
      <c r="A19" s="2" t="s">
        <v>1319</v>
      </c>
      <c r="B19" s="2">
        <v>110000000</v>
      </c>
      <c r="C19" s="2" t="s">
        <v>1320</v>
      </c>
    </row>
    <row r="20" spans="1:3" x14ac:dyDescent="0.3">
      <c r="A20" s="2" t="s">
        <v>1321</v>
      </c>
      <c r="B20" s="2">
        <f>B18+B19</f>
        <v>1441277000</v>
      </c>
      <c r="C20" s="2" t="s">
        <v>1322</v>
      </c>
    </row>
    <row r="21" spans="1:3" x14ac:dyDescent="0.3">
      <c r="A21" s="2" t="s">
        <v>1323</v>
      </c>
      <c r="B21" s="2">
        <f>Buku_Besar!$O$4+Buku_Besar!$O$5</f>
        <v>1441277000</v>
      </c>
      <c r="C21" s="2"/>
    </row>
    <row r="22" spans="1:3" x14ac:dyDescent="0.3">
      <c r="B22" s="9" t="str">
        <f>IF(ABS(B20-B21)&lt;0.01,"BALANCE","PERIKSA")</f>
        <v>BALANCE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6"/>
  <sheetViews>
    <sheetView topLeftCell="D1" workbookViewId="0">
      <selection activeCell="D16" sqref="D16"/>
    </sheetView>
  </sheetViews>
  <sheetFormatPr defaultRowHeight="14.4" x14ac:dyDescent="0.3"/>
  <cols>
    <col min="1" max="1" width="6.77734375" bestFit="1" customWidth="1"/>
    <col min="2" max="2" width="16.88671875" bestFit="1" customWidth="1"/>
    <col min="3" max="3" width="59.33203125" bestFit="1" customWidth="1"/>
    <col min="4" max="4" width="109.33203125" bestFit="1" customWidth="1"/>
    <col min="5" max="5" width="16.6640625" bestFit="1" customWidth="1"/>
    <col min="6" max="6" width="65.88671875" bestFit="1" customWidth="1"/>
  </cols>
  <sheetData>
    <row r="1" spans="1:6" x14ac:dyDescent="0.3">
      <c r="A1" t="s">
        <v>1324</v>
      </c>
    </row>
    <row r="2" spans="1:6" x14ac:dyDescent="0.3">
      <c r="A2" t="s">
        <v>1325</v>
      </c>
    </row>
    <row r="4" spans="1:6" x14ac:dyDescent="0.3">
      <c r="A4" s="2" t="s">
        <v>453</v>
      </c>
      <c r="B4" s="2" t="s">
        <v>84</v>
      </c>
      <c r="C4" s="2" t="s">
        <v>1326</v>
      </c>
      <c r="D4" s="2" t="s">
        <v>1327</v>
      </c>
      <c r="E4" s="2" t="s">
        <v>5</v>
      </c>
      <c r="F4" s="2" t="s">
        <v>425</v>
      </c>
    </row>
    <row r="5" spans="1:6" x14ac:dyDescent="0.3">
      <c r="A5" s="2">
        <v>1</v>
      </c>
      <c r="B5" s="2" t="s">
        <v>1328</v>
      </c>
      <c r="C5" s="2" t="s">
        <v>1329</v>
      </c>
      <c r="D5" s="2"/>
      <c r="E5" s="2" t="s">
        <v>89</v>
      </c>
      <c r="F5" s="2" t="s">
        <v>1330</v>
      </c>
    </row>
    <row r="6" spans="1:6" x14ac:dyDescent="0.3">
      <c r="A6" s="2">
        <v>2</v>
      </c>
      <c r="B6" s="2" t="s">
        <v>1331</v>
      </c>
      <c r="C6" s="2" t="s">
        <v>1332</v>
      </c>
      <c r="D6" s="2"/>
      <c r="E6" s="2" t="s">
        <v>89</v>
      </c>
      <c r="F6" s="2" t="s">
        <v>1333</v>
      </c>
    </row>
    <row r="7" spans="1:6" x14ac:dyDescent="0.3">
      <c r="A7" s="2">
        <v>3</v>
      </c>
      <c r="B7" s="2" t="s">
        <v>17</v>
      </c>
      <c r="C7" s="2" t="s">
        <v>1334</v>
      </c>
      <c r="D7" s="2" t="s">
        <v>18</v>
      </c>
      <c r="E7" s="2" t="s">
        <v>17</v>
      </c>
      <c r="F7" s="2" t="s">
        <v>1335</v>
      </c>
    </row>
    <row r="8" spans="1:6" x14ac:dyDescent="0.3">
      <c r="A8" s="2">
        <v>4</v>
      </c>
      <c r="B8" s="2" t="s">
        <v>1336</v>
      </c>
      <c r="C8" s="2" t="s">
        <v>1337</v>
      </c>
      <c r="D8" s="2"/>
      <c r="E8" s="2" t="s">
        <v>1338</v>
      </c>
      <c r="F8" s="2" t="s">
        <v>1339</v>
      </c>
    </row>
    <row r="9" spans="1:6" x14ac:dyDescent="0.3">
      <c r="A9" s="2">
        <v>5</v>
      </c>
      <c r="B9" s="2" t="s">
        <v>415</v>
      </c>
      <c r="C9" s="2" t="s">
        <v>1340</v>
      </c>
      <c r="D9" s="2"/>
      <c r="E9" s="2" t="s">
        <v>1338</v>
      </c>
      <c r="F9" s="2" t="s">
        <v>1341</v>
      </c>
    </row>
    <row r="10" spans="1:6" x14ac:dyDescent="0.3">
      <c r="A10" s="2">
        <v>6</v>
      </c>
      <c r="B10" s="2" t="s">
        <v>411</v>
      </c>
      <c r="C10" s="2" t="s">
        <v>1342</v>
      </c>
      <c r="D10" s="2"/>
      <c r="E10" s="2" t="s">
        <v>1338</v>
      </c>
      <c r="F10" s="2" t="s">
        <v>1341</v>
      </c>
    </row>
    <row r="11" spans="1:6" x14ac:dyDescent="0.3">
      <c r="A11" s="2">
        <v>7</v>
      </c>
      <c r="B11" s="2" t="s">
        <v>1343</v>
      </c>
      <c r="C11" s="2" t="s">
        <v>1344</v>
      </c>
      <c r="D11" s="2"/>
      <c r="E11" s="2" t="s">
        <v>1338</v>
      </c>
      <c r="F11" s="2" t="s">
        <v>1341</v>
      </c>
    </row>
    <row r="12" spans="1:6" x14ac:dyDescent="0.3">
      <c r="A12" s="2">
        <v>8</v>
      </c>
      <c r="B12" s="2" t="s">
        <v>1038</v>
      </c>
      <c r="C12" s="2" t="s">
        <v>1345</v>
      </c>
      <c r="D12" s="2"/>
      <c r="E12" s="2" t="s">
        <v>89</v>
      </c>
      <c r="F12" s="2" t="s">
        <v>1346</v>
      </c>
    </row>
    <row r="13" spans="1:6" x14ac:dyDescent="0.3">
      <c r="A13" s="2">
        <v>9</v>
      </c>
      <c r="B13" s="2" t="s">
        <v>30</v>
      </c>
      <c r="C13" s="2" t="s">
        <v>1347</v>
      </c>
      <c r="D13" s="2">
        <f>Laba_Rugi!$B$45</f>
        <v>134800000</v>
      </c>
      <c r="E13" s="2" t="s">
        <v>39</v>
      </c>
      <c r="F13" s="2" t="s">
        <v>1348</v>
      </c>
    </row>
    <row r="14" spans="1:6" x14ac:dyDescent="0.3">
      <c r="A14" s="2">
        <v>10</v>
      </c>
      <c r="B14" s="2" t="s">
        <v>40</v>
      </c>
      <c r="C14" s="2" t="s">
        <v>1349</v>
      </c>
      <c r="D14" s="2">
        <f>Posisi_Keuangan!$B$28</f>
        <v>2456150000</v>
      </c>
      <c r="E14" s="2" t="s">
        <v>41</v>
      </c>
      <c r="F14" s="2" t="s">
        <v>1350</v>
      </c>
    </row>
    <row r="15" spans="1:6" x14ac:dyDescent="0.3">
      <c r="A15" s="2">
        <v>11</v>
      </c>
      <c r="B15" s="2" t="s">
        <v>1351</v>
      </c>
      <c r="C15" s="2" t="s">
        <v>1352</v>
      </c>
      <c r="D15" s="2">
        <f>Arus_Kas!$B$21</f>
        <v>1441277000</v>
      </c>
      <c r="E15" s="2" t="s">
        <v>1353</v>
      </c>
      <c r="F15" s="2" t="s">
        <v>1354</v>
      </c>
    </row>
    <row r="16" spans="1:6" x14ac:dyDescent="0.3">
      <c r="A16" s="2">
        <v>12</v>
      </c>
      <c r="B16" s="2" t="s">
        <v>35</v>
      </c>
      <c r="C16" s="2" t="s">
        <v>1355</v>
      </c>
      <c r="D16" s="2">
        <f>Rekap_AP!$G$11</f>
        <v>148400000</v>
      </c>
      <c r="E16" s="2" t="s">
        <v>36</v>
      </c>
      <c r="F16" s="2" t="s">
        <v>1356</v>
      </c>
    </row>
    <row r="17" spans="1:6" x14ac:dyDescent="0.3">
      <c r="A17" s="2">
        <v>13</v>
      </c>
      <c r="B17" s="2" t="s">
        <v>37</v>
      </c>
      <c r="C17" s="2" t="s">
        <v>1357</v>
      </c>
      <c r="D17" s="2">
        <f>Rekap_AR!$I$8</f>
        <v>116140000</v>
      </c>
      <c r="E17" s="2" t="s">
        <v>38</v>
      </c>
      <c r="F17" s="2" t="s">
        <v>1358</v>
      </c>
    </row>
    <row r="18" spans="1:6" x14ac:dyDescent="0.3">
      <c r="A18" s="2">
        <v>14</v>
      </c>
      <c r="B18" s="2" t="s">
        <v>1359</v>
      </c>
      <c r="C18" s="2" t="s">
        <v>1360</v>
      </c>
      <c r="D18" s="2">
        <f>Rekonsiliasi_Akun!$B$7</f>
        <v>26158000</v>
      </c>
      <c r="E18" s="2" t="s">
        <v>1361</v>
      </c>
      <c r="F18" s="2" t="s">
        <v>1362</v>
      </c>
    </row>
    <row r="19" spans="1:6" x14ac:dyDescent="0.3">
      <c r="A19" s="2">
        <v>15</v>
      </c>
      <c r="B19" s="2" t="s">
        <v>1363</v>
      </c>
      <c r="C19" s="2" t="s">
        <v>1364</v>
      </c>
      <c r="D19" s="2" t="str">
        <f>Rekonsiliasi_Bank!$B$13</f>
        <v>BALANCE</v>
      </c>
      <c r="E19" s="2" t="s">
        <v>34</v>
      </c>
      <c r="F19" s="2" t="s">
        <v>1365</v>
      </c>
    </row>
    <row r="20" spans="1:6" x14ac:dyDescent="0.3">
      <c r="A20" s="2">
        <v>16</v>
      </c>
      <c r="B20" s="2" t="s">
        <v>1366</v>
      </c>
      <c r="C20" s="2" t="s">
        <v>1367</v>
      </c>
      <c r="D20" s="2"/>
      <c r="E20" s="2" t="s">
        <v>1368</v>
      </c>
      <c r="F20" s="2" t="s">
        <v>1369</v>
      </c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2">
        <v>20</v>
      </c>
      <c r="B22" s="2" t="s">
        <v>1370</v>
      </c>
      <c r="C22" s="2" t="s">
        <v>1371</v>
      </c>
      <c r="D22" s="2" t="s">
        <v>1372</v>
      </c>
      <c r="E22" s="2" t="s">
        <v>1373</v>
      </c>
      <c r="F22" s="2" t="s">
        <v>1374</v>
      </c>
    </row>
    <row r="23" spans="1:6" x14ac:dyDescent="0.3">
      <c r="A23" s="2">
        <v>21</v>
      </c>
      <c r="B23" s="2" t="s">
        <v>1370</v>
      </c>
      <c r="C23" s="2" t="s">
        <v>1375</v>
      </c>
      <c r="D23" s="2" t="s">
        <v>100</v>
      </c>
      <c r="E23" s="2" t="s">
        <v>1373</v>
      </c>
      <c r="F23" s="2" t="s">
        <v>1376</v>
      </c>
    </row>
    <row r="24" spans="1:6" x14ac:dyDescent="0.3">
      <c r="A24" s="2">
        <v>22</v>
      </c>
      <c r="B24" s="2" t="s">
        <v>1370</v>
      </c>
      <c r="C24" s="2" t="s">
        <v>415</v>
      </c>
      <c r="D24" s="2" t="s">
        <v>104</v>
      </c>
      <c r="E24" s="2" t="s">
        <v>1373</v>
      </c>
      <c r="F24" s="2" t="s">
        <v>1377</v>
      </c>
    </row>
    <row r="25" spans="1:6" x14ac:dyDescent="0.3">
      <c r="A25" s="2">
        <v>23</v>
      </c>
      <c r="B25" s="2" t="s">
        <v>1370</v>
      </c>
      <c r="C25" s="2" t="s">
        <v>411</v>
      </c>
      <c r="D25" s="2" t="s">
        <v>107</v>
      </c>
      <c r="E25" s="2" t="s">
        <v>1373</v>
      </c>
      <c r="F25" s="2" t="s">
        <v>1378</v>
      </c>
    </row>
    <row r="26" spans="1:6" x14ac:dyDescent="0.3">
      <c r="A26" s="2">
        <v>24</v>
      </c>
      <c r="B26" s="2" t="s">
        <v>1370</v>
      </c>
      <c r="C26" s="2" t="s">
        <v>1343</v>
      </c>
      <c r="D26" s="2" t="s">
        <v>110</v>
      </c>
      <c r="E26" s="2" t="s">
        <v>1373</v>
      </c>
      <c r="F26" s="2" t="s">
        <v>1379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0"/>
  <sheetViews>
    <sheetView workbookViewId="0">
      <selection activeCell="G14" sqref="G14"/>
    </sheetView>
  </sheetViews>
  <sheetFormatPr defaultRowHeight="14.4" x14ac:dyDescent="0.3"/>
  <cols>
    <col min="1" max="1" width="19.109375" bestFit="1" customWidth="1"/>
    <col min="2" max="2" width="55.109375" bestFit="1" customWidth="1"/>
    <col min="3" max="3" width="29.77734375" bestFit="1" customWidth="1"/>
    <col min="4" max="4" width="59" bestFit="1" customWidth="1"/>
  </cols>
  <sheetData>
    <row r="1" spans="1:4" x14ac:dyDescent="0.3">
      <c r="A1" t="s">
        <v>1380</v>
      </c>
    </row>
    <row r="4" spans="1:4" x14ac:dyDescent="0.3">
      <c r="A4" t="s">
        <v>1381</v>
      </c>
      <c r="B4" t="s">
        <v>1382</v>
      </c>
      <c r="C4" t="s">
        <v>1383</v>
      </c>
      <c r="D4" t="s">
        <v>84</v>
      </c>
    </row>
    <row r="5" spans="1:4" x14ac:dyDescent="0.3">
      <c r="A5" t="s">
        <v>1384</v>
      </c>
      <c r="B5" t="s">
        <v>1385</v>
      </c>
      <c r="C5" t="s">
        <v>1386</v>
      </c>
      <c r="D5" t="s">
        <v>1387</v>
      </c>
    </row>
    <row r="6" spans="1:4" x14ac:dyDescent="0.3">
      <c r="A6" t="s">
        <v>1388</v>
      </c>
      <c r="B6" t="s">
        <v>1389</v>
      </c>
      <c r="C6" t="s">
        <v>25</v>
      </c>
      <c r="D6" t="s">
        <v>1390</v>
      </c>
    </row>
    <row r="7" spans="1:4" x14ac:dyDescent="0.3">
      <c r="A7" t="s">
        <v>1391</v>
      </c>
      <c r="B7" t="s">
        <v>1392</v>
      </c>
      <c r="C7" t="s">
        <v>25</v>
      </c>
      <c r="D7" t="s">
        <v>1393</v>
      </c>
    </row>
    <row r="8" spans="1:4" x14ac:dyDescent="0.3">
      <c r="A8" t="s">
        <v>1394</v>
      </c>
      <c r="B8" t="s">
        <v>1395</v>
      </c>
      <c r="C8" t="s">
        <v>39</v>
      </c>
      <c r="D8" t="s">
        <v>1396</v>
      </c>
    </row>
    <row r="9" spans="1:4" x14ac:dyDescent="0.3">
      <c r="A9" t="s">
        <v>1397</v>
      </c>
      <c r="B9" t="s">
        <v>1398</v>
      </c>
      <c r="C9" t="s">
        <v>39</v>
      </c>
      <c r="D9" t="s">
        <v>1399</v>
      </c>
    </row>
    <row r="10" spans="1:4" x14ac:dyDescent="0.3">
      <c r="A10" t="s">
        <v>1400</v>
      </c>
      <c r="B10" t="s">
        <v>1401</v>
      </c>
      <c r="C10" t="s">
        <v>39</v>
      </c>
      <c r="D10" t="s">
        <v>1402</v>
      </c>
    </row>
    <row r="11" spans="1:4" x14ac:dyDescent="0.3">
      <c r="A11" t="s">
        <v>1403</v>
      </c>
      <c r="B11" t="s">
        <v>1404</v>
      </c>
      <c r="C11" t="s">
        <v>41</v>
      </c>
      <c r="D11" t="s">
        <v>1405</v>
      </c>
    </row>
    <row r="12" spans="1:4" x14ac:dyDescent="0.3">
      <c r="A12" t="s">
        <v>1406</v>
      </c>
      <c r="B12" t="s">
        <v>1407</v>
      </c>
      <c r="C12" t="s">
        <v>36</v>
      </c>
      <c r="D12" t="s">
        <v>1408</v>
      </c>
    </row>
    <row r="13" spans="1:4" x14ac:dyDescent="0.3">
      <c r="A13" t="s">
        <v>1409</v>
      </c>
      <c r="B13" t="s">
        <v>1410</v>
      </c>
      <c r="C13" t="s">
        <v>38</v>
      </c>
      <c r="D13" t="s">
        <v>1411</v>
      </c>
    </row>
    <row r="14" spans="1:4" x14ac:dyDescent="0.3">
      <c r="A14" t="s">
        <v>1412</v>
      </c>
      <c r="B14" t="s">
        <v>1413</v>
      </c>
      <c r="C14" t="s">
        <v>34</v>
      </c>
      <c r="D14" t="s">
        <v>1414</v>
      </c>
    </row>
    <row r="15" spans="1:4" x14ac:dyDescent="0.3">
      <c r="A15" t="s">
        <v>1415</v>
      </c>
      <c r="B15" t="s">
        <v>1416</v>
      </c>
      <c r="C15" t="s">
        <v>1417</v>
      </c>
      <c r="D15" t="s">
        <v>1418</v>
      </c>
    </row>
    <row r="16" spans="1:4" x14ac:dyDescent="0.3">
      <c r="A16" t="s">
        <v>1419</v>
      </c>
      <c r="B16" t="s">
        <v>1420</v>
      </c>
      <c r="C16" t="s">
        <v>15</v>
      </c>
      <c r="D16" t="s">
        <v>1421</v>
      </c>
    </row>
    <row r="17" spans="1:4" x14ac:dyDescent="0.3">
      <c r="A17" t="s">
        <v>1422</v>
      </c>
      <c r="B17" t="s">
        <v>1423</v>
      </c>
      <c r="C17" t="s">
        <v>1424</v>
      </c>
      <c r="D17" t="s">
        <v>1425</v>
      </c>
    </row>
    <row r="18" spans="1:4" x14ac:dyDescent="0.3">
      <c r="A18" t="s">
        <v>1426</v>
      </c>
      <c r="B18" t="s">
        <v>1427</v>
      </c>
      <c r="C18" t="s">
        <v>8</v>
      </c>
      <c r="D18" t="s">
        <v>1428</v>
      </c>
    </row>
    <row r="19" spans="1:4" x14ac:dyDescent="0.3">
      <c r="A19" t="s">
        <v>1429</v>
      </c>
      <c r="B19" t="s">
        <v>1430</v>
      </c>
      <c r="C19" t="s">
        <v>8</v>
      </c>
      <c r="D19" t="s">
        <v>1431</v>
      </c>
    </row>
    <row r="20" spans="1:4" x14ac:dyDescent="0.3">
      <c r="A20" t="s">
        <v>1336</v>
      </c>
      <c r="B20" t="s">
        <v>1432</v>
      </c>
      <c r="C20" t="s">
        <v>8</v>
      </c>
      <c r="D20" t="s">
        <v>1433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70"/>
  <sheetViews>
    <sheetView topLeftCell="A3" workbookViewId="0">
      <selection activeCell="A3" sqref="A3:J70"/>
    </sheetView>
  </sheetViews>
  <sheetFormatPr defaultRowHeight="14.4" x14ac:dyDescent="0.3"/>
  <cols>
    <col min="1" max="1" width="10.33203125" bestFit="1" customWidth="1"/>
    <col min="2" max="2" width="6.77734375" bestFit="1" customWidth="1"/>
    <col min="3" max="3" width="20.21875" bestFit="1" customWidth="1"/>
    <col min="4" max="4" width="14.6640625" bestFit="1" customWidth="1"/>
    <col min="5" max="5" width="16.5546875" bestFit="1" customWidth="1"/>
    <col min="6" max="6" width="15" bestFit="1" customWidth="1"/>
    <col min="7" max="7" width="10.44140625" bestFit="1" customWidth="1"/>
    <col min="8" max="8" width="18" bestFit="1" customWidth="1"/>
    <col min="9" max="9" width="169.109375" bestFit="1" customWidth="1"/>
    <col min="10" max="10" width="9.77734375" bestFit="1" customWidth="1"/>
  </cols>
  <sheetData>
    <row r="1" spans="1:10" x14ac:dyDescent="0.3">
      <c r="A1" t="s">
        <v>1434</v>
      </c>
    </row>
    <row r="3" spans="1:10" x14ac:dyDescent="0.3">
      <c r="A3" s="2" t="s">
        <v>454</v>
      </c>
      <c r="B3" s="2" t="s">
        <v>453</v>
      </c>
      <c r="C3" s="2" t="s">
        <v>772</v>
      </c>
      <c r="D3" s="2" t="s">
        <v>1435</v>
      </c>
      <c r="E3" s="2" t="s">
        <v>1436</v>
      </c>
      <c r="F3" s="2" t="s">
        <v>1437</v>
      </c>
      <c r="G3" s="2" t="s">
        <v>1438</v>
      </c>
      <c r="H3" s="2" t="s">
        <v>778</v>
      </c>
      <c r="I3" s="2" t="s">
        <v>425</v>
      </c>
      <c r="J3" s="2" t="s">
        <v>84</v>
      </c>
    </row>
    <row r="4" spans="1:10" x14ac:dyDescent="0.3">
      <c r="A4" s="2">
        <v>46388</v>
      </c>
      <c r="B4" s="2">
        <v>1</v>
      </c>
      <c r="C4" s="2" t="s">
        <v>779</v>
      </c>
      <c r="D4" s="2" t="s">
        <v>138</v>
      </c>
      <c r="E4" s="2">
        <v>1500000000</v>
      </c>
      <c r="F4" s="2">
        <v>0</v>
      </c>
      <c r="G4" s="2" t="s">
        <v>780</v>
      </c>
      <c r="H4" s="2" t="s">
        <v>782</v>
      </c>
      <c r="I4" s="2" t="s">
        <v>469</v>
      </c>
      <c r="J4" s="2"/>
    </row>
    <row r="5" spans="1:10" x14ac:dyDescent="0.3">
      <c r="A5" s="2">
        <v>46388</v>
      </c>
      <c r="B5" s="2">
        <v>2</v>
      </c>
      <c r="C5" s="2" t="s">
        <v>783</v>
      </c>
      <c r="D5" s="2" t="s">
        <v>143</v>
      </c>
      <c r="E5" s="2">
        <v>20000000</v>
      </c>
      <c r="F5" s="2">
        <v>0</v>
      </c>
      <c r="G5" s="2" t="s">
        <v>784</v>
      </c>
      <c r="H5" s="2" t="s">
        <v>785</v>
      </c>
      <c r="I5" s="2" t="s">
        <v>473</v>
      </c>
      <c r="J5" s="2"/>
    </row>
    <row r="6" spans="1:10" x14ac:dyDescent="0.3">
      <c r="A6" s="2">
        <v>46388</v>
      </c>
      <c r="B6" s="2">
        <v>2</v>
      </c>
      <c r="C6" s="2" t="s">
        <v>783</v>
      </c>
      <c r="D6" s="2" t="s">
        <v>138</v>
      </c>
      <c r="E6" s="2">
        <v>0</v>
      </c>
      <c r="F6" s="2">
        <v>20000000</v>
      </c>
      <c r="G6" s="2" t="s">
        <v>784</v>
      </c>
      <c r="H6" s="2" t="s">
        <v>785</v>
      </c>
      <c r="I6" s="2" t="s">
        <v>473</v>
      </c>
      <c r="J6" s="2"/>
    </row>
    <row r="7" spans="1:10" x14ac:dyDescent="0.3">
      <c r="A7" s="2">
        <v>46389</v>
      </c>
      <c r="B7" s="2">
        <v>3</v>
      </c>
      <c r="C7" s="2" t="s">
        <v>366</v>
      </c>
      <c r="D7" s="2" t="s">
        <v>138</v>
      </c>
      <c r="E7" s="2">
        <v>0</v>
      </c>
      <c r="F7" s="2">
        <v>66600000</v>
      </c>
      <c r="G7" s="2" t="s">
        <v>784</v>
      </c>
      <c r="H7" s="2" t="s">
        <v>789</v>
      </c>
      <c r="I7" s="2" t="s">
        <v>477</v>
      </c>
      <c r="J7" s="2"/>
    </row>
    <row r="8" spans="1:10" x14ac:dyDescent="0.3">
      <c r="A8" s="2">
        <v>46391</v>
      </c>
      <c r="B8" s="2">
        <v>7</v>
      </c>
      <c r="C8" s="2" t="s">
        <v>793</v>
      </c>
      <c r="D8" s="2" t="s">
        <v>138</v>
      </c>
      <c r="E8" s="2">
        <v>0</v>
      </c>
      <c r="F8" s="2">
        <v>4000000</v>
      </c>
      <c r="G8" s="2" t="s">
        <v>787</v>
      </c>
      <c r="H8" s="2" t="s">
        <v>789</v>
      </c>
      <c r="I8" s="2" t="s">
        <v>492</v>
      </c>
      <c r="J8" s="2"/>
    </row>
    <row r="9" spans="1:10" x14ac:dyDescent="0.3">
      <c r="A9" s="2">
        <v>46392</v>
      </c>
      <c r="B9" s="2">
        <v>8</v>
      </c>
      <c r="C9" s="2" t="s">
        <v>392</v>
      </c>
      <c r="D9" s="2" t="s">
        <v>138</v>
      </c>
      <c r="E9" s="2">
        <v>133200000</v>
      </c>
      <c r="F9" s="2">
        <v>0</v>
      </c>
      <c r="G9" s="2" t="s">
        <v>787</v>
      </c>
      <c r="H9" s="2" t="s">
        <v>795</v>
      </c>
      <c r="I9" s="2" t="s">
        <v>496</v>
      </c>
      <c r="J9" s="2"/>
    </row>
    <row r="10" spans="1:10" x14ac:dyDescent="0.3">
      <c r="A10" s="2">
        <v>46394</v>
      </c>
      <c r="B10" s="2">
        <v>10</v>
      </c>
      <c r="C10" s="2" t="s">
        <v>355</v>
      </c>
      <c r="D10" s="2" t="s">
        <v>138</v>
      </c>
      <c r="E10" s="2">
        <v>80000000</v>
      </c>
      <c r="F10" s="2">
        <v>0</v>
      </c>
      <c r="G10" s="2" t="s">
        <v>787</v>
      </c>
      <c r="H10" s="2" t="s">
        <v>785</v>
      </c>
      <c r="I10" s="2" t="s">
        <v>504</v>
      </c>
      <c r="J10" s="2"/>
    </row>
    <row r="11" spans="1:10" x14ac:dyDescent="0.3">
      <c r="A11" s="2">
        <v>46395</v>
      </c>
      <c r="B11" s="2">
        <v>11</v>
      </c>
      <c r="C11" s="2" t="s">
        <v>350</v>
      </c>
      <c r="D11" s="2" t="s">
        <v>138</v>
      </c>
      <c r="E11" s="2">
        <v>0</v>
      </c>
      <c r="F11" s="2">
        <v>100000000</v>
      </c>
      <c r="G11" s="2" t="s">
        <v>787</v>
      </c>
      <c r="H11" s="2" t="s">
        <v>789</v>
      </c>
      <c r="I11" s="2" t="s">
        <v>508</v>
      </c>
      <c r="J11" s="2"/>
    </row>
    <row r="12" spans="1:10" x14ac:dyDescent="0.3">
      <c r="A12" s="2">
        <v>46395</v>
      </c>
      <c r="B12" s="2">
        <v>12</v>
      </c>
      <c r="C12" s="2" t="s">
        <v>362</v>
      </c>
      <c r="D12" s="2" t="s">
        <v>138</v>
      </c>
      <c r="E12" s="2">
        <v>44440000</v>
      </c>
      <c r="F12" s="2">
        <v>0</v>
      </c>
      <c r="G12" s="2" t="s">
        <v>787</v>
      </c>
      <c r="H12" s="2" t="s">
        <v>800</v>
      </c>
      <c r="I12" s="2" t="s">
        <v>512</v>
      </c>
      <c r="J12" s="2"/>
    </row>
    <row r="13" spans="1:10" x14ac:dyDescent="0.3">
      <c r="A13" s="2">
        <v>46397</v>
      </c>
      <c r="B13" s="2">
        <v>15</v>
      </c>
      <c r="C13" s="2" t="s">
        <v>804</v>
      </c>
      <c r="D13" s="2" t="s">
        <v>138</v>
      </c>
      <c r="E13" s="2">
        <v>0</v>
      </c>
      <c r="F13" s="2">
        <v>2500000</v>
      </c>
      <c r="G13" s="2" t="s">
        <v>787</v>
      </c>
      <c r="H13" s="2" t="s">
        <v>789</v>
      </c>
      <c r="I13" s="2" t="s">
        <v>524</v>
      </c>
      <c r="J13" s="2"/>
    </row>
    <row r="14" spans="1:10" x14ac:dyDescent="0.3">
      <c r="A14" s="2">
        <v>46398</v>
      </c>
      <c r="B14" s="2">
        <v>16</v>
      </c>
      <c r="C14" s="2" t="s">
        <v>806</v>
      </c>
      <c r="D14" s="2" t="s">
        <v>138</v>
      </c>
      <c r="E14" s="2">
        <v>0</v>
      </c>
      <c r="F14" s="2">
        <v>12000000</v>
      </c>
      <c r="G14" s="2" t="s">
        <v>787</v>
      </c>
      <c r="H14" s="2" t="s">
        <v>789</v>
      </c>
      <c r="I14" s="2" t="s">
        <v>528</v>
      </c>
      <c r="J14" s="2"/>
    </row>
    <row r="15" spans="1:10" x14ac:dyDescent="0.3">
      <c r="A15" s="2">
        <v>46398</v>
      </c>
      <c r="B15" s="2">
        <v>17</v>
      </c>
      <c r="C15" s="2" t="s">
        <v>808</v>
      </c>
      <c r="D15" s="2" t="s">
        <v>138</v>
      </c>
      <c r="E15" s="2">
        <v>0</v>
      </c>
      <c r="F15" s="2">
        <v>18000000</v>
      </c>
      <c r="G15" s="2" t="s">
        <v>787</v>
      </c>
      <c r="H15" s="2" t="s">
        <v>789</v>
      </c>
      <c r="I15" s="2" t="s">
        <v>532</v>
      </c>
      <c r="J15" s="2"/>
    </row>
    <row r="16" spans="1:10" x14ac:dyDescent="0.3">
      <c r="A16" s="2">
        <v>46399</v>
      </c>
      <c r="B16" s="2">
        <v>18</v>
      </c>
      <c r="C16" s="2" t="s">
        <v>810</v>
      </c>
      <c r="D16" s="2" t="s">
        <v>138</v>
      </c>
      <c r="E16" s="2">
        <v>0</v>
      </c>
      <c r="F16" s="2">
        <v>6000000</v>
      </c>
      <c r="G16" s="2" t="s">
        <v>787</v>
      </c>
      <c r="H16" s="2" t="s">
        <v>789</v>
      </c>
      <c r="I16" s="2" t="s">
        <v>536</v>
      </c>
      <c r="J16" s="2"/>
    </row>
    <row r="17" spans="1:10" x14ac:dyDescent="0.3">
      <c r="A17" s="2">
        <v>46399</v>
      </c>
      <c r="B17" s="2">
        <v>19</v>
      </c>
      <c r="C17" s="2" t="s">
        <v>783</v>
      </c>
      <c r="D17" s="2" t="s">
        <v>143</v>
      </c>
      <c r="E17" s="2">
        <v>10000000</v>
      </c>
      <c r="F17" s="2">
        <v>0</v>
      </c>
      <c r="G17" s="2" t="s">
        <v>787</v>
      </c>
      <c r="H17" s="2" t="s">
        <v>785</v>
      </c>
      <c r="I17" s="2" t="s">
        <v>540</v>
      </c>
      <c r="J17" s="2"/>
    </row>
    <row r="18" spans="1:10" x14ac:dyDescent="0.3">
      <c r="A18" s="2">
        <v>46399</v>
      </c>
      <c r="B18" s="2">
        <v>19</v>
      </c>
      <c r="C18" s="2" t="s">
        <v>783</v>
      </c>
      <c r="D18" s="2" t="s">
        <v>138</v>
      </c>
      <c r="E18" s="2">
        <v>0</v>
      </c>
      <c r="F18" s="2">
        <v>10000000</v>
      </c>
      <c r="G18" s="2" t="s">
        <v>787</v>
      </c>
      <c r="H18" s="2" t="s">
        <v>785</v>
      </c>
      <c r="I18" s="2" t="s">
        <v>540</v>
      </c>
      <c r="J18" s="2"/>
    </row>
    <row r="19" spans="1:10" x14ac:dyDescent="0.3">
      <c r="A19" s="2">
        <v>46400</v>
      </c>
      <c r="B19" s="2">
        <v>20</v>
      </c>
      <c r="C19" s="2" t="s">
        <v>812</v>
      </c>
      <c r="D19" s="2" t="s">
        <v>138</v>
      </c>
      <c r="E19" s="2">
        <v>0</v>
      </c>
      <c r="F19" s="2">
        <v>3200000</v>
      </c>
      <c r="G19" s="2" t="s">
        <v>787</v>
      </c>
      <c r="H19" s="2" t="s">
        <v>789</v>
      </c>
      <c r="I19" s="2" t="s">
        <v>543</v>
      </c>
      <c r="J19" s="2"/>
    </row>
    <row r="20" spans="1:10" x14ac:dyDescent="0.3">
      <c r="A20" s="2">
        <v>46400</v>
      </c>
      <c r="B20" s="2">
        <v>21</v>
      </c>
      <c r="C20" s="2" t="s">
        <v>814</v>
      </c>
      <c r="D20" s="2" t="s">
        <v>143</v>
      </c>
      <c r="E20" s="2">
        <v>0</v>
      </c>
      <c r="F20" s="2">
        <v>2000000</v>
      </c>
      <c r="G20" s="2" t="s">
        <v>787</v>
      </c>
      <c r="H20" s="2" t="s">
        <v>816</v>
      </c>
      <c r="I20" s="2" t="s">
        <v>547</v>
      </c>
      <c r="J20" s="2"/>
    </row>
    <row r="21" spans="1:10" x14ac:dyDescent="0.3">
      <c r="A21" s="2">
        <v>46401</v>
      </c>
      <c r="B21" s="2">
        <v>22</v>
      </c>
      <c r="C21" s="2" t="s">
        <v>413</v>
      </c>
      <c r="D21" s="2" t="s">
        <v>138</v>
      </c>
      <c r="E21" s="2">
        <v>0</v>
      </c>
      <c r="F21" s="2">
        <v>8720000</v>
      </c>
      <c r="G21" s="2" t="s">
        <v>787</v>
      </c>
      <c r="H21" s="2" t="s">
        <v>789</v>
      </c>
      <c r="I21" s="2" t="s">
        <v>551</v>
      </c>
      <c r="J21" s="2"/>
    </row>
    <row r="22" spans="1:10" x14ac:dyDescent="0.3">
      <c r="A22" s="2">
        <v>46401</v>
      </c>
      <c r="B22" s="2">
        <v>23</v>
      </c>
      <c r="C22" s="2" t="s">
        <v>408</v>
      </c>
      <c r="D22" s="2" t="s">
        <v>138</v>
      </c>
      <c r="E22" s="2">
        <v>0</v>
      </c>
      <c r="F22" s="2">
        <v>20200000</v>
      </c>
      <c r="G22" s="2" t="s">
        <v>787</v>
      </c>
      <c r="H22" s="2" t="s">
        <v>789</v>
      </c>
      <c r="I22" s="2" t="s">
        <v>555</v>
      </c>
      <c r="J22" s="2"/>
    </row>
    <row r="23" spans="1:10" x14ac:dyDescent="0.3">
      <c r="A23" s="2">
        <v>46402</v>
      </c>
      <c r="B23" s="2">
        <v>24</v>
      </c>
      <c r="C23" s="2" t="s">
        <v>821</v>
      </c>
      <c r="D23" s="2" t="s">
        <v>138</v>
      </c>
      <c r="E23" s="2">
        <v>0</v>
      </c>
      <c r="F23" s="2">
        <v>23500000</v>
      </c>
      <c r="G23" s="2" t="s">
        <v>787</v>
      </c>
      <c r="H23" s="2" t="s">
        <v>825</v>
      </c>
      <c r="I23" s="2" t="s">
        <v>559</v>
      </c>
      <c r="J23" s="2"/>
    </row>
    <row r="24" spans="1:10" x14ac:dyDescent="0.3">
      <c r="A24" s="2">
        <v>46403</v>
      </c>
      <c r="B24" s="2">
        <v>26</v>
      </c>
      <c r="C24" s="2" t="s">
        <v>138</v>
      </c>
      <c r="D24" s="2" t="s">
        <v>138</v>
      </c>
      <c r="E24" s="2">
        <v>1500000</v>
      </c>
      <c r="F24" s="2">
        <v>0</v>
      </c>
      <c r="G24" s="2" t="s">
        <v>787</v>
      </c>
      <c r="H24" s="2" t="s">
        <v>827</v>
      </c>
      <c r="I24" s="2" t="s">
        <v>567</v>
      </c>
      <c r="J24" s="2"/>
    </row>
    <row r="25" spans="1:10" x14ac:dyDescent="0.3">
      <c r="A25" s="2">
        <v>46403</v>
      </c>
      <c r="B25" s="2">
        <v>27</v>
      </c>
      <c r="C25" s="2" t="s">
        <v>138</v>
      </c>
      <c r="D25" s="2" t="s">
        <v>138</v>
      </c>
      <c r="E25" s="2">
        <v>0</v>
      </c>
      <c r="F25" s="2">
        <v>250000</v>
      </c>
      <c r="G25" s="2" t="s">
        <v>787</v>
      </c>
      <c r="H25" s="2" t="s">
        <v>828</v>
      </c>
      <c r="I25" s="2" t="s">
        <v>571</v>
      </c>
      <c r="J25" s="2"/>
    </row>
    <row r="26" spans="1:10" x14ac:dyDescent="0.3">
      <c r="A26" s="2">
        <v>46404</v>
      </c>
      <c r="B26" s="2">
        <v>28</v>
      </c>
      <c r="C26" s="2" t="s">
        <v>138</v>
      </c>
      <c r="D26" s="2" t="s">
        <v>138</v>
      </c>
      <c r="E26" s="2">
        <v>200000000</v>
      </c>
      <c r="F26" s="2">
        <v>0</v>
      </c>
      <c r="G26" s="2" t="s">
        <v>780</v>
      </c>
      <c r="H26" s="2" t="s">
        <v>829</v>
      </c>
      <c r="I26" s="2" t="s">
        <v>575</v>
      </c>
      <c r="J26" s="2"/>
    </row>
    <row r="27" spans="1:10" x14ac:dyDescent="0.3">
      <c r="A27" s="2">
        <v>46405</v>
      </c>
      <c r="B27" s="2">
        <v>29</v>
      </c>
      <c r="C27" s="2" t="s">
        <v>830</v>
      </c>
      <c r="D27" s="2" t="s">
        <v>138</v>
      </c>
      <c r="E27" s="2">
        <v>0</v>
      </c>
      <c r="F27" s="2">
        <v>277500000</v>
      </c>
      <c r="G27" s="2" t="s">
        <v>784</v>
      </c>
      <c r="H27" s="2" t="s">
        <v>789</v>
      </c>
      <c r="I27" s="2" t="s">
        <v>579</v>
      </c>
      <c r="J27" s="2"/>
    </row>
    <row r="28" spans="1:10" x14ac:dyDescent="0.3">
      <c r="A28" s="2">
        <v>46405</v>
      </c>
      <c r="B28" s="2">
        <v>30</v>
      </c>
      <c r="C28" s="2" t="s">
        <v>350</v>
      </c>
      <c r="D28" s="2" t="s">
        <v>138</v>
      </c>
      <c r="E28" s="2">
        <v>0</v>
      </c>
      <c r="F28" s="2">
        <v>130536000</v>
      </c>
      <c r="G28" s="2" t="s">
        <v>787</v>
      </c>
      <c r="H28" s="2" t="s">
        <v>789</v>
      </c>
      <c r="I28" s="2" t="s">
        <v>583</v>
      </c>
      <c r="J28" s="2"/>
    </row>
    <row r="29" spans="1:10" x14ac:dyDescent="0.3">
      <c r="A29" s="2">
        <v>46406</v>
      </c>
      <c r="B29" s="2">
        <v>32</v>
      </c>
      <c r="C29" s="2" t="s">
        <v>392</v>
      </c>
      <c r="D29" s="2" t="s">
        <v>138</v>
      </c>
      <c r="E29" s="2">
        <v>94350000</v>
      </c>
      <c r="F29" s="2">
        <v>0</v>
      </c>
      <c r="G29" s="2" t="s">
        <v>787</v>
      </c>
      <c r="H29" s="2" t="s">
        <v>835</v>
      </c>
      <c r="I29" s="2" t="s">
        <v>591</v>
      </c>
      <c r="J29" s="2"/>
    </row>
    <row r="30" spans="1:10" x14ac:dyDescent="0.3">
      <c r="A30" s="2">
        <v>46408</v>
      </c>
      <c r="B30" s="2">
        <v>34</v>
      </c>
      <c r="C30" s="2" t="s">
        <v>370</v>
      </c>
      <c r="D30" s="2" t="s">
        <v>138</v>
      </c>
      <c r="E30" s="2">
        <v>100000000</v>
      </c>
      <c r="F30" s="2">
        <v>0</v>
      </c>
      <c r="G30" s="2" t="s">
        <v>787</v>
      </c>
      <c r="H30" s="2" t="s">
        <v>837</v>
      </c>
      <c r="I30" s="2" t="s">
        <v>599</v>
      </c>
      <c r="J30" s="2"/>
    </row>
    <row r="31" spans="1:10" x14ac:dyDescent="0.3">
      <c r="A31" s="2">
        <v>46408</v>
      </c>
      <c r="B31" s="2">
        <v>35</v>
      </c>
      <c r="C31" s="2" t="s">
        <v>358</v>
      </c>
      <c r="D31" s="2" t="s">
        <v>138</v>
      </c>
      <c r="E31" s="2">
        <v>0</v>
      </c>
      <c r="F31" s="2">
        <v>90000000</v>
      </c>
      <c r="G31" s="2" t="s">
        <v>787</v>
      </c>
      <c r="H31" s="2" t="s">
        <v>838</v>
      </c>
      <c r="I31" s="2" t="s">
        <v>601</v>
      </c>
      <c r="J31" s="2"/>
    </row>
    <row r="32" spans="1:10" x14ac:dyDescent="0.3">
      <c r="A32" s="2">
        <v>46409</v>
      </c>
      <c r="B32" s="2">
        <v>37</v>
      </c>
      <c r="C32" s="2" t="s">
        <v>362</v>
      </c>
      <c r="D32" s="2" t="s">
        <v>138</v>
      </c>
      <c r="E32" s="2">
        <v>0</v>
      </c>
      <c r="F32" s="2">
        <v>6700000</v>
      </c>
      <c r="G32" s="2" t="s">
        <v>787</v>
      </c>
      <c r="H32" s="2" t="s">
        <v>840</v>
      </c>
      <c r="I32" s="2" t="s">
        <v>607</v>
      </c>
      <c r="J32" s="2"/>
    </row>
    <row r="33" spans="1:10" x14ac:dyDescent="0.3">
      <c r="A33" s="2">
        <v>46410</v>
      </c>
      <c r="B33" s="2">
        <v>38</v>
      </c>
      <c r="C33" s="2" t="s">
        <v>355</v>
      </c>
      <c r="D33" s="2" t="s">
        <v>138</v>
      </c>
      <c r="E33" s="2">
        <v>0</v>
      </c>
      <c r="F33" s="2">
        <v>3000000</v>
      </c>
      <c r="G33" s="2" t="s">
        <v>787</v>
      </c>
      <c r="H33" s="2" t="s">
        <v>842</v>
      </c>
      <c r="I33" s="2" t="s">
        <v>611</v>
      </c>
      <c r="J33" s="2"/>
    </row>
    <row r="34" spans="1:10" x14ac:dyDescent="0.3">
      <c r="A34" s="2">
        <v>46410</v>
      </c>
      <c r="B34" s="2">
        <v>39</v>
      </c>
      <c r="C34" s="2" t="s">
        <v>355</v>
      </c>
      <c r="D34" s="2" t="s">
        <v>138</v>
      </c>
      <c r="E34" s="2">
        <v>50000000</v>
      </c>
      <c r="F34" s="2">
        <v>0</v>
      </c>
      <c r="G34" s="2" t="s">
        <v>787</v>
      </c>
      <c r="H34" s="2" t="s">
        <v>843</v>
      </c>
      <c r="I34" s="2" t="s">
        <v>614</v>
      </c>
      <c r="J34" s="2"/>
    </row>
    <row r="35" spans="1:10" x14ac:dyDescent="0.3">
      <c r="A35" s="2">
        <v>46411</v>
      </c>
      <c r="B35" s="2">
        <v>40</v>
      </c>
      <c r="C35" s="2" t="s">
        <v>844</v>
      </c>
      <c r="D35" s="2" t="s">
        <v>138</v>
      </c>
      <c r="E35" s="2">
        <v>0</v>
      </c>
      <c r="F35" s="2">
        <v>119175000</v>
      </c>
      <c r="G35" s="2" t="s">
        <v>787</v>
      </c>
      <c r="H35" s="2" t="s">
        <v>846</v>
      </c>
      <c r="I35" s="2" t="s">
        <v>617</v>
      </c>
      <c r="J35" s="2"/>
    </row>
    <row r="36" spans="1:10" x14ac:dyDescent="0.3">
      <c r="A36" s="2">
        <v>46412</v>
      </c>
      <c r="B36" s="2">
        <v>42</v>
      </c>
      <c r="C36" s="2" t="s">
        <v>138</v>
      </c>
      <c r="D36" s="2" t="s">
        <v>138</v>
      </c>
      <c r="E36" s="2">
        <v>0</v>
      </c>
      <c r="F36" s="2">
        <v>750000</v>
      </c>
      <c r="G36" s="2" t="s">
        <v>787</v>
      </c>
      <c r="H36" s="2" t="s">
        <v>851</v>
      </c>
      <c r="I36" s="2" t="s">
        <v>625</v>
      </c>
      <c r="J36" s="2"/>
    </row>
    <row r="37" spans="1:10" x14ac:dyDescent="0.3">
      <c r="A37" s="2">
        <v>46412</v>
      </c>
      <c r="B37" s="2">
        <v>43</v>
      </c>
      <c r="C37" s="2" t="s">
        <v>380</v>
      </c>
      <c r="D37" s="2" t="s">
        <v>138</v>
      </c>
      <c r="E37" s="2">
        <v>0</v>
      </c>
      <c r="F37" s="2">
        <v>22200000</v>
      </c>
      <c r="G37" s="2" t="s">
        <v>787</v>
      </c>
      <c r="H37" s="2" t="s">
        <v>852</v>
      </c>
      <c r="I37" s="2" t="s">
        <v>629</v>
      </c>
      <c r="J37" s="2"/>
    </row>
    <row r="38" spans="1:10" x14ac:dyDescent="0.3">
      <c r="A38" s="2">
        <v>46413</v>
      </c>
      <c r="B38" s="2">
        <v>45</v>
      </c>
      <c r="C38" s="2" t="s">
        <v>374</v>
      </c>
      <c r="D38" s="2" t="s">
        <v>138</v>
      </c>
      <c r="E38" s="2">
        <v>0</v>
      </c>
      <c r="F38" s="2">
        <v>44400000</v>
      </c>
      <c r="G38" s="2" t="s">
        <v>787</v>
      </c>
      <c r="H38" s="2" t="s">
        <v>855</v>
      </c>
      <c r="I38" s="2" t="s">
        <v>636</v>
      </c>
      <c r="J38" s="2"/>
    </row>
    <row r="39" spans="1:10" x14ac:dyDescent="0.3">
      <c r="A39" s="2">
        <v>46414</v>
      </c>
      <c r="B39" s="2">
        <v>46</v>
      </c>
      <c r="C39" s="2" t="s">
        <v>856</v>
      </c>
      <c r="D39" s="2" t="s">
        <v>138</v>
      </c>
      <c r="E39" s="2">
        <v>0</v>
      </c>
      <c r="F39" s="2">
        <v>3000000</v>
      </c>
      <c r="G39" s="2" t="s">
        <v>787</v>
      </c>
      <c r="H39" s="2" t="s">
        <v>789</v>
      </c>
      <c r="I39" s="2" t="s">
        <v>639</v>
      </c>
      <c r="J39" s="2"/>
    </row>
    <row r="40" spans="1:10" x14ac:dyDescent="0.3">
      <c r="A40" s="2">
        <v>46414</v>
      </c>
      <c r="B40" s="2">
        <v>47</v>
      </c>
      <c r="C40" s="2" t="s">
        <v>858</v>
      </c>
      <c r="D40" s="2" t="s">
        <v>138</v>
      </c>
      <c r="E40" s="2">
        <v>0</v>
      </c>
      <c r="F40" s="2">
        <v>15000000</v>
      </c>
      <c r="G40" s="2" t="s">
        <v>784</v>
      </c>
      <c r="H40" s="2" t="s">
        <v>789</v>
      </c>
      <c r="I40" s="2" t="s">
        <v>643</v>
      </c>
      <c r="J40" s="2"/>
    </row>
    <row r="41" spans="1:10" x14ac:dyDescent="0.3">
      <c r="A41" s="2">
        <v>46415</v>
      </c>
      <c r="B41" s="2">
        <v>48</v>
      </c>
      <c r="C41" s="2" t="s">
        <v>860</v>
      </c>
      <c r="D41" s="2" t="s">
        <v>138</v>
      </c>
      <c r="E41" s="2">
        <v>11100000</v>
      </c>
      <c r="F41" s="2">
        <v>0</v>
      </c>
      <c r="G41" s="2" t="s">
        <v>784</v>
      </c>
      <c r="H41" s="2" t="s">
        <v>861</v>
      </c>
      <c r="I41" s="2" t="s">
        <v>647</v>
      </c>
      <c r="J41" s="2"/>
    </row>
    <row r="42" spans="1:10" x14ac:dyDescent="0.3">
      <c r="A42" s="2">
        <v>46415</v>
      </c>
      <c r="B42" s="2">
        <v>49</v>
      </c>
      <c r="C42" s="2" t="s">
        <v>138</v>
      </c>
      <c r="D42" s="2" t="s">
        <v>138</v>
      </c>
      <c r="E42" s="2">
        <v>0</v>
      </c>
      <c r="F42" s="2">
        <v>22000000</v>
      </c>
      <c r="G42" s="2" t="s">
        <v>780</v>
      </c>
      <c r="H42" s="2" t="s">
        <v>862</v>
      </c>
      <c r="I42" s="2" t="s">
        <v>651</v>
      </c>
      <c r="J42" s="2"/>
    </row>
    <row r="43" spans="1:10" x14ac:dyDescent="0.3">
      <c r="A43" s="2">
        <v>46416</v>
      </c>
      <c r="B43" s="2">
        <v>51</v>
      </c>
      <c r="C43" s="2" t="s">
        <v>779</v>
      </c>
      <c r="D43" s="2" t="s">
        <v>138</v>
      </c>
      <c r="E43" s="2">
        <v>0</v>
      </c>
      <c r="F43" s="2">
        <v>15000000</v>
      </c>
      <c r="G43" s="2" t="s">
        <v>780</v>
      </c>
      <c r="H43" s="2" t="s">
        <v>864</v>
      </c>
      <c r="I43" s="2" t="s">
        <v>659</v>
      </c>
      <c r="J43" s="2"/>
    </row>
    <row r="44" spans="1:10" x14ac:dyDescent="0.3">
      <c r="A44" s="2">
        <v>46417</v>
      </c>
      <c r="B44" s="2">
        <v>52</v>
      </c>
      <c r="C44" s="2" t="s">
        <v>821</v>
      </c>
      <c r="D44" s="2" t="s">
        <v>138</v>
      </c>
      <c r="E44" s="2">
        <v>0</v>
      </c>
      <c r="F44" s="2">
        <v>5000000</v>
      </c>
      <c r="G44" s="2" t="s">
        <v>784</v>
      </c>
      <c r="H44" s="2" t="s">
        <v>865</v>
      </c>
      <c r="I44" s="2" t="s">
        <v>663</v>
      </c>
      <c r="J44" s="2"/>
    </row>
    <row r="45" spans="1:10" x14ac:dyDescent="0.3">
      <c r="A45" s="2">
        <v>46417</v>
      </c>
      <c r="B45" s="2">
        <v>53</v>
      </c>
      <c r="C45" s="2" t="s">
        <v>821</v>
      </c>
      <c r="D45" s="2" t="s">
        <v>138</v>
      </c>
      <c r="E45" s="2">
        <v>2000000</v>
      </c>
      <c r="F45" s="2">
        <v>0</v>
      </c>
      <c r="G45" s="2" t="s">
        <v>784</v>
      </c>
      <c r="H45" s="2" t="s">
        <v>866</v>
      </c>
      <c r="I45" s="2" t="s">
        <v>667</v>
      </c>
      <c r="J45" s="2"/>
    </row>
    <row r="46" spans="1:10" x14ac:dyDescent="0.3">
      <c r="A46" s="2">
        <v>46417</v>
      </c>
      <c r="B46" s="2">
        <v>54</v>
      </c>
      <c r="C46" s="2" t="s">
        <v>867</v>
      </c>
      <c r="D46" s="2" t="s">
        <v>138</v>
      </c>
      <c r="E46" s="2">
        <v>0</v>
      </c>
      <c r="F46" s="2">
        <v>1800000</v>
      </c>
      <c r="G46" s="2" t="s">
        <v>787</v>
      </c>
      <c r="H46" s="2" t="s">
        <v>868</v>
      </c>
      <c r="I46" s="2" t="s">
        <v>671</v>
      </c>
      <c r="J46" s="2"/>
    </row>
    <row r="47" spans="1:10" x14ac:dyDescent="0.3">
      <c r="A47" s="2">
        <v>46417</v>
      </c>
      <c r="B47" s="2">
        <v>55</v>
      </c>
      <c r="C47" s="2" t="s">
        <v>869</v>
      </c>
      <c r="D47" s="2" t="s">
        <v>138</v>
      </c>
      <c r="E47" s="2">
        <v>0</v>
      </c>
      <c r="F47" s="2">
        <v>800000</v>
      </c>
      <c r="G47" s="2" t="s">
        <v>787</v>
      </c>
      <c r="H47" s="2" t="s">
        <v>870</v>
      </c>
      <c r="I47" s="2" t="s">
        <v>675</v>
      </c>
      <c r="J47" s="2"/>
    </row>
    <row r="48" spans="1:10" x14ac:dyDescent="0.3">
      <c r="A48" s="2">
        <v>46417</v>
      </c>
      <c r="B48" s="2">
        <v>56</v>
      </c>
      <c r="C48" s="2" t="s">
        <v>871</v>
      </c>
      <c r="D48" s="2" t="s">
        <v>138</v>
      </c>
      <c r="E48" s="2">
        <v>0</v>
      </c>
      <c r="F48" s="2">
        <v>4800000</v>
      </c>
      <c r="G48" s="2" t="s">
        <v>787</v>
      </c>
      <c r="H48" s="2" t="s">
        <v>872</v>
      </c>
      <c r="I48" s="2" t="s">
        <v>679</v>
      </c>
      <c r="J48" s="2"/>
    </row>
    <row r="49" spans="1:10" x14ac:dyDescent="0.3">
      <c r="A49" s="2">
        <v>46417</v>
      </c>
      <c r="B49" s="2">
        <v>57</v>
      </c>
      <c r="C49" s="2" t="s">
        <v>873</v>
      </c>
      <c r="D49" s="2" t="s">
        <v>138</v>
      </c>
      <c r="E49" s="2">
        <v>0</v>
      </c>
      <c r="F49" s="2">
        <v>2000000</v>
      </c>
      <c r="G49" s="2" t="s">
        <v>787</v>
      </c>
      <c r="H49" s="2" t="s">
        <v>874</v>
      </c>
      <c r="I49" s="2" t="s">
        <v>683</v>
      </c>
      <c r="J49" s="2"/>
    </row>
    <row r="50" spans="1:10" x14ac:dyDescent="0.3">
      <c r="A50" s="2">
        <v>46417</v>
      </c>
      <c r="B50" s="2">
        <v>58</v>
      </c>
      <c r="C50" s="2" t="s">
        <v>417</v>
      </c>
      <c r="D50" s="2" t="s">
        <v>138</v>
      </c>
      <c r="E50" s="2">
        <v>0</v>
      </c>
      <c r="F50" s="2">
        <v>1635000</v>
      </c>
      <c r="G50" s="2" t="s">
        <v>787</v>
      </c>
      <c r="H50" s="2" t="s">
        <v>789</v>
      </c>
      <c r="I50" s="2" t="s">
        <v>687</v>
      </c>
      <c r="J50" s="2"/>
    </row>
    <row r="51" spans="1:10" x14ac:dyDescent="0.3">
      <c r="A51" s="2">
        <v>46417</v>
      </c>
      <c r="B51" s="2">
        <v>59</v>
      </c>
      <c r="C51" s="2" t="s">
        <v>876</v>
      </c>
      <c r="D51" s="2" t="s">
        <v>138</v>
      </c>
      <c r="E51" s="2">
        <v>0</v>
      </c>
      <c r="F51" s="2">
        <v>2400000</v>
      </c>
      <c r="G51" s="2" t="s">
        <v>787</v>
      </c>
      <c r="H51" s="2" t="s">
        <v>877</v>
      </c>
      <c r="I51" s="2" t="s">
        <v>691</v>
      </c>
      <c r="J51" s="2"/>
    </row>
    <row r="52" spans="1:10" x14ac:dyDescent="0.3">
      <c r="A52" s="2">
        <v>46418</v>
      </c>
      <c r="B52" s="2">
        <v>60</v>
      </c>
      <c r="C52" s="2" t="s">
        <v>783</v>
      </c>
      <c r="D52" s="2" t="s">
        <v>143</v>
      </c>
      <c r="E52" s="2">
        <v>150000</v>
      </c>
      <c r="F52" s="2">
        <v>0</v>
      </c>
      <c r="G52" s="2" t="s">
        <v>787</v>
      </c>
      <c r="H52" s="2" t="s">
        <v>878</v>
      </c>
      <c r="I52" s="2" t="s">
        <v>694</v>
      </c>
      <c r="J52" s="2"/>
    </row>
    <row r="53" spans="1:10" x14ac:dyDescent="0.3">
      <c r="A53" s="2">
        <v>46418</v>
      </c>
      <c r="B53" s="2">
        <v>61</v>
      </c>
      <c r="C53" s="2" t="s">
        <v>783</v>
      </c>
      <c r="D53" s="2" t="s">
        <v>143</v>
      </c>
      <c r="E53" s="2">
        <v>0</v>
      </c>
      <c r="F53" s="2">
        <v>300000</v>
      </c>
      <c r="G53" s="2" t="s">
        <v>787</v>
      </c>
      <c r="H53" s="2" t="s">
        <v>879</v>
      </c>
      <c r="I53" s="2" t="s">
        <v>698</v>
      </c>
      <c r="J53" s="2"/>
    </row>
    <row r="54" spans="1:10" x14ac:dyDescent="0.3">
      <c r="A54" s="2">
        <v>46418</v>
      </c>
      <c r="B54" s="2">
        <v>64</v>
      </c>
      <c r="C54" s="2" t="s">
        <v>358</v>
      </c>
      <c r="D54" s="2" t="s">
        <v>138</v>
      </c>
      <c r="E54" s="2">
        <v>6000000</v>
      </c>
      <c r="F54" s="2">
        <v>0</v>
      </c>
      <c r="G54" s="2" t="s">
        <v>787</v>
      </c>
      <c r="H54" s="2" t="s">
        <v>883</v>
      </c>
      <c r="I54" s="2" t="s">
        <v>709</v>
      </c>
      <c r="J54" s="2"/>
    </row>
    <row r="55" spans="1:10" x14ac:dyDescent="0.3">
      <c r="A55" s="2">
        <v>46418</v>
      </c>
      <c r="B55" s="2">
        <v>66</v>
      </c>
      <c r="C55" s="2" t="s">
        <v>370</v>
      </c>
      <c r="D55" s="2" t="s">
        <v>138</v>
      </c>
      <c r="E55" s="2">
        <v>90000000</v>
      </c>
      <c r="F55" s="2">
        <v>0</v>
      </c>
      <c r="G55" s="2" t="s">
        <v>787</v>
      </c>
      <c r="H55" s="2" t="s">
        <v>886</v>
      </c>
      <c r="I55" s="2" t="s">
        <v>717</v>
      </c>
      <c r="J55" s="2"/>
    </row>
    <row r="56" spans="1:10" x14ac:dyDescent="0.3">
      <c r="A56" s="2">
        <v>46418</v>
      </c>
      <c r="B56" s="2">
        <v>67</v>
      </c>
      <c r="C56" s="2" t="s">
        <v>387</v>
      </c>
      <c r="D56" s="2" t="s">
        <v>138</v>
      </c>
      <c r="E56" s="2">
        <v>0</v>
      </c>
      <c r="F56" s="2">
        <v>32301000</v>
      </c>
      <c r="G56" s="2" t="s">
        <v>787</v>
      </c>
      <c r="H56" s="2" t="s">
        <v>789</v>
      </c>
      <c r="I56" s="2" t="s">
        <v>720</v>
      </c>
      <c r="J56" s="2"/>
    </row>
    <row r="57" spans="1:10" x14ac:dyDescent="0.3">
      <c r="A57" s="2">
        <v>46418</v>
      </c>
      <c r="B57" s="2">
        <v>68</v>
      </c>
      <c r="C57" s="2" t="s">
        <v>355</v>
      </c>
      <c r="D57" s="2" t="s">
        <v>138</v>
      </c>
      <c r="E57" s="2">
        <v>32634000</v>
      </c>
      <c r="F57" s="2">
        <v>0</v>
      </c>
      <c r="G57" s="2" t="s">
        <v>787</v>
      </c>
      <c r="H57" s="2" t="s">
        <v>888</v>
      </c>
      <c r="I57" s="2" t="s">
        <v>724</v>
      </c>
      <c r="J57" s="2"/>
    </row>
    <row r="58" spans="1:10" x14ac:dyDescent="0.3">
      <c r="A58" s="2">
        <v>46418</v>
      </c>
      <c r="B58" s="2">
        <v>69</v>
      </c>
      <c r="C58" s="2" t="s">
        <v>358</v>
      </c>
      <c r="D58" s="2" t="s">
        <v>138</v>
      </c>
      <c r="E58" s="2">
        <v>1000000</v>
      </c>
      <c r="F58" s="2">
        <v>0</v>
      </c>
      <c r="G58" s="2" t="s">
        <v>787</v>
      </c>
      <c r="H58" s="2" t="s">
        <v>889</v>
      </c>
      <c r="I58" s="2" t="s">
        <v>728</v>
      </c>
      <c r="J58" s="2"/>
    </row>
    <row r="59" spans="1:10" x14ac:dyDescent="0.3">
      <c r="A59" s="2">
        <v>46418</v>
      </c>
      <c r="B59" s="2">
        <v>71</v>
      </c>
      <c r="C59" s="2" t="s">
        <v>402</v>
      </c>
      <c r="D59" s="2" t="s">
        <v>138</v>
      </c>
      <c r="E59" s="2">
        <v>0</v>
      </c>
      <c r="F59" s="2">
        <v>3330000</v>
      </c>
      <c r="G59" s="2" t="s">
        <v>787</v>
      </c>
      <c r="H59" s="2" t="s">
        <v>891</v>
      </c>
      <c r="I59" s="2" t="s">
        <v>736</v>
      </c>
      <c r="J59" s="2"/>
    </row>
    <row r="60" spans="1:10" x14ac:dyDescent="0.3">
      <c r="A60" s="2">
        <v>46418</v>
      </c>
      <c r="B60" s="2">
        <v>72</v>
      </c>
      <c r="C60" s="2" t="s">
        <v>138</v>
      </c>
      <c r="D60" s="2" t="s">
        <v>138</v>
      </c>
      <c r="E60" s="2">
        <v>50000000</v>
      </c>
      <c r="F60" s="2">
        <v>0</v>
      </c>
      <c r="G60" s="2" t="s">
        <v>780</v>
      </c>
      <c r="H60" s="2" t="s">
        <v>892</v>
      </c>
      <c r="I60" s="2" t="s">
        <v>738</v>
      </c>
      <c r="J60" s="2"/>
    </row>
    <row r="61" spans="1:10" x14ac:dyDescent="0.3">
      <c r="A61" s="2">
        <v>46418</v>
      </c>
      <c r="B61" s="2">
        <v>73</v>
      </c>
      <c r="C61" s="2" t="s">
        <v>138</v>
      </c>
      <c r="D61" s="2" t="s">
        <v>138</v>
      </c>
      <c r="E61" s="2">
        <v>0</v>
      </c>
      <c r="F61" s="2">
        <v>11000000</v>
      </c>
      <c r="G61" s="2" t="s">
        <v>780</v>
      </c>
      <c r="H61" s="2" t="s">
        <v>893</v>
      </c>
      <c r="I61" s="2" t="s">
        <v>742</v>
      </c>
      <c r="J61" s="2"/>
    </row>
    <row r="62" spans="1:10" x14ac:dyDescent="0.3">
      <c r="A62" s="2">
        <v>46418</v>
      </c>
      <c r="B62" s="2">
        <v>74</v>
      </c>
      <c r="C62" s="2" t="s">
        <v>138</v>
      </c>
      <c r="D62" s="2" t="s">
        <v>138</v>
      </c>
      <c r="E62" s="2">
        <v>0</v>
      </c>
      <c r="F62" s="2">
        <v>3190000</v>
      </c>
      <c r="G62" s="2" t="s">
        <v>787</v>
      </c>
      <c r="H62" s="2" t="s">
        <v>894</v>
      </c>
      <c r="I62" s="2" t="s">
        <v>745</v>
      </c>
      <c r="J62" s="2"/>
    </row>
    <row r="63" spans="1:10" x14ac:dyDescent="0.3">
      <c r="A63" s="2">
        <v>46418</v>
      </c>
      <c r="B63" s="2">
        <v>75</v>
      </c>
      <c r="C63" s="2" t="s">
        <v>824</v>
      </c>
      <c r="D63" s="2" t="s">
        <v>138</v>
      </c>
      <c r="E63" s="2">
        <v>0</v>
      </c>
      <c r="F63" s="2">
        <v>2500000</v>
      </c>
      <c r="G63" s="2" t="s">
        <v>787</v>
      </c>
      <c r="H63" s="2" t="s">
        <v>895</v>
      </c>
      <c r="I63" s="2" t="s">
        <v>749</v>
      </c>
      <c r="J63" s="2"/>
    </row>
    <row r="64" spans="1:10" x14ac:dyDescent="0.3">
      <c r="A64" s="2">
        <v>46418</v>
      </c>
      <c r="B64" s="2">
        <v>76</v>
      </c>
      <c r="C64" s="2" t="s">
        <v>810</v>
      </c>
      <c r="D64" s="2" t="s">
        <v>138</v>
      </c>
      <c r="E64" s="2">
        <v>0</v>
      </c>
      <c r="F64" s="2">
        <v>12000000</v>
      </c>
      <c r="G64" s="2" t="s">
        <v>787</v>
      </c>
      <c r="H64" s="2" t="s">
        <v>896</v>
      </c>
      <c r="I64" s="2" t="s">
        <v>753</v>
      </c>
      <c r="J64" s="2"/>
    </row>
    <row r="65" spans="1:10" x14ac:dyDescent="0.3">
      <c r="A65" s="2">
        <v>46418</v>
      </c>
      <c r="B65" s="2">
        <v>77</v>
      </c>
      <c r="C65" s="2" t="s">
        <v>897</v>
      </c>
      <c r="D65" s="2" t="s">
        <v>138</v>
      </c>
      <c r="E65" s="2">
        <v>0</v>
      </c>
      <c r="F65" s="2">
        <v>12000000</v>
      </c>
      <c r="G65" s="2" t="s">
        <v>787</v>
      </c>
      <c r="H65" s="2" t="s">
        <v>898</v>
      </c>
      <c r="I65" s="2" t="s">
        <v>756</v>
      </c>
      <c r="J65" s="2"/>
    </row>
    <row r="66" spans="1:10" x14ac:dyDescent="0.3">
      <c r="A66" s="2">
        <v>46418</v>
      </c>
      <c r="B66" s="2">
        <v>78</v>
      </c>
      <c r="C66" s="2" t="s">
        <v>860</v>
      </c>
      <c r="D66" s="2" t="s">
        <v>138</v>
      </c>
      <c r="E66" s="2">
        <v>2220000</v>
      </c>
      <c r="F66" s="2">
        <v>0</v>
      </c>
      <c r="G66" s="2" t="s">
        <v>784</v>
      </c>
      <c r="H66" s="2" t="s">
        <v>899</v>
      </c>
      <c r="I66" s="2" t="s">
        <v>760</v>
      </c>
      <c r="J66" s="2"/>
    </row>
    <row r="67" spans="1:10" x14ac:dyDescent="0.3">
      <c r="A67" s="2">
        <v>46418</v>
      </c>
      <c r="B67" s="2">
        <v>79</v>
      </c>
      <c r="C67" s="2" t="s">
        <v>384</v>
      </c>
      <c r="D67" s="2" t="s">
        <v>138</v>
      </c>
      <c r="E67" s="2">
        <v>29970000</v>
      </c>
      <c r="F67" s="2">
        <v>0</v>
      </c>
      <c r="G67" s="2" t="s">
        <v>787</v>
      </c>
      <c r="H67" s="2" t="s">
        <v>900</v>
      </c>
      <c r="I67" s="2" t="s">
        <v>764</v>
      </c>
      <c r="J67" s="2"/>
    </row>
    <row r="68" spans="1:10" x14ac:dyDescent="0.3">
      <c r="A68" s="2">
        <v>46418</v>
      </c>
      <c r="B68" s="2">
        <v>80</v>
      </c>
      <c r="C68" s="2" t="s">
        <v>350</v>
      </c>
      <c r="D68" s="2" t="s">
        <v>138</v>
      </c>
      <c r="E68" s="2">
        <v>0</v>
      </c>
      <c r="F68" s="2">
        <v>25000000</v>
      </c>
      <c r="G68" s="2" t="s">
        <v>780</v>
      </c>
      <c r="H68" s="2" t="s">
        <v>902</v>
      </c>
      <c r="I68" s="2" t="s">
        <v>767</v>
      </c>
      <c r="J68" s="2"/>
    </row>
    <row r="69" spans="1:10" x14ac:dyDescent="0.3">
      <c r="A69" s="2">
        <v>46418</v>
      </c>
      <c r="B69" s="2">
        <v>80</v>
      </c>
      <c r="C69" s="2" t="s">
        <v>384</v>
      </c>
      <c r="D69" s="2" t="s">
        <v>138</v>
      </c>
      <c r="E69" s="2">
        <v>40000000</v>
      </c>
      <c r="F69" s="2">
        <v>0</v>
      </c>
      <c r="G69" s="2" t="s">
        <v>787</v>
      </c>
      <c r="H69" s="2" t="s">
        <v>903</v>
      </c>
      <c r="I69" s="2" t="s">
        <v>767</v>
      </c>
      <c r="J69" s="2"/>
    </row>
    <row r="70" spans="1:10" x14ac:dyDescent="0.3">
      <c r="A70" s="2">
        <v>46418</v>
      </c>
      <c r="B70" s="2">
        <v>80</v>
      </c>
      <c r="C70" s="2" t="s">
        <v>804</v>
      </c>
      <c r="D70" s="2" t="s">
        <v>138</v>
      </c>
      <c r="E70" s="2">
        <v>0</v>
      </c>
      <c r="F70" s="2">
        <v>1000000</v>
      </c>
      <c r="G70" s="2" t="s">
        <v>787</v>
      </c>
      <c r="H70" s="2" t="s">
        <v>904</v>
      </c>
      <c r="I70" s="2" t="s">
        <v>767</v>
      </c>
      <c r="J70" s="2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92"/>
  <sheetViews>
    <sheetView topLeftCell="A69" workbookViewId="0">
      <selection activeCell="C10" sqref="C10"/>
    </sheetView>
  </sheetViews>
  <sheetFormatPr defaultRowHeight="14.4" x14ac:dyDescent="0.3"/>
  <cols>
    <col min="1" max="1" width="13.77734375" bestFit="1" customWidth="1"/>
    <col min="2" max="2" width="35.109375" bestFit="1" customWidth="1"/>
    <col min="3" max="3" width="17.6640625" bestFit="1" customWidth="1"/>
    <col min="4" max="4" width="18.21875" bestFit="1" customWidth="1"/>
    <col min="5" max="5" width="15.88671875" bestFit="1" customWidth="1"/>
    <col min="6" max="6" width="20.77734375" bestFit="1" customWidth="1"/>
    <col min="7" max="7" width="10" bestFit="1" customWidth="1"/>
  </cols>
  <sheetData>
    <row r="1" spans="1:7" x14ac:dyDescent="0.3">
      <c r="A1" t="s">
        <v>1439</v>
      </c>
    </row>
    <row r="2" spans="1:7" x14ac:dyDescent="0.3">
      <c r="A2" t="s">
        <v>1440</v>
      </c>
    </row>
    <row r="3" spans="1:7" x14ac:dyDescent="0.3">
      <c r="A3" s="2" t="s">
        <v>132</v>
      </c>
      <c r="B3" s="2" t="s">
        <v>133</v>
      </c>
      <c r="C3" s="2" t="s">
        <v>1441</v>
      </c>
      <c r="D3" s="2" t="s">
        <v>1442</v>
      </c>
      <c r="E3" s="2" t="s">
        <v>5</v>
      </c>
      <c r="F3" s="2" t="s">
        <v>1443</v>
      </c>
      <c r="G3" s="2" t="s">
        <v>1444</v>
      </c>
    </row>
    <row r="4" spans="1:7" x14ac:dyDescent="0.3">
      <c r="A4" s="2" t="s">
        <v>137</v>
      </c>
      <c r="B4" s="2" t="s">
        <v>138</v>
      </c>
      <c r="C4" s="2">
        <v>100000000</v>
      </c>
      <c r="D4" s="2">
        <v>0</v>
      </c>
      <c r="E4" s="2" t="s">
        <v>1445</v>
      </c>
      <c r="F4" s="2" t="s">
        <v>1446</v>
      </c>
      <c r="G4" s="2"/>
    </row>
    <row r="5" spans="1:7" x14ac:dyDescent="0.3">
      <c r="A5" s="2" t="s">
        <v>142</v>
      </c>
      <c r="B5" s="2" t="s">
        <v>143</v>
      </c>
      <c r="C5" s="2">
        <v>10000000</v>
      </c>
      <c r="D5" s="2">
        <v>0</v>
      </c>
      <c r="E5" s="2" t="s">
        <v>1445</v>
      </c>
      <c r="F5" s="2" t="s">
        <v>1446</v>
      </c>
      <c r="G5" s="2"/>
    </row>
    <row r="6" spans="1:7" x14ac:dyDescent="0.3">
      <c r="A6" s="2" t="s">
        <v>144</v>
      </c>
      <c r="B6" s="2" t="s">
        <v>145</v>
      </c>
      <c r="C6" s="2">
        <v>60000000</v>
      </c>
      <c r="D6" s="2">
        <v>0</v>
      </c>
      <c r="E6" s="2" t="s">
        <v>1445</v>
      </c>
      <c r="F6" s="2" t="s">
        <v>1446</v>
      </c>
      <c r="G6" s="2"/>
    </row>
    <row r="7" spans="1:7" x14ac:dyDescent="0.3">
      <c r="A7" s="2" t="s">
        <v>146</v>
      </c>
      <c r="B7" s="2" t="s">
        <v>147</v>
      </c>
      <c r="C7" s="2">
        <v>0</v>
      </c>
      <c r="D7" s="2">
        <v>0</v>
      </c>
      <c r="E7" s="2" t="s">
        <v>1445</v>
      </c>
      <c r="F7" s="2" t="s">
        <v>1446</v>
      </c>
      <c r="G7" s="2"/>
    </row>
    <row r="8" spans="1:7" x14ac:dyDescent="0.3">
      <c r="A8" s="2" t="s">
        <v>148</v>
      </c>
      <c r="B8" s="2" t="s">
        <v>149</v>
      </c>
      <c r="C8" s="2">
        <v>0</v>
      </c>
      <c r="D8" s="2">
        <v>0</v>
      </c>
      <c r="E8" s="2" t="s">
        <v>1445</v>
      </c>
      <c r="F8" s="2" t="s">
        <v>1446</v>
      </c>
      <c r="G8" s="2"/>
    </row>
    <row r="9" spans="1:7" x14ac:dyDescent="0.3">
      <c r="A9" s="2" t="s">
        <v>150</v>
      </c>
      <c r="B9" s="2" t="s">
        <v>151</v>
      </c>
      <c r="C9" s="2">
        <v>0</v>
      </c>
      <c r="D9" s="2">
        <v>0</v>
      </c>
      <c r="E9" s="2" t="s">
        <v>1445</v>
      </c>
      <c r="F9" s="2" t="s">
        <v>1446</v>
      </c>
      <c r="G9" s="2"/>
    </row>
    <row r="10" spans="1:7" x14ac:dyDescent="0.3">
      <c r="A10" s="2" t="s">
        <v>152</v>
      </c>
      <c r="B10" s="2" t="s">
        <v>153</v>
      </c>
      <c r="C10" s="2">
        <v>120000000</v>
      </c>
      <c r="D10" s="2">
        <v>0</v>
      </c>
      <c r="E10" s="2" t="s">
        <v>1445</v>
      </c>
      <c r="F10" s="2" t="s">
        <v>1446</v>
      </c>
      <c r="G10" s="2"/>
    </row>
    <row r="11" spans="1:7" x14ac:dyDescent="0.3">
      <c r="A11" s="2" t="s">
        <v>154</v>
      </c>
      <c r="B11" s="2" t="s">
        <v>155</v>
      </c>
      <c r="C11" s="2">
        <v>0</v>
      </c>
      <c r="D11" s="2">
        <v>0</v>
      </c>
      <c r="E11" s="2" t="s">
        <v>1445</v>
      </c>
      <c r="F11" s="2" t="s">
        <v>1446</v>
      </c>
      <c r="G11" s="2"/>
    </row>
    <row r="12" spans="1:7" x14ac:dyDescent="0.3">
      <c r="A12" s="2" t="s">
        <v>156</v>
      </c>
      <c r="B12" s="2" t="s">
        <v>157</v>
      </c>
      <c r="C12" s="2">
        <v>0</v>
      </c>
      <c r="D12" s="2">
        <v>0</v>
      </c>
      <c r="E12" s="2" t="s">
        <v>1445</v>
      </c>
      <c r="F12" s="2" t="s">
        <v>1446</v>
      </c>
      <c r="G12" s="2"/>
    </row>
    <row r="13" spans="1:7" x14ac:dyDescent="0.3">
      <c r="A13" s="2" t="s">
        <v>158</v>
      </c>
      <c r="B13" s="2" t="s">
        <v>159</v>
      </c>
      <c r="C13" s="2">
        <v>0</v>
      </c>
      <c r="D13" s="2">
        <v>0</v>
      </c>
      <c r="E13" s="2" t="s">
        <v>1445</v>
      </c>
      <c r="F13" s="2" t="s">
        <v>1446</v>
      </c>
      <c r="G13" s="2"/>
    </row>
    <row r="14" spans="1:7" x14ac:dyDescent="0.3">
      <c r="A14" s="2" t="s">
        <v>160</v>
      </c>
      <c r="B14" s="2" t="s">
        <v>161</v>
      </c>
      <c r="C14" s="2">
        <v>0</v>
      </c>
      <c r="D14" s="2">
        <v>0</v>
      </c>
      <c r="E14" s="2" t="s">
        <v>1445</v>
      </c>
      <c r="F14" s="2" t="s">
        <v>1446</v>
      </c>
      <c r="G14" s="2"/>
    </row>
    <row r="15" spans="1:7" x14ac:dyDescent="0.3">
      <c r="A15" s="2" t="s">
        <v>162</v>
      </c>
      <c r="B15" s="2" t="s">
        <v>163</v>
      </c>
      <c r="C15" s="2">
        <v>6000000</v>
      </c>
      <c r="D15" s="2">
        <v>0</v>
      </c>
      <c r="E15" s="2" t="s">
        <v>1445</v>
      </c>
      <c r="F15" s="2" t="s">
        <v>1446</v>
      </c>
      <c r="G15" s="2"/>
    </row>
    <row r="16" spans="1:7" x14ac:dyDescent="0.3">
      <c r="A16" s="2" t="s">
        <v>164</v>
      </c>
      <c r="B16" s="2" t="s">
        <v>165</v>
      </c>
      <c r="C16" s="2">
        <v>3000000</v>
      </c>
      <c r="D16" s="2">
        <v>0</v>
      </c>
      <c r="E16" s="2" t="s">
        <v>1445</v>
      </c>
      <c r="F16" s="2" t="s">
        <v>1446</v>
      </c>
      <c r="G16" s="2"/>
    </row>
    <row r="17" spans="1:7" x14ac:dyDescent="0.3">
      <c r="A17" s="2" t="s">
        <v>166</v>
      </c>
      <c r="B17" s="2" t="s">
        <v>167</v>
      </c>
      <c r="C17" s="2">
        <v>0</v>
      </c>
      <c r="D17" s="2">
        <v>0</v>
      </c>
      <c r="E17" s="2" t="s">
        <v>1445</v>
      </c>
      <c r="F17" s="2" t="s">
        <v>1446</v>
      </c>
      <c r="G17" s="2"/>
    </row>
    <row r="18" spans="1:7" x14ac:dyDescent="0.3">
      <c r="A18" s="2" t="s">
        <v>168</v>
      </c>
      <c r="B18" s="2" t="s">
        <v>169</v>
      </c>
      <c r="C18" s="2">
        <v>0</v>
      </c>
      <c r="D18" s="2">
        <v>0</v>
      </c>
      <c r="E18" s="2" t="s">
        <v>1445</v>
      </c>
      <c r="F18" s="2" t="s">
        <v>1446</v>
      </c>
      <c r="G18" s="2"/>
    </row>
    <row r="19" spans="1:7" x14ac:dyDescent="0.3">
      <c r="A19" s="2" t="s">
        <v>170</v>
      </c>
      <c r="B19" s="2" t="s">
        <v>171</v>
      </c>
      <c r="C19" s="2">
        <v>0</v>
      </c>
      <c r="D19" s="2">
        <v>0</v>
      </c>
      <c r="E19" s="2" t="s">
        <v>1445</v>
      </c>
      <c r="F19" s="2" t="s">
        <v>1446</v>
      </c>
      <c r="G19" s="2"/>
    </row>
    <row r="20" spans="1:7" x14ac:dyDescent="0.3">
      <c r="A20" s="2" t="s">
        <v>172</v>
      </c>
      <c r="B20" s="2" t="s">
        <v>173</v>
      </c>
      <c r="C20" s="2">
        <v>0</v>
      </c>
      <c r="D20" s="2">
        <v>0</v>
      </c>
      <c r="E20" s="2" t="s">
        <v>1445</v>
      </c>
      <c r="F20" s="2" t="s">
        <v>1446</v>
      </c>
      <c r="G20" s="2"/>
    </row>
    <row r="21" spans="1:7" x14ac:dyDescent="0.3">
      <c r="A21" s="2" t="s">
        <v>174</v>
      </c>
      <c r="B21" s="2" t="s">
        <v>175</v>
      </c>
      <c r="C21" s="2">
        <v>0</v>
      </c>
      <c r="D21" s="2">
        <v>0</v>
      </c>
      <c r="E21" s="2" t="s">
        <v>1445</v>
      </c>
      <c r="F21" s="2" t="s">
        <v>1446</v>
      </c>
      <c r="G21" s="2"/>
    </row>
    <row r="22" spans="1:7" x14ac:dyDescent="0.3">
      <c r="A22" s="2" t="s">
        <v>176</v>
      </c>
      <c r="B22" s="2" t="s">
        <v>177</v>
      </c>
      <c r="C22" s="2">
        <v>80000000</v>
      </c>
      <c r="D22" s="2">
        <v>0</v>
      </c>
      <c r="E22" s="2" t="s">
        <v>1445</v>
      </c>
      <c r="F22" s="2" t="s">
        <v>1446</v>
      </c>
      <c r="G22" s="2"/>
    </row>
    <row r="23" spans="1:7" x14ac:dyDescent="0.3">
      <c r="A23" s="2" t="s">
        <v>179</v>
      </c>
      <c r="B23" s="2" t="s">
        <v>180</v>
      </c>
      <c r="C23" s="2">
        <v>40000000</v>
      </c>
      <c r="D23" s="2">
        <v>0</v>
      </c>
      <c r="E23" s="2" t="s">
        <v>1445</v>
      </c>
      <c r="F23" s="2" t="s">
        <v>1446</v>
      </c>
      <c r="G23" s="2"/>
    </row>
    <row r="24" spans="1:7" x14ac:dyDescent="0.3">
      <c r="A24" s="2" t="s">
        <v>181</v>
      </c>
      <c r="B24" s="2" t="s">
        <v>182</v>
      </c>
      <c r="C24" s="2">
        <v>150000000</v>
      </c>
      <c r="D24" s="2">
        <v>0</v>
      </c>
      <c r="E24" s="2" t="s">
        <v>1445</v>
      </c>
      <c r="F24" s="2" t="s">
        <v>1446</v>
      </c>
      <c r="G24" s="2"/>
    </row>
    <row r="25" spans="1:7" x14ac:dyDescent="0.3">
      <c r="A25" s="2" t="s">
        <v>183</v>
      </c>
      <c r="B25" s="2" t="s">
        <v>184</v>
      </c>
      <c r="C25" s="2">
        <v>0</v>
      </c>
      <c r="D25" s="2">
        <v>0</v>
      </c>
      <c r="E25" s="2" t="s">
        <v>1445</v>
      </c>
      <c r="F25" s="2" t="s">
        <v>1446</v>
      </c>
      <c r="G25" s="2"/>
    </row>
    <row r="26" spans="1:7" x14ac:dyDescent="0.3">
      <c r="A26" s="2" t="s">
        <v>185</v>
      </c>
      <c r="B26" s="2" t="s">
        <v>186</v>
      </c>
      <c r="C26" s="2">
        <v>0</v>
      </c>
      <c r="D26" s="2">
        <v>7000000</v>
      </c>
      <c r="E26" s="2" t="s">
        <v>1445</v>
      </c>
      <c r="F26" s="2" t="s">
        <v>1446</v>
      </c>
      <c r="G26" s="2"/>
    </row>
    <row r="27" spans="1:7" x14ac:dyDescent="0.3">
      <c r="A27" s="2" t="s">
        <v>190</v>
      </c>
      <c r="B27" s="2" t="s">
        <v>191</v>
      </c>
      <c r="C27" s="2">
        <v>0</v>
      </c>
      <c r="D27" s="2">
        <v>12000000</v>
      </c>
      <c r="E27" s="2" t="s">
        <v>1445</v>
      </c>
      <c r="F27" s="2" t="s">
        <v>1446</v>
      </c>
      <c r="G27" s="2"/>
    </row>
    <row r="28" spans="1:7" x14ac:dyDescent="0.3">
      <c r="A28" s="2" t="s">
        <v>192</v>
      </c>
      <c r="B28" s="2" t="s">
        <v>193</v>
      </c>
      <c r="C28" s="2">
        <v>0</v>
      </c>
      <c r="D28" s="2">
        <v>50000000</v>
      </c>
      <c r="E28" s="2" t="s">
        <v>1445</v>
      </c>
      <c r="F28" s="2" t="s">
        <v>1446</v>
      </c>
      <c r="G28" s="2"/>
    </row>
    <row r="29" spans="1:7" x14ac:dyDescent="0.3">
      <c r="A29" s="2" t="s">
        <v>194</v>
      </c>
      <c r="B29" s="2" t="s">
        <v>195</v>
      </c>
      <c r="C29" s="2">
        <v>0</v>
      </c>
      <c r="D29" s="2">
        <v>0</v>
      </c>
      <c r="E29" s="2" t="s">
        <v>1445</v>
      </c>
      <c r="F29" s="2" t="s">
        <v>1446</v>
      </c>
      <c r="G29" s="2"/>
    </row>
    <row r="30" spans="1:7" x14ac:dyDescent="0.3">
      <c r="A30" s="2" t="s">
        <v>196</v>
      </c>
      <c r="B30" s="2" t="s">
        <v>197</v>
      </c>
      <c r="C30" s="2">
        <v>0</v>
      </c>
      <c r="D30" s="2">
        <v>70000000</v>
      </c>
      <c r="E30" s="2" t="s">
        <v>1445</v>
      </c>
      <c r="F30" s="2" t="s">
        <v>1446</v>
      </c>
      <c r="G30" s="2"/>
    </row>
    <row r="31" spans="1:7" x14ac:dyDescent="0.3">
      <c r="A31" s="2" t="s">
        <v>200</v>
      </c>
      <c r="B31" s="2" t="s">
        <v>201</v>
      </c>
      <c r="C31" s="2">
        <v>0</v>
      </c>
      <c r="D31" s="2">
        <v>0</v>
      </c>
      <c r="E31" s="2" t="s">
        <v>1445</v>
      </c>
      <c r="F31" s="2" t="s">
        <v>1446</v>
      </c>
      <c r="G31" s="2"/>
    </row>
    <row r="32" spans="1:7" x14ac:dyDescent="0.3">
      <c r="A32" s="2" t="s">
        <v>202</v>
      </c>
      <c r="B32" s="2" t="s">
        <v>203</v>
      </c>
      <c r="C32" s="2">
        <v>0</v>
      </c>
      <c r="D32" s="2">
        <v>0</v>
      </c>
      <c r="E32" s="2" t="s">
        <v>1445</v>
      </c>
      <c r="F32" s="2" t="s">
        <v>1446</v>
      </c>
      <c r="G32" s="2"/>
    </row>
    <row r="33" spans="1:7" x14ac:dyDescent="0.3">
      <c r="A33" s="2" t="s">
        <v>204</v>
      </c>
      <c r="B33" s="2" t="s">
        <v>205</v>
      </c>
      <c r="C33" s="2">
        <v>0</v>
      </c>
      <c r="D33" s="2">
        <v>0</v>
      </c>
      <c r="E33" s="2" t="s">
        <v>1445</v>
      </c>
      <c r="F33" s="2" t="s">
        <v>1446</v>
      </c>
      <c r="G33" s="2"/>
    </row>
    <row r="34" spans="1:7" x14ac:dyDescent="0.3">
      <c r="A34" s="2" t="s">
        <v>206</v>
      </c>
      <c r="B34" s="2" t="s">
        <v>207</v>
      </c>
      <c r="C34" s="2">
        <v>0</v>
      </c>
      <c r="D34" s="2">
        <v>0</v>
      </c>
      <c r="E34" s="2" t="s">
        <v>1445</v>
      </c>
      <c r="F34" s="2" t="s">
        <v>1446</v>
      </c>
      <c r="G34" s="2"/>
    </row>
    <row r="35" spans="1:7" x14ac:dyDescent="0.3">
      <c r="A35" s="2" t="s">
        <v>208</v>
      </c>
      <c r="B35" s="2" t="s">
        <v>209</v>
      </c>
      <c r="C35" s="2">
        <v>0</v>
      </c>
      <c r="D35" s="2">
        <v>0</v>
      </c>
      <c r="E35" s="2" t="s">
        <v>1445</v>
      </c>
      <c r="F35" s="2" t="s">
        <v>1446</v>
      </c>
      <c r="G35" s="2"/>
    </row>
    <row r="36" spans="1:7" x14ac:dyDescent="0.3">
      <c r="A36" s="2" t="s">
        <v>210</v>
      </c>
      <c r="B36" s="2" t="s">
        <v>211</v>
      </c>
      <c r="C36" s="2">
        <v>0</v>
      </c>
      <c r="D36" s="2">
        <v>0</v>
      </c>
      <c r="E36" s="2" t="s">
        <v>1445</v>
      </c>
      <c r="F36" s="2" t="s">
        <v>1446</v>
      </c>
      <c r="G36" s="2"/>
    </row>
    <row r="37" spans="1:7" x14ac:dyDescent="0.3">
      <c r="A37" s="2" t="s">
        <v>212</v>
      </c>
      <c r="B37" s="2" t="s">
        <v>213</v>
      </c>
      <c r="C37" s="2">
        <v>0</v>
      </c>
      <c r="D37" s="2">
        <v>0</v>
      </c>
      <c r="E37" s="2" t="s">
        <v>1445</v>
      </c>
      <c r="F37" s="2" t="s">
        <v>1446</v>
      </c>
      <c r="G37" s="2"/>
    </row>
    <row r="38" spans="1:7" x14ac:dyDescent="0.3">
      <c r="A38" s="2" t="s">
        <v>214</v>
      </c>
      <c r="B38" s="2" t="s">
        <v>215</v>
      </c>
      <c r="C38" s="2">
        <v>0</v>
      </c>
      <c r="D38" s="2">
        <v>0</v>
      </c>
      <c r="E38" s="2" t="s">
        <v>1445</v>
      </c>
      <c r="F38" s="2" t="s">
        <v>1446</v>
      </c>
      <c r="G38" s="2"/>
    </row>
    <row r="39" spans="1:7" x14ac:dyDescent="0.3">
      <c r="A39" s="2" t="s">
        <v>216</v>
      </c>
      <c r="B39" s="2" t="s">
        <v>217</v>
      </c>
      <c r="C39" s="2">
        <v>0</v>
      </c>
      <c r="D39" s="2">
        <v>0</v>
      </c>
      <c r="E39" s="2" t="s">
        <v>1445</v>
      </c>
      <c r="F39" s="2" t="s">
        <v>1446</v>
      </c>
      <c r="G39" s="2"/>
    </row>
    <row r="40" spans="1:7" x14ac:dyDescent="0.3">
      <c r="A40" s="2" t="s">
        <v>218</v>
      </c>
      <c r="B40" s="2" t="s">
        <v>219</v>
      </c>
      <c r="C40" s="2">
        <v>0</v>
      </c>
      <c r="D40" s="2">
        <v>0</v>
      </c>
      <c r="E40" s="2" t="s">
        <v>1445</v>
      </c>
      <c r="F40" s="2" t="s">
        <v>1446</v>
      </c>
      <c r="G40" s="2"/>
    </row>
    <row r="41" spans="1:7" x14ac:dyDescent="0.3">
      <c r="A41" s="2" t="s">
        <v>220</v>
      </c>
      <c r="B41" s="2" t="s">
        <v>221</v>
      </c>
      <c r="C41" s="2">
        <v>0</v>
      </c>
      <c r="D41" s="2">
        <v>0</v>
      </c>
      <c r="E41" s="2" t="s">
        <v>1445</v>
      </c>
      <c r="F41" s="2" t="s">
        <v>1446</v>
      </c>
      <c r="G41" s="2"/>
    </row>
    <row r="42" spans="1:7" x14ac:dyDescent="0.3">
      <c r="A42" s="2" t="s">
        <v>222</v>
      </c>
      <c r="B42" s="2" t="s">
        <v>223</v>
      </c>
      <c r="C42" s="2">
        <v>0</v>
      </c>
      <c r="D42" s="2">
        <v>0</v>
      </c>
      <c r="E42" s="2" t="s">
        <v>1445</v>
      </c>
      <c r="F42" s="2" t="s">
        <v>1446</v>
      </c>
      <c r="G42" s="2"/>
    </row>
    <row r="43" spans="1:7" x14ac:dyDescent="0.3">
      <c r="A43" s="2" t="s">
        <v>224</v>
      </c>
      <c r="B43" s="2" t="s">
        <v>225</v>
      </c>
      <c r="C43" s="2">
        <v>0</v>
      </c>
      <c r="D43" s="2">
        <v>0</v>
      </c>
      <c r="E43" s="2" t="s">
        <v>1445</v>
      </c>
      <c r="F43" s="2" t="s">
        <v>1446</v>
      </c>
      <c r="G43" s="2"/>
    </row>
    <row r="44" spans="1:7" x14ac:dyDescent="0.3">
      <c r="A44" s="2" t="s">
        <v>226</v>
      </c>
      <c r="B44" s="2" t="s">
        <v>227</v>
      </c>
      <c r="C44" s="2">
        <v>0</v>
      </c>
      <c r="D44" s="2">
        <v>200000000</v>
      </c>
      <c r="E44" s="2" t="s">
        <v>1445</v>
      </c>
      <c r="F44" s="2" t="s">
        <v>1446</v>
      </c>
      <c r="G44" s="2"/>
    </row>
    <row r="45" spans="1:7" x14ac:dyDescent="0.3">
      <c r="A45" s="2" t="s">
        <v>229</v>
      </c>
      <c r="B45" s="2" t="s">
        <v>230</v>
      </c>
      <c r="C45" s="2">
        <v>0</v>
      </c>
      <c r="D45" s="2">
        <v>0</v>
      </c>
      <c r="E45" s="2" t="s">
        <v>1445</v>
      </c>
      <c r="F45" s="2" t="s">
        <v>1446</v>
      </c>
      <c r="G45" s="2"/>
    </row>
    <row r="46" spans="1:7" x14ac:dyDescent="0.3">
      <c r="A46" s="2" t="s">
        <v>231</v>
      </c>
      <c r="B46" s="2" t="s">
        <v>232</v>
      </c>
      <c r="C46" s="2">
        <v>0</v>
      </c>
      <c r="D46" s="2">
        <v>0</v>
      </c>
      <c r="E46" s="2" t="s">
        <v>1445</v>
      </c>
      <c r="F46" s="2" t="s">
        <v>1446</v>
      </c>
      <c r="G46" s="2"/>
    </row>
    <row r="47" spans="1:7" x14ac:dyDescent="0.3">
      <c r="A47" s="2" t="s">
        <v>233</v>
      </c>
      <c r="B47" s="2" t="s">
        <v>234</v>
      </c>
      <c r="C47" s="2">
        <v>0</v>
      </c>
      <c r="D47" s="2">
        <v>0</v>
      </c>
      <c r="E47" s="2" t="s">
        <v>1445</v>
      </c>
      <c r="F47" s="2" t="s">
        <v>1446</v>
      </c>
      <c r="G47" s="2"/>
    </row>
    <row r="48" spans="1:7" x14ac:dyDescent="0.3">
      <c r="A48" s="2" t="s">
        <v>235</v>
      </c>
      <c r="B48" s="2" t="s">
        <v>236</v>
      </c>
      <c r="C48" s="2">
        <v>0</v>
      </c>
      <c r="D48" s="2">
        <v>0</v>
      </c>
      <c r="E48" s="2" t="s">
        <v>1445</v>
      </c>
      <c r="F48" s="2" t="s">
        <v>1446</v>
      </c>
      <c r="G48" s="2"/>
    </row>
    <row r="49" spans="1:7" x14ac:dyDescent="0.3">
      <c r="A49" s="2" t="s">
        <v>237</v>
      </c>
      <c r="B49" s="2" t="s">
        <v>238</v>
      </c>
      <c r="C49" s="2">
        <v>0</v>
      </c>
      <c r="D49" s="2">
        <v>230000000</v>
      </c>
      <c r="E49" s="2" t="s">
        <v>1445</v>
      </c>
      <c r="F49" s="2" t="s">
        <v>1446</v>
      </c>
      <c r="G49" s="2"/>
    </row>
    <row r="50" spans="1:7" x14ac:dyDescent="0.3">
      <c r="A50" s="2" t="s">
        <v>241</v>
      </c>
      <c r="B50" s="2" t="s">
        <v>242</v>
      </c>
      <c r="C50" s="2">
        <v>0</v>
      </c>
      <c r="D50" s="2">
        <v>0</v>
      </c>
      <c r="E50" s="2" t="s">
        <v>1445</v>
      </c>
      <c r="F50" s="2" t="s">
        <v>1446</v>
      </c>
      <c r="G50" s="2"/>
    </row>
    <row r="51" spans="1:7" x14ac:dyDescent="0.3">
      <c r="A51" s="2" t="s">
        <v>245</v>
      </c>
      <c r="B51" s="2" t="s">
        <v>246</v>
      </c>
      <c r="C51" s="2">
        <v>0</v>
      </c>
      <c r="D51" s="2">
        <v>0</v>
      </c>
      <c r="E51" s="2" t="s">
        <v>1445</v>
      </c>
      <c r="F51" s="2" t="s">
        <v>1446</v>
      </c>
      <c r="G51" s="2"/>
    </row>
    <row r="52" spans="1:7" x14ac:dyDescent="0.3">
      <c r="A52" s="2" t="s">
        <v>247</v>
      </c>
      <c r="B52" s="2" t="s">
        <v>248</v>
      </c>
      <c r="C52" s="2">
        <v>0</v>
      </c>
      <c r="D52" s="2">
        <v>0</v>
      </c>
      <c r="E52" s="2" t="s">
        <v>1445</v>
      </c>
      <c r="F52" s="2" t="s">
        <v>1446</v>
      </c>
      <c r="G52" s="2"/>
    </row>
    <row r="53" spans="1:7" x14ac:dyDescent="0.3">
      <c r="A53" s="2" t="s">
        <v>251</v>
      </c>
      <c r="B53" s="2" t="s">
        <v>252</v>
      </c>
      <c r="C53" s="2">
        <v>0</v>
      </c>
      <c r="D53" s="2">
        <v>0</v>
      </c>
      <c r="E53" s="2" t="s">
        <v>1445</v>
      </c>
      <c r="F53" s="2" t="s">
        <v>1446</v>
      </c>
      <c r="G53" s="2"/>
    </row>
    <row r="54" spans="1:7" x14ac:dyDescent="0.3">
      <c r="A54" s="2" t="s">
        <v>255</v>
      </c>
      <c r="B54" s="2" t="s">
        <v>256</v>
      </c>
      <c r="C54" s="2">
        <v>0</v>
      </c>
      <c r="D54" s="2">
        <v>0</v>
      </c>
      <c r="E54" s="2" t="s">
        <v>1445</v>
      </c>
      <c r="F54" s="2" t="s">
        <v>1446</v>
      </c>
      <c r="G54" s="2"/>
    </row>
    <row r="55" spans="1:7" x14ac:dyDescent="0.3">
      <c r="A55" s="2" t="s">
        <v>258</v>
      </c>
      <c r="B55" s="2" t="s">
        <v>259</v>
      </c>
      <c r="C55" s="2">
        <v>0</v>
      </c>
      <c r="D55" s="2">
        <v>0</v>
      </c>
      <c r="E55" s="2" t="s">
        <v>1445</v>
      </c>
      <c r="F55" s="2" t="s">
        <v>1446</v>
      </c>
      <c r="G55" s="2"/>
    </row>
    <row r="56" spans="1:7" x14ac:dyDescent="0.3">
      <c r="A56" s="2" t="s">
        <v>260</v>
      </c>
      <c r="B56" s="2" t="s">
        <v>261</v>
      </c>
      <c r="C56" s="2">
        <v>0</v>
      </c>
      <c r="D56" s="2">
        <v>0</v>
      </c>
      <c r="E56" s="2" t="s">
        <v>1445</v>
      </c>
      <c r="F56" s="2" t="s">
        <v>1446</v>
      </c>
      <c r="G56" s="2"/>
    </row>
    <row r="57" spans="1:7" x14ac:dyDescent="0.3">
      <c r="A57" s="2" t="s">
        <v>262</v>
      </c>
      <c r="B57" s="2" t="s">
        <v>263</v>
      </c>
      <c r="C57" s="2">
        <v>0</v>
      </c>
      <c r="D57" s="2">
        <v>0</v>
      </c>
      <c r="E57" s="2" t="s">
        <v>1445</v>
      </c>
      <c r="F57" s="2" t="s">
        <v>1446</v>
      </c>
      <c r="G57" s="2"/>
    </row>
    <row r="58" spans="1:7" x14ac:dyDescent="0.3">
      <c r="A58" s="2" t="s">
        <v>265</v>
      </c>
      <c r="B58" s="2" t="s">
        <v>266</v>
      </c>
      <c r="C58" s="2">
        <v>0</v>
      </c>
      <c r="D58" s="2">
        <v>0</v>
      </c>
      <c r="E58" s="2" t="s">
        <v>1445</v>
      </c>
      <c r="F58" s="2" t="s">
        <v>1446</v>
      </c>
      <c r="G58" s="2"/>
    </row>
    <row r="59" spans="1:7" x14ac:dyDescent="0.3">
      <c r="A59" s="2" t="s">
        <v>267</v>
      </c>
      <c r="B59" s="2" t="s">
        <v>268</v>
      </c>
      <c r="C59" s="2">
        <v>0</v>
      </c>
      <c r="D59" s="2">
        <v>0</v>
      </c>
      <c r="E59" s="2" t="s">
        <v>1445</v>
      </c>
      <c r="F59" s="2" t="s">
        <v>1446</v>
      </c>
      <c r="G59" s="2"/>
    </row>
    <row r="60" spans="1:7" x14ac:dyDescent="0.3">
      <c r="A60" s="2" t="s">
        <v>269</v>
      </c>
      <c r="B60" s="2" t="s">
        <v>16</v>
      </c>
      <c r="C60" s="2">
        <v>0</v>
      </c>
      <c r="D60" s="2">
        <v>0</v>
      </c>
      <c r="E60" s="2" t="s">
        <v>1445</v>
      </c>
      <c r="F60" s="2" t="s">
        <v>1446</v>
      </c>
      <c r="G60" s="2"/>
    </row>
    <row r="61" spans="1:7" x14ac:dyDescent="0.3">
      <c r="A61" s="2" t="s">
        <v>272</v>
      </c>
      <c r="B61" s="2" t="s">
        <v>273</v>
      </c>
      <c r="C61" s="2">
        <v>0</v>
      </c>
      <c r="D61" s="2">
        <v>0</v>
      </c>
      <c r="E61" s="2" t="s">
        <v>1445</v>
      </c>
      <c r="F61" s="2" t="s">
        <v>1446</v>
      </c>
      <c r="G61" s="2"/>
    </row>
    <row r="62" spans="1:7" x14ac:dyDescent="0.3">
      <c r="A62" s="2" t="s">
        <v>276</v>
      </c>
      <c r="B62" s="2" t="s">
        <v>277</v>
      </c>
      <c r="C62" s="2">
        <v>0</v>
      </c>
      <c r="D62" s="2">
        <v>0</v>
      </c>
      <c r="E62" s="2" t="s">
        <v>1445</v>
      </c>
      <c r="F62" s="2" t="s">
        <v>1446</v>
      </c>
      <c r="G62" s="2"/>
    </row>
    <row r="63" spans="1:7" x14ac:dyDescent="0.3">
      <c r="A63" s="2" t="s">
        <v>278</v>
      </c>
      <c r="B63" s="2" t="s">
        <v>279</v>
      </c>
      <c r="C63" s="2">
        <v>0</v>
      </c>
      <c r="D63" s="2">
        <v>0</v>
      </c>
      <c r="E63" s="2" t="s">
        <v>1445</v>
      </c>
      <c r="F63" s="2" t="s">
        <v>1446</v>
      </c>
      <c r="G63" s="2"/>
    </row>
    <row r="64" spans="1:7" x14ac:dyDescent="0.3">
      <c r="A64" s="2" t="s">
        <v>280</v>
      </c>
      <c r="B64" s="2" t="s">
        <v>281</v>
      </c>
      <c r="C64" s="2">
        <v>0</v>
      </c>
      <c r="D64" s="2">
        <v>0</v>
      </c>
      <c r="E64" s="2" t="s">
        <v>1445</v>
      </c>
      <c r="F64" s="2" t="s">
        <v>1446</v>
      </c>
      <c r="G64" s="2"/>
    </row>
    <row r="65" spans="1:7" x14ac:dyDescent="0.3">
      <c r="A65" s="2" t="s">
        <v>282</v>
      </c>
      <c r="B65" s="2" t="s">
        <v>283</v>
      </c>
      <c r="C65" s="2">
        <v>0</v>
      </c>
      <c r="D65" s="2">
        <v>0</v>
      </c>
      <c r="E65" s="2" t="s">
        <v>1445</v>
      </c>
      <c r="F65" s="2" t="s">
        <v>1446</v>
      </c>
      <c r="G65" s="2"/>
    </row>
    <row r="66" spans="1:7" x14ac:dyDescent="0.3">
      <c r="A66" s="2" t="s">
        <v>284</v>
      </c>
      <c r="B66" s="2" t="s">
        <v>285</v>
      </c>
      <c r="C66" s="2">
        <v>0</v>
      </c>
      <c r="D66" s="2">
        <v>0</v>
      </c>
      <c r="E66" s="2" t="s">
        <v>1445</v>
      </c>
      <c r="F66" s="2" t="s">
        <v>1446</v>
      </c>
      <c r="G66" s="2"/>
    </row>
    <row r="67" spans="1:7" x14ac:dyDescent="0.3">
      <c r="A67" s="2" t="s">
        <v>286</v>
      </c>
      <c r="B67" s="2" t="s">
        <v>287</v>
      </c>
      <c r="C67" s="2">
        <v>0</v>
      </c>
      <c r="D67" s="2">
        <v>0</v>
      </c>
      <c r="E67" s="2" t="s">
        <v>1445</v>
      </c>
      <c r="F67" s="2" t="s">
        <v>1446</v>
      </c>
      <c r="G67" s="2"/>
    </row>
    <row r="68" spans="1:7" x14ac:dyDescent="0.3">
      <c r="A68" s="2" t="s">
        <v>288</v>
      </c>
      <c r="B68" s="2" t="s">
        <v>289</v>
      </c>
      <c r="C68" s="2">
        <v>0</v>
      </c>
      <c r="D68" s="2">
        <v>0</v>
      </c>
      <c r="E68" s="2" t="s">
        <v>1445</v>
      </c>
      <c r="F68" s="2" t="s">
        <v>1446</v>
      </c>
      <c r="G68" s="2"/>
    </row>
    <row r="69" spans="1:7" x14ac:dyDescent="0.3">
      <c r="A69" s="2" t="s">
        <v>290</v>
      </c>
      <c r="B69" s="2" t="s">
        <v>291</v>
      </c>
      <c r="C69" s="2">
        <v>0</v>
      </c>
      <c r="D69" s="2">
        <v>0</v>
      </c>
      <c r="E69" s="2" t="s">
        <v>1445</v>
      </c>
      <c r="F69" s="2" t="s">
        <v>1446</v>
      </c>
      <c r="G69" s="2"/>
    </row>
    <row r="70" spans="1:7" x14ac:dyDescent="0.3">
      <c r="A70" s="2" t="s">
        <v>292</v>
      </c>
      <c r="B70" s="2" t="s">
        <v>293</v>
      </c>
      <c r="C70" s="2">
        <v>0</v>
      </c>
      <c r="D70" s="2">
        <v>0</v>
      </c>
      <c r="E70" s="2" t="s">
        <v>1445</v>
      </c>
      <c r="F70" s="2" t="s">
        <v>1446</v>
      </c>
      <c r="G70" s="2"/>
    </row>
    <row r="71" spans="1:7" x14ac:dyDescent="0.3">
      <c r="A71" s="2" t="s">
        <v>294</v>
      </c>
      <c r="B71" s="2" t="s">
        <v>295</v>
      </c>
      <c r="C71" s="2">
        <v>0</v>
      </c>
      <c r="D71" s="2">
        <v>0</v>
      </c>
      <c r="E71" s="2" t="s">
        <v>1445</v>
      </c>
      <c r="F71" s="2" t="s">
        <v>1446</v>
      </c>
      <c r="G71" s="2"/>
    </row>
    <row r="72" spans="1:7" x14ac:dyDescent="0.3">
      <c r="A72" s="2" t="s">
        <v>296</v>
      </c>
      <c r="B72" s="2" t="s">
        <v>297</v>
      </c>
      <c r="C72" s="2">
        <v>0</v>
      </c>
      <c r="D72" s="2">
        <v>0</v>
      </c>
      <c r="E72" s="2" t="s">
        <v>1445</v>
      </c>
      <c r="F72" s="2" t="s">
        <v>1446</v>
      </c>
      <c r="G72" s="2"/>
    </row>
    <row r="73" spans="1:7" x14ac:dyDescent="0.3">
      <c r="A73" s="2" t="s">
        <v>298</v>
      </c>
      <c r="B73" s="2" t="s">
        <v>299</v>
      </c>
      <c r="C73" s="2">
        <v>0</v>
      </c>
      <c r="D73" s="2">
        <v>0</v>
      </c>
      <c r="E73" s="2" t="s">
        <v>1445</v>
      </c>
      <c r="F73" s="2" t="s">
        <v>1446</v>
      </c>
      <c r="G73" s="2"/>
    </row>
    <row r="74" spans="1:7" x14ac:dyDescent="0.3">
      <c r="A74" s="2" t="s">
        <v>300</v>
      </c>
      <c r="B74" s="2" t="s">
        <v>301</v>
      </c>
      <c r="C74" s="2">
        <v>0</v>
      </c>
      <c r="D74" s="2">
        <v>0</v>
      </c>
      <c r="E74" s="2" t="s">
        <v>1445</v>
      </c>
      <c r="F74" s="2" t="s">
        <v>1446</v>
      </c>
      <c r="G74" s="2"/>
    </row>
    <row r="75" spans="1:7" x14ac:dyDescent="0.3">
      <c r="A75" s="2" t="s">
        <v>302</v>
      </c>
      <c r="B75" s="2" t="s">
        <v>303</v>
      </c>
      <c r="C75" s="2">
        <v>0</v>
      </c>
      <c r="D75" s="2">
        <v>0</v>
      </c>
      <c r="E75" s="2" t="s">
        <v>1445</v>
      </c>
      <c r="F75" s="2" t="s">
        <v>1446</v>
      </c>
      <c r="G75" s="2"/>
    </row>
    <row r="76" spans="1:7" x14ac:dyDescent="0.3">
      <c r="A76" s="2" t="s">
        <v>304</v>
      </c>
      <c r="B76" s="2" t="s">
        <v>305</v>
      </c>
      <c r="C76" s="2">
        <v>0</v>
      </c>
      <c r="D76" s="2">
        <v>0</v>
      </c>
      <c r="E76" s="2" t="s">
        <v>1445</v>
      </c>
      <c r="F76" s="2" t="s">
        <v>1446</v>
      </c>
      <c r="G76" s="2"/>
    </row>
    <row r="77" spans="1:7" x14ac:dyDescent="0.3">
      <c r="A77" s="2" t="s">
        <v>306</v>
      </c>
      <c r="B77" s="2" t="s">
        <v>307</v>
      </c>
      <c r="C77" s="2">
        <v>0</v>
      </c>
      <c r="D77" s="2">
        <v>0</v>
      </c>
      <c r="E77" s="2" t="s">
        <v>1445</v>
      </c>
      <c r="F77" s="2" t="s">
        <v>1446</v>
      </c>
      <c r="G77" s="2"/>
    </row>
    <row r="78" spans="1:7" x14ac:dyDescent="0.3">
      <c r="A78" s="2" t="s">
        <v>308</v>
      </c>
      <c r="B78" s="2" t="s">
        <v>309</v>
      </c>
      <c r="C78" s="2">
        <v>0</v>
      </c>
      <c r="D78" s="2">
        <v>0</v>
      </c>
      <c r="E78" s="2" t="s">
        <v>1445</v>
      </c>
      <c r="F78" s="2" t="s">
        <v>1446</v>
      </c>
      <c r="G78" s="2"/>
    </row>
    <row r="79" spans="1:7" x14ac:dyDescent="0.3">
      <c r="A79" s="2" t="s">
        <v>310</v>
      </c>
      <c r="B79" s="2" t="s">
        <v>311</v>
      </c>
      <c r="C79" s="2">
        <v>0</v>
      </c>
      <c r="D79" s="2">
        <v>0</v>
      </c>
      <c r="E79" s="2" t="s">
        <v>1445</v>
      </c>
      <c r="F79" s="2" t="s">
        <v>1446</v>
      </c>
      <c r="G79" s="2"/>
    </row>
    <row r="80" spans="1:7" x14ac:dyDescent="0.3">
      <c r="A80" s="2" t="s">
        <v>312</v>
      </c>
      <c r="B80" s="2" t="s">
        <v>313</v>
      </c>
      <c r="C80" s="2">
        <v>0</v>
      </c>
      <c r="D80" s="2">
        <v>0</v>
      </c>
      <c r="E80" s="2" t="s">
        <v>1445</v>
      </c>
      <c r="F80" s="2" t="s">
        <v>1446</v>
      </c>
      <c r="G80" s="2"/>
    </row>
    <row r="81" spans="1:7" x14ac:dyDescent="0.3">
      <c r="A81" s="2" t="s">
        <v>314</v>
      </c>
      <c r="B81" s="2" t="s">
        <v>315</v>
      </c>
      <c r="C81" s="2">
        <v>0</v>
      </c>
      <c r="D81" s="2">
        <v>0</v>
      </c>
      <c r="E81" s="2" t="s">
        <v>1445</v>
      </c>
      <c r="F81" s="2" t="s">
        <v>1446</v>
      </c>
      <c r="G81" s="2"/>
    </row>
    <row r="82" spans="1:7" x14ac:dyDescent="0.3">
      <c r="A82" s="2" t="s">
        <v>316</v>
      </c>
      <c r="B82" s="2" t="s">
        <v>317</v>
      </c>
      <c r="C82" s="2">
        <v>0</v>
      </c>
      <c r="D82" s="2">
        <v>0</v>
      </c>
      <c r="E82" s="2" t="s">
        <v>1445</v>
      </c>
      <c r="F82" s="2" t="s">
        <v>1446</v>
      </c>
      <c r="G82" s="2"/>
    </row>
    <row r="83" spans="1:7" x14ac:dyDescent="0.3">
      <c r="A83" s="2" t="s">
        <v>318</v>
      </c>
      <c r="B83" s="2" t="s">
        <v>319</v>
      </c>
      <c r="C83" s="2">
        <v>0</v>
      </c>
      <c r="D83" s="2">
        <v>0</v>
      </c>
      <c r="E83" s="2" t="s">
        <v>1445</v>
      </c>
      <c r="F83" s="2" t="s">
        <v>1446</v>
      </c>
      <c r="G83" s="2"/>
    </row>
    <row r="84" spans="1:7" x14ac:dyDescent="0.3">
      <c r="A84" s="2" t="s">
        <v>321</v>
      </c>
      <c r="B84" s="2" t="s">
        <v>322</v>
      </c>
      <c r="C84" s="2">
        <v>0</v>
      </c>
      <c r="D84" s="2">
        <v>0</v>
      </c>
      <c r="E84" s="2" t="s">
        <v>1445</v>
      </c>
      <c r="F84" s="2" t="s">
        <v>1446</v>
      </c>
      <c r="G84" s="2"/>
    </row>
    <row r="85" spans="1:7" x14ac:dyDescent="0.3">
      <c r="A85" s="2" t="s">
        <v>323</v>
      </c>
      <c r="B85" s="2" t="s">
        <v>324</v>
      </c>
      <c r="C85" s="2">
        <v>0</v>
      </c>
      <c r="D85" s="2">
        <v>0</v>
      </c>
      <c r="E85" s="2" t="s">
        <v>1445</v>
      </c>
      <c r="F85" s="2" t="s">
        <v>1446</v>
      </c>
      <c r="G85" s="2"/>
    </row>
    <row r="86" spans="1:7" x14ac:dyDescent="0.3">
      <c r="A86" s="2" t="s">
        <v>325</v>
      </c>
      <c r="B86" s="2" t="s">
        <v>326</v>
      </c>
      <c r="C86" s="2">
        <v>0</v>
      </c>
      <c r="D86" s="2">
        <v>0</v>
      </c>
      <c r="E86" s="2" t="s">
        <v>1445</v>
      </c>
      <c r="F86" s="2" t="s">
        <v>1446</v>
      </c>
      <c r="G86" s="2"/>
    </row>
    <row r="87" spans="1:7" x14ac:dyDescent="0.3">
      <c r="A87" s="2" t="s">
        <v>327</v>
      </c>
      <c r="B87" s="2" t="s">
        <v>328</v>
      </c>
      <c r="C87" s="2">
        <v>0</v>
      </c>
      <c r="D87" s="2">
        <v>0</v>
      </c>
      <c r="E87" s="2" t="s">
        <v>1445</v>
      </c>
      <c r="F87" s="2" t="s">
        <v>1446</v>
      </c>
      <c r="G87" s="2"/>
    </row>
    <row r="88" spans="1:7" x14ac:dyDescent="0.3">
      <c r="A88" s="2" t="s">
        <v>329</v>
      </c>
      <c r="B88" s="2" t="s">
        <v>330</v>
      </c>
      <c r="C88" s="2">
        <v>0</v>
      </c>
      <c r="D88" s="2">
        <v>0</v>
      </c>
      <c r="E88" s="2" t="s">
        <v>1445</v>
      </c>
      <c r="F88" s="2" t="s">
        <v>1446</v>
      </c>
      <c r="G88" s="2"/>
    </row>
    <row r="89" spans="1:7" x14ac:dyDescent="0.3">
      <c r="A89" s="2" t="s">
        <v>332</v>
      </c>
      <c r="B89" s="2" t="s">
        <v>333</v>
      </c>
      <c r="C89" s="2">
        <v>0</v>
      </c>
      <c r="D89" s="2">
        <v>0</v>
      </c>
      <c r="E89" s="2" t="s">
        <v>1445</v>
      </c>
      <c r="F89" s="2" t="s">
        <v>1446</v>
      </c>
      <c r="G89" s="2"/>
    </row>
    <row r="90" spans="1:7" x14ac:dyDescent="0.3">
      <c r="A90" s="2" t="s">
        <v>334</v>
      </c>
      <c r="B90" s="2" t="s">
        <v>335</v>
      </c>
      <c r="C90" s="2">
        <v>0</v>
      </c>
      <c r="D90" s="2">
        <v>0</v>
      </c>
      <c r="E90" s="2" t="s">
        <v>1445</v>
      </c>
      <c r="F90" s="2" t="s">
        <v>1446</v>
      </c>
      <c r="G90" s="2"/>
    </row>
    <row r="91" spans="1:7" x14ac:dyDescent="0.3">
      <c r="A91" s="2" t="s">
        <v>336</v>
      </c>
      <c r="B91" s="2" t="s">
        <v>337</v>
      </c>
      <c r="C91" s="2">
        <v>0</v>
      </c>
      <c r="D91" s="2">
        <v>0</v>
      </c>
      <c r="E91" s="2" t="s">
        <v>1445</v>
      </c>
      <c r="F91" s="2" t="s">
        <v>1446</v>
      </c>
      <c r="G91" s="2"/>
    </row>
    <row r="92" spans="1:7" x14ac:dyDescent="0.3">
      <c r="A92" s="2" t="s">
        <v>922</v>
      </c>
      <c r="B92" s="2"/>
      <c r="C92" s="2">
        <f>SUM(C4:C91)</f>
        <v>569000000</v>
      </c>
      <c r="D92" s="2">
        <f>SUM(D4:D91)</f>
        <v>569000000</v>
      </c>
      <c r="E92" s="2"/>
      <c r="F92" s="2"/>
      <c r="G92" s="2" t="str">
        <f>IF(ABS(C92-D92)&lt;0.01,"BALANCE","PERIKSA")</f>
        <v>BALANCE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Dashboard_Accounting</vt:lpstr>
      <vt:lpstr>Petunjuk</vt:lpstr>
      <vt:lpstr>Parameter_Latihan</vt:lpstr>
      <vt:lpstr>COA</vt:lpstr>
      <vt:lpstr>Data_Master</vt:lpstr>
      <vt:lpstr>Soal_dan_Jurnal</vt:lpstr>
      <vt:lpstr>Kunci_Jurnal_80</vt:lpstr>
      <vt:lpstr>Buku_Besar</vt:lpstr>
      <vt:lpstr>Rekap_AP</vt:lpstr>
      <vt:lpstr>Rekap_AR</vt:lpstr>
      <vt:lpstr>Inventory_Kartu</vt:lpstr>
      <vt:lpstr>Payroll</vt:lpstr>
      <vt:lpstr>Rekonsiliasi_Bank</vt:lpstr>
      <vt:lpstr>Rekonsiliasi_Akun</vt:lpstr>
      <vt:lpstr>Neraca_Saldo</vt:lpstr>
      <vt:lpstr>Jurnal_Penyesuaian</vt:lpstr>
      <vt:lpstr>Kunci_Penyesuaian</vt:lpstr>
      <vt:lpstr>NS_Setelah_Penyesuaian</vt:lpstr>
      <vt:lpstr>Jurnal_Penutup</vt:lpstr>
      <vt:lpstr>NS_Setelah_Penutupan</vt:lpstr>
      <vt:lpstr>Laba_Rugi</vt:lpstr>
      <vt:lpstr>Perubahan_Ekuitas</vt:lpstr>
      <vt:lpstr>Posisi_Keuangan</vt:lpstr>
      <vt:lpstr>Arus_Kas</vt:lpstr>
      <vt:lpstr>CALK</vt:lpstr>
      <vt:lpstr>Kamus_Rumus</vt:lpstr>
      <vt:lpstr>Arus_Kas_Data</vt:lpstr>
      <vt:lpstr>Saldo_Awal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xaviaro 836</cp:lastModifiedBy>
  <dcterms:modified xsi:type="dcterms:W3CDTF">2026-09-18T16:13:21Z</dcterms:modified>
</cp:coreProperties>
</file>
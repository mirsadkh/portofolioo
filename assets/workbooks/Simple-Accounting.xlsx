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yBook Hype AMD\OneDrive\Desktop\OneDrive\Documents\belajar\soal\"/>
    </mc:Choice>
  </mc:AlternateContent>
  <xr:revisionPtr revIDLastSave="0" documentId="8_{868504F5-BD81-48FD-A76F-E6F5319DD2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8" i="1" l="1"/>
  <c r="K18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B32" i="3"/>
  <c r="B26" i="3"/>
  <c r="B25" i="3"/>
  <c r="B24" i="3"/>
  <c r="B27" i="3" s="1"/>
  <c r="B15" i="3"/>
  <c r="B14" i="3"/>
  <c r="B16" i="3" s="1"/>
  <c r="B11" i="3"/>
  <c r="B10" i="3"/>
  <c r="B9" i="3"/>
  <c r="B18" i="2"/>
  <c r="B17" i="2"/>
  <c r="B13" i="2"/>
  <c r="B12" i="2"/>
  <c r="B11" i="2"/>
  <c r="B8" i="2"/>
  <c r="B7" i="2"/>
  <c r="B12" i="3" l="1"/>
  <c r="B18" i="3" s="1"/>
  <c r="B39" i="3" s="1"/>
  <c r="B19" i="2"/>
  <c r="B9" i="2"/>
  <c r="B14" i="2"/>
  <c r="B16" i="2" l="1"/>
  <c r="B21" i="2" s="1"/>
  <c r="B33" i="3" s="1"/>
  <c r="B34" i="3" s="1"/>
  <c r="B40" i="3" s="1"/>
  <c r="B41" i="3" s="1"/>
  <c r="B42" i="3" s="1"/>
</calcChain>
</file>

<file path=xl/sharedStrings.xml><?xml version="1.0" encoding="utf-8"?>
<sst xmlns="http://schemas.openxmlformats.org/spreadsheetml/2006/main" count="313" uniqueCount="113">
  <si>
    <t>A. Saldo Awal</t>
  </si>
  <si>
    <t>Bank</t>
  </si>
  <si>
    <t>–</t>
  </si>
  <si>
    <t>Persediaan Barang Dagang</t>
  </si>
  <si>
    <t>Peralatan</t>
  </si>
  <si>
    <t>Akumulasi Penyusutan Peralatan</t>
  </si>
  <si>
    <t>Utang Usaha</t>
  </si>
  <si>
    <t>Utang Bank Jangka Panjang</t>
  </si>
  <si>
    <t>Modal Saham</t>
  </si>
  <si>
    <t>Total</t>
  </si>
  <si>
    <t>B. 10 Transaksi &amp; Jurnal Umum</t>
  </si>
  <si>
    <t>PPN Masukan</t>
  </si>
  <si>
    <t>Mudah / Penjualan tunai</t>
  </si>
  <si>
    <t>PPN 11%; sistem perpetual; dibayar melalui bank.</t>
  </si>
  <si>
    <t>Buat dua kelompok jurnal: penjualan + PPN dan HPP + persediaan.</t>
  </si>
  <si>
    <t>Penjualan</t>
  </si>
  <si>
    <t>PPN Keluaran</t>
  </si>
  <si>
    <t>HPP</t>
  </si>
  <si>
    <t>PPN 11%; termin 30 hari.</t>
  </si>
  <si>
    <t>Debit Piutang; kredit Penjualan dan PPN Keluaran; lalu HPP dan Persediaan.</t>
  </si>
  <si>
    <t>Piutang Usaha</t>
  </si>
  <si>
    <t>Mudah / Retur pembelian</t>
  </si>
  <si>
    <t>PPN 11% dibatalkan; retur mengurangi utang.</t>
  </si>
  <si>
    <t>Debit Utang Usaha; kredit Persediaan dan PPN Masukan.</t>
  </si>
  <si>
    <t>Menengah / Retur penjualan</t>
  </si>
  <si>
    <t>PPN 11%; barang kembali ke persediaan.</t>
  </si>
  <si>
    <t>Catat retur, pembalikan PPN, dan pemulihan persediaan/HPP.</t>
  </si>
  <si>
    <t>Retur Penjualan</t>
  </si>
  <si>
    <t>Menengah / Pembayaran utang</t>
  </si>
  <si>
    <t>Pelunasan sebagian; tidak ada diskon.</t>
  </si>
  <si>
    <t>Debit Utang Usaha; kredit Bank.</t>
  </si>
  <si>
    <t>Menengah / Beban utilitas</t>
  </si>
  <si>
    <t>Tidak ada PPN dalam soal latihan.</t>
  </si>
  <si>
    <t>Debit Beban Utilitas; kredit Bank.</t>
  </si>
  <si>
    <t>Beban Utilitas</t>
  </si>
  <si>
    <t>Menengah / Pembayaran gaji</t>
  </si>
  <si>
    <t>Tidak ada potongan pajak dalam soal latihan.</t>
  </si>
  <si>
    <t>Debit Beban Gaji; kredit Bank.</t>
  </si>
  <si>
    <t>Beban Gaji</t>
  </si>
  <si>
    <t>Sulit / Pembelian aset tunai</t>
  </si>
  <si>
    <t>PPN efektif 11%; peralatan siap digunakan.</t>
  </si>
  <si>
    <t>Debit Peralatan dan PPN Masukan; kredit Bank.</t>
  </si>
  <si>
    <t>Sulit / Rekonsiliasi PPN</t>
  </si>
  <si>
    <t>Pada akhir bulan perusahaan melakukan kompensasi PPN. PPN Keluaran sebesar Rp22.000.000 dan PPN Masukan sebesar Rp11.220.000.</t>
  </si>
  <si>
    <t>Selisih PPN menjadi Utang PPN sebesar Rp10.780.000.</t>
  </si>
  <si>
    <t>Debit PPN Keluaran; kredit PPN Masukan dan Utang PPN.</t>
  </si>
  <si>
    <t>Utang PPN</t>
  </si>
  <si>
    <t>ASET</t>
  </si>
  <si>
    <t>Aset Lancar</t>
  </si>
  <si>
    <t>Jumlah</t>
  </si>
  <si>
    <t>Total Aset Lancar</t>
  </si>
  <si>
    <t>Aset Tetap</t>
  </si>
  <si>
    <t>Nilai Buku Peralatan</t>
  </si>
  <si>
    <t>TOTAL ASET</t>
  </si>
  <si>
    <t>LIABILITAS</t>
  </si>
  <si>
    <t>Liabilitas</t>
  </si>
  <si>
    <t>TOTAL LIABILITAS</t>
  </si>
  <si>
    <t>EKUITAS</t>
  </si>
  <si>
    <t>Ekuitas</t>
  </si>
  <si>
    <t>Laba Bersih Januari</t>
  </si>
  <si>
    <t>TOTAL EKUITAS</t>
  </si>
  <si>
    <t>CHECK</t>
  </si>
  <si>
    <t>Total Aset</t>
  </si>
  <si>
    <t>Total Liabilitas + Ekuitas</t>
  </si>
  <si>
    <t>Selisih</t>
  </si>
  <si>
    <t>STATUS</t>
  </si>
  <si>
    <t>A. SALDO AWAL</t>
  </si>
  <si>
    <t>No</t>
  </si>
  <si>
    <t>Akun</t>
  </si>
  <si>
    <t>Debit (Rp)</t>
  </si>
  <si>
    <t>Kredit (Rp)</t>
  </si>
  <si>
    <t>B. 10 TRANSAKSI &amp; JURNAL UMUM</t>
  </si>
  <si>
    <t>Tingkat / Jenis</t>
  </si>
  <si>
    <t>Soal</t>
  </si>
  <si>
    <t>Tambahan / Fakta Penting</t>
  </si>
  <si>
    <t>Nominal (Rp)</t>
  </si>
  <si>
    <t>Petunjuk</t>
  </si>
  <si>
    <t>Akun Jawaban</t>
  </si>
  <si>
    <t>Mudah / Pembelian persediaan kredit</t>
  </si>
  <si>
    <t>Perusahaan membeli persediaan dari Supplier A secara kredit sebesar Rp80.000.000 sebelum PPN.</t>
  </si>
  <si>
    <t>PPN latihan efektif 11%; satu invoice; belum dibayar.</t>
  </si>
  <si>
    <t>Debit Persediaan dan PPN Masukan; kredit Utang Usaha.</t>
  </si>
  <si>
    <t>Mudah / Penjualan kredit</t>
  </si>
  <si>
    <t>Total tagihan = Rp90.000.000 + PPN 11% (Rp9.900.000) = Rp99.900.000. Bank = 30% × Rp99.900.000 = Rp29.970.000.</t>
  </si>
  <si>
    <t>Piutang = Rp99.900.000 − Rp29.970.000 = Rp69.930.000.</t>
  </si>
  <si>
    <t>C. LAPORAN LABA RUGI</t>
  </si>
  <si>
    <t>PT Sumber Pasok Abadi</t>
  </si>
  <si>
    <t>Laporan Laba Rugi</t>
  </si>
  <si>
    <t>Untuk Bulan Januari 2026</t>
  </si>
  <si>
    <t>Keterangan</t>
  </si>
  <si>
    <t>Penjualan Bersih</t>
  </si>
  <si>
    <t>HPP dari penjualan tunai</t>
  </si>
  <si>
    <t>HPP dari penjualan kredit</t>
  </si>
  <si>
    <t>Dikurangi: HPP barang retur</t>
  </si>
  <si>
    <t>Harga Pokok Penjualan</t>
  </si>
  <si>
    <t>Laba Kotor</t>
  </si>
  <si>
    <t>Total Beban Operasional</t>
  </si>
  <si>
    <t>Laba Bersih</t>
  </si>
  <si>
    <t>D. NERACA / LAPORAN POSISI KEUANGAN</t>
  </si>
  <si>
    <t>Laporan Posisi Keuangan</t>
  </si>
  <si>
    <t>Per 31 Januari 2026</t>
  </si>
  <si>
    <t>Pemeriksaan</t>
  </si>
  <si>
    <r>
      <t xml:space="preserve">Perusahaan menjual barang dagang secara tunai sebesar </t>
    </r>
    <r>
      <rPr>
        <b/>
        <sz val="11"/>
        <color theme="1"/>
        <rFont val="Calibri"/>
        <family val="2"/>
        <scheme val="minor"/>
      </rPr>
      <t>Rp120.000.000 sebelum PPN</t>
    </r>
    <r>
      <rPr>
        <sz val="11"/>
        <color theme="1"/>
        <rFont val="Calibri"/>
        <family val="2"/>
        <scheme val="minor"/>
      </rPr>
      <t>. HPP barang yang dijual sebesar Rp70.000.000.</t>
    </r>
  </si>
  <si>
    <r>
      <t xml:space="preserve">Perusahaan menjual barang kepada Pelanggan B secara kredit sebesar </t>
    </r>
    <r>
      <rPr>
        <b/>
        <sz val="11"/>
        <color theme="1"/>
        <rFont val="Calibri"/>
        <family val="2"/>
        <scheme val="minor"/>
      </rPr>
      <t>Rp90.000.000 sebelum PPN</t>
    </r>
    <r>
      <rPr>
        <sz val="11"/>
        <color theme="1"/>
        <rFont val="Calibri"/>
        <family val="2"/>
        <scheme val="minor"/>
      </rPr>
      <t>. HPP barang yang dijual Rp50.000.000.</t>
    </r>
  </si>
  <si>
    <r>
      <t xml:space="preserve">Perusahaan mengembalikan barang kepada </t>
    </r>
    <r>
      <rPr>
        <b/>
        <sz val="11"/>
        <color theme="1"/>
        <rFont val="Calibri"/>
        <family val="2"/>
        <scheme val="minor"/>
      </rPr>
      <t>Supplier A</t>
    </r>
    <r>
      <rPr>
        <sz val="11"/>
        <color theme="1"/>
        <rFont val="Calibri"/>
        <family val="2"/>
        <scheme val="minor"/>
      </rPr>
      <t xml:space="preserve"> sebesar Rp8.000.000 sebelum PPN karena rusak.</t>
    </r>
  </si>
  <si>
    <r>
      <t xml:space="preserve">Pelanggan B mengembalikan barang yang sebelumnya dibeli sebesar </t>
    </r>
    <r>
      <rPr>
        <b/>
        <sz val="11"/>
        <color theme="1"/>
        <rFont val="Calibri"/>
        <family val="2"/>
        <scheme val="minor"/>
      </rPr>
      <t>Rp10.000.000 sebelum PPN</t>
    </r>
    <r>
      <rPr>
        <sz val="11"/>
        <color theme="1"/>
        <rFont val="Calibri"/>
        <family val="2"/>
        <scheme val="minor"/>
      </rPr>
      <t>. HPP barang yang kembali Rp6.000.000.</t>
    </r>
  </si>
  <si>
    <r>
      <t xml:space="preserve">Perusahaan membayar sebagian utang kepada Supplier A sebesar </t>
    </r>
    <r>
      <rPr>
        <b/>
        <sz val="11"/>
        <color theme="1"/>
        <rFont val="Calibri"/>
        <family val="2"/>
        <scheme val="minor"/>
      </rPr>
      <t>Rp50.000.000 melalui bank</t>
    </r>
    <r>
      <rPr>
        <sz val="11"/>
        <color theme="1"/>
        <rFont val="Calibri"/>
        <family val="2"/>
        <scheme val="minor"/>
      </rPr>
      <t>.</t>
    </r>
  </si>
  <si>
    <r>
      <t xml:space="preserve">Perusahaan membayar biaya </t>
    </r>
    <r>
      <rPr>
        <b/>
        <sz val="11"/>
        <color theme="1"/>
        <rFont val="Calibri"/>
        <family val="2"/>
        <scheme val="minor"/>
      </rPr>
      <t>listrik dan air Rp5.000.000 melalui bank</t>
    </r>
    <r>
      <rPr>
        <sz val="11"/>
        <color theme="1"/>
        <rFont val="Calibri"/>
        <family val="2"/>
        <scheme val="minor"/>
      </rPr>
      <t>.</t>
    </r>
  </si>
  <si>
    <r>
      <t xml:space="preserve">Perusahaan membayar gaji karyawan sebesar </t>
    </r>
    <r>
      <rPr>
        <b/>
        <sz val="11"/>
        <color theme="1"/>
        <rFont val="Calibri"/>
        <family val="2"/>
        <scheme val="minor"/>
      </rPr>
      <t>Rp12.000.000 melalui bank</t>
    </r>
    <r>
      <rPr>
        <sz val="11"/>
        <color theme="1"/>
        <rFont val="Calibri"/>
        <family val="2"/>
        <scheme val="minor"/>
      </rPr>
      <t>.</t>
    </r>
  </si>
  <si>
    <r>
      <t xml:space="preserve">Perusahaan membeli peralatan sebesar </t>
    </r>
    <r>
      <rPr>
        <b/>
        <sz val="11"/>
        <color theme="1"/>
        <rFont val="Calibri"/>
        <family val="2"/>
        <scheme val="minor"/>
      </rPr>
      <t>Rp30.000.000 sebelum PPN</t>
    </r>
    <r>
      <rPr>
        <sz val="11"/>
        <color theme="1"/>
        <rFont val="Calibri"/>
        <family val="2"/>
        <scheme val="minor"/>
      </rPr>
      <t xml:space="preserve"> dan membayarnya melalui bank.</t>
    </r>
  </si>
  <si>
    <t xml:space="preserve">akun koreksi </t>
  </si>
  <si>
    <t xml:space="preserve">debit koreksi </t>
  </si>
  <si>
    <t xml:space="preserve">kredit koreksi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</si>
</sst>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p&quot;#,##0;[Red]\-&quot;Rp&quot;#,##0"/>
    <numFmt numFmtId="43" formatCode="_-* #,##0.00_-;\-* #,##0.00_-;_-* &quot;-&quot;??_-;_-@_-"/>
    <numFmt numFmtId="165" formatCode="#,##0;\(#,##0\)"/>
  </numFmts>
  <fonts count="11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3"/>
      <color theme="1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1F1F1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3" fontId="0" fillId="0" borderId="0" xfId="0" applyNumberFormat="1" applyFont="1" applyFill="1" applyBorder="1" applyAlignment="1">
      <alignment horizontal="right" vertical="center" wrapText="1"/>
    </xf>
    <xf numFmtId="3" fontId="3" fillId="0" borderId="0" xfId="0" applyNumberFormat="1" applyFont="1" applyFill="1" applyBorder="1" applyAlignment="1">
      <alignment horizontal="right" vertical="center" wrapText="1"/>
    </xf>
    <xf numFmtId="3" fontId="0" fillId="0" borderId="0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6" fontId="3" fillId="0" borderId="0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3" fontId="0" fillId="0" borderId="0" xfId="0" applyNumberFormat="1" applyFont="1" applyFill="1" applyBorder="1" applyAlignment="1">
      <alignment horizontal="right" vertical="center" wrapText="1"/>
    </xf>
    <xf numFmtId="0" fontId="7" fillId="3" borderId="0" xfId="0" applyNumberFormat="1" applyFont="1" applyFill="1" applyBorder="1" applyAlignment="1">
      <alignment horizontal="center" vertical="center" wrapText="1"/>
    </xf>
    <xf numFmtId="0" fontId="8" fillId="4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vertical="center" wrapText="1"/>
    </xf>
    <xf numFmtId="165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3" fillId="5" borderId="0" xfId="0" applyNumberFormat="1" applyFont="1" applyFill="1" applyBorder="1" applyAlignment="1">
      <alignment vertical="center" wrapText="1"/>
    </xf>
    <xf numFmtId="165" fontId="3" fillId="5" borderId="0" xfId="0" applyNumberFormat="1" applyFont="1" applyFill="1" applyBorder="1" applyAlignment="1">
      <alignment wrapText="1"/>
    </xf>
    <xf numFmtId="0" fontId="3" fillId="6" borderId="0" xfId="0" applyNumberFormat="1" applyFont="1" applyFill="1" applyBorder="1" applyAlignment="1">
      <alignment vertical="center" wrapText="1"/>
    </xf>
    <xf numFmtId="165" fontId="3" fillId="6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vertical="center" wrapText="1"/>
    </xf>
    <xf numFmtId="165" fontId="3" fillId="0" borderId="0" xfId="0" applyNumberFormat="1" applyFont="1" applyFill="1" applyBorder="1" applyAlignment="1">
      <alignment horizontal="center" vertical="center" wrapText="1"/>
    </xf>
    <xf numFmtId="165" fontId="7" fillId="3" borderId="0" xfId="0" applyNumberFormat="1" applyFont="1" applyFill="1" applyBorder="1" applyAlignment="1">
      <alignment horizontal="center" vertical="center" wrapText="1"/>
    </xf>
    <xf numFmtId="165" fontId="8" fillId="4" borderId="0" xfId="0" applyNumberFormat="1" applyFont="1" applyFill="1" applyBorder="1" applyAlignment="1">
      <alignment horizontal="center" vertical="center" wrapText="1"/>
    </xf>
    <xf numFmtId="165" fontId="3" fillId="5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vertical="center" wrapText="1"/>
    </xf>
    <xf numFmtId="165" fontId="3" fillId="4" borderId="0" xfId="0" applyNumberFormat="1" applyFont="1" applyFill="1" applyBorder="1" applyAlignment="1">
      <alignment vertical="center" wrapText="1"/>
    </xf>
    <xf numFmtId="165" fontId="3" fillId="6" borderId="0" xfId="0" applyNumberFormat="1" applyFont="1" applyFill="1" applyBorder="1" applyAlignment="1">
      <alignment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7" fillId="3" borderId="0" xfId="0" applyNumberFormat="1" applyFont="1" applyFill="1" applyBorder="1" applyAlignment="1">
      <alignment horizontal="center" vertical="center" wrapText="1"/>
    </xf>
    <xf numFmtId="6" fontId="7" fillId="3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wrapText="1"/>
    </xf>
    <xf numFmtId="3" fontId="2" fillId="0" borderId="0" xfId="0" applyNumberFormat="1" applyFont="1" applyFill="1" applyBorder="1" applyAlignment="1">
      <alignment horizontal="right"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8" fillId="4" borderId="0" xfId="0" applyNumberFormat="1" applyFont="1" applyFill="1" applyBorder="1" applyAlignment="1">
      <alignment horizontal="center" vertical="center"/>
    </xf>
    <xf numFmtId="3" fontId="8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vertical="center"/>
    </xf>
    <xf numFmtId="0" fontId="2" fillId="0" borderId="0" xfId="0" applyFont="1"/>
    <xf numFmtId="0" fontId="10" fillId="4" borderId="0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3" fontId="10" fillId="4" borderId="0" xfId="0" applyNumberFormat="1" applyFont="1" applyFill="1" applyBorder="1" applyAlignment="1">
      <alignment horizontal="right" vertical="center" wrapText="1"/>
    </xf>
  </cellXfs>
  <cellStyles count="2">
    <cellStyle name="Comma" xfId="1" xr:uid="{00000000-0005-0000-0000-000000000000}"/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Calibri"/>
      </font>
      <alignment vertical="center" textRotation="0" wrapText="1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3" formatCode="#,##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1"/>
        <name val="Calibri"/>
      </font>
    </dxf>
    <dxf>
      <numFmt numFmtId="10" formatCode="&quot;Rp&quot;#,##0;[Red]\-&quot;Rp&quot;#,##0"/>
    </dxf>
    <dxf>
      <font>
        <b/>
        <u val="none"/>
        <sz val="11"/>
        <color theme="1"/>
        <name val="Calibri"/>
        <family val="2"/>
        <scheme val="minor"/>
      </font>
      <numFmt numFmtId="10" formatCode="&quot;Rp&quot;#,##0;[Red]\-&quot;Rp&quot;#,##0"/>
    </dxf>
    <dxf>
      <numFmt numFmtId="10" formatCode="&quot;Rp&quot;#,##0;[Red]\-&quot;Rp&quot;#,##0"/>
    </dxf>
    <dxf>
      <numFmt numFmtId="164" formatCode="_-* #,##0_-;\-* #,##0_-;_-* &quot;-&quot;??_-;_-@_-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D11" totalsRowShown="0">
  <autoFilter ref="A3:D11" xr:uid="{00000000-0009-0000-0100-000001000000}"/>
  <tableColumns count="4">
    <tableColumn id="1" xr3:uid="{00000000-0010-0000-0000-000001000000}" name="No"/>
    <tableColumn id="2" xr3:uid="{00000000-0010-0000-0000-000002000000}" name="Akun"/>
    <tableColumn id="3" xr3:uid="{00000000-0010-0000-0000-000003000000}" name="Debit" dataDxfId="17"/>
    <tableColumn id="4" xr3:uid="{00000000-0010-0000-0000-000004000000}" name="Kredit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jurnal" displayName="jurnal" ref="A17:L50" totalsRowShown="0">
  <autoFilter ref="A17:L50" xr:uid="{00000000-0009-0000-0100-000008000000}"/>
  <tableColumns count="12">
    <tableColumn id="1" xr3:uid="{00000000-0010-0000-0100-000001000000}" name="No"/>
    <tableColumn id="2" xr3:uid="{00000000-0010-0000-0100-000002000000}" name="Tingkat / Jenis"/>
    <tableColumn id="3" xr3:uid="{00000000-0010-0000-0100-000003000000}" name="Soal" dataDxfId="16"/>
    <tableColumn id="4" xr3:uid="{00000000-0010-0000-0100-000004000000}" name="Tambahan / Fakta Penting"/>
    <tableColumn id="5" xr3:uid="{00000000-0010-0000-0100-000005000000}" name="Nominal (Rp)"/>
    <tableColumn id="6" xr3:uid="{00000000-0010-0000-0100-000006000000}" name="Petunjuk"/>
    <tableColumn id="7" xr3:uid="{00000000-0010-0000-0100-000007000000}" name="Akun Jawaban"/>
    <tableColumn id="8" xr3:uid="{00000000-0010-0000-0100-000008000000}" name="Debit (Rp)"/>
    <tableColumn id="9" xr3:uid="{00000000-0010-0000-0100-000009000000}" name="Kredit (Rp)" dataDxfId="22"/>
    <tableColumn id="10" xr3:uid="{393EA17A-122A-449D-9DEB-939DE04F8EC9}" name="akun koreksi " dataDxfId="4">
      <calculatedColumnFormula>IF(jurnal[[#This Row],[Akun Jawaban]]="","",IF(jurnal[[#This Row],[Akun Jawaban]]=Sheet4!G2,"benar","salah"))</calculatedColumnFormula>
    </tableColumn>
    <tableColumn id="11" xr3:uid="{C0348FDA-84AC-4EA1-85C6-DE4C61A7EE40}" name="debit koreksi ">
      <calculatedColumnFormula>IF(jurnal[[#This Row],[Debit (Rp)]]="","",IF(jurnal[[#This Row],[Debit (Rp)]]=Sheet4!H2,"benar","salah"))</calculatedColumnFormula>
    </tableColumn>
    <tableColumn id="12" xr3:uid="{1D5771B1-AC4E-4C83-B360-F2589C5D82D7}" name="kredit koreksi " dataDxfId="3">
      <calculatedColumnFormula>IF(jurnal[[#This Row],[Kredit (Rp)]]="","",IF(jurnal[[#This Row],[Kredit (Rp)]]=Sheet4!I2,"benar","salah"))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AB42CB-D85F-437F-9732-7D470B2202C0}" name="jurnal3" displayName="jurnal3" ref="A1:I34" totalsRowShown="0" headerRowDxfId="9" dataDxfId="8">
  <autoFilter ref="A1:I34" xr:uid="{52AB42CB-D85F-437F-9732-7D470B2202C0}"/>
  <tableColumns count="9">
    <tableColumn id="1" xr3:uid="{2829CE64-A555-4799-B4F6-EFB5F09B3C91}" name="No" dataDxfId="15"/>
    <tableColumn id="2" xr3:uid="{154C1492-8B10-4E64-81F0-BC266488D47C}" name="Tingkat / Jenis" dataDxfId="7"/>
    <tableColumn id="3" xr3:uid="{DB54D9C8-E4E4-4FF8-B3EA-3F5D8848FCE3}" name="Soal" dataDxfId="5"/>
    <tableColumn id="4" xr3:uid="{6A490833-7878-478E-B55A-836FD3BE264E}" name="Tambahan / Fakta Penting" dataDxfId="6"/>
    <tableColumn id="5" xr3:uid="{E8D421C6-EC37-4082-894A-7EF3D398C67D}" name="Nominal (Rp)" dataDxfId="14"/>
    <tableColumn id="6" xr3:uid="{A0487408-28DA-424D-BF16-53C7F856EE1E}" name="Petunjuk" dataDxfId="13"/>
    <tableColumn id="7" xr3:uid="{26DFF000-8F17-436B-9488-EA89615AF201}" name="Akun Jawaban" dataDxfId="12"/>
    <tableColumn id="8" xr3:uid="{58AE710E-4988-4B1A-B2FB-C4562625D43A}" name="Debit (Rp)" dataDxfId="11"/>
    <tableColumn id="9" xr3:uid="{55BAA82F-8547-4C93-94E4-31F8A2A1E3FB}" name="Kredit (Rp)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6:B21" totalsRowShown="0">
  <autoFilter ref="A6:B21" xr:uid="{00000000-0009-0000-0100-000003000000}"/>
  <tableColumns count="2">
    <tableColumn id="1" xr3:uid="{00000000-0010-0000-0200-000001000000}" name="Keterangan"/>
    <tableColumn id="2" xr3:uid="{00000000-0010-0000-0200-000002000000}" name="Jumlah" dataDxfId="21">
      <calculatedColumnFormula>SUMIF(jurnal[Akun Jawaban],Table3[[#This Row],[Keterangan]],jurnal[Kredit (Rp)])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8:B18" totalsRowShown="0">
  <autoFilter ref="A8:B18" xr:uid="{00000000-0009-0000-0100-000004000000}"/>
  <tableColumns count="2">
    <tableColumn id="1" xr3:uid="{00000000-0010-0000-0300-000001000000}" name="Aset Lancar"/>
    <tableColumn id="2" xr3:uid="{00000000-0010-0000-0300-000002000000}" name="Jumla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23:B27" totalsRowShown="0">
  <autoFilter ref="A23:B27" xr:uid="{00000000-0009-0000-0100-000005000000}"/>
  <tableColumns count="2">
    <tableColumn id="1" xr3:uid="{00000000-0010-0000-0400-000001000000}" name="Liabilitas"/>
    <tableColumn id="2" xr3:uid="{00000000-0010-0000-0400-000002000000}" name="Jumlah" dataDxfId="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31:B34" totalsRowShown="0">
  <autoFilter ref="A31:B34" xr:uid="{00000000-0009-0000-0100-000006000000}"/>
  <tableColumns count="2">
    <tableColumn id="1" xr3:uid="{00000000-0010-0000-0500-000001000000}" name="Ekuitas"/>
    <tableColumn id="2" xr3:uid="{00000000-0010-0000-0500-000002000000}" name="Jumlah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38:B40" totalsRowShown="0">
  <autoFilter ref="A38:B40" xr:uid="{00000000-0009-0000-0100-000007000000}"/>
  <tableColumns count="2">
    <tableColumn id="1" xr3:uid="{00000000-0010-0000-0600-000001000000}" name="Column1"/>
    <tableColumn id="2" xr3:uid="{00000000-0010-0000-0600-000002000000}" name="Jumlah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8"/>
  <sheetViews>
    <sheetView tabSelected="1" topLeftCell="C17" workbookViewId="0">
      <selection activeCell="N21" sqref="N21"/>
    </sheetView>
  </sheetViews>
  <sheetFormatPr defaultRowHeight="14.4" x14ac:dyDescent="0.3"/>
  <cols>
    <col min="1" max="1" width="6" customWidth="1"/>
    <col min="2" max="2" width="28" customWidth="1"/>
    <col min="3" max="3" width="47.21875" style="38" customWidth="1"/>
    <col min="4" max="4" width="27.5546875" customWidth="1"/>
    <col min="5" max="5" width="13.109375" customWidth="1"/>
    <col min="6" max="6" width="28.44140625" style="2" customWidth="1"/>
    <col min="7" max="7" width="24.33203125" customWidth="1"/>
    <col min="8" max="9" width="16" customWidth="1"/>
    <col min="10" max="12" width="14.21875" customWidth="1"/>
  </cols>
  <sheetData>
    <row r="1" spans="1:9" ht="19.2" customHeight="1" x14ac:dyDescent="0.3">
      <c r="A1" s="32" t="s">
        <v>66</v>
      </c>
      <c r="B1" s="32" t="s">
        <v>0</v>
      </c>
      <c r="C1" s="32"/>
      <c r="D1" s="32"/>
      <c r="E1" s="32"/>
      <c r="F1" s="32"/>
      <c r="G1" s="32"/>
      <c r="H1" s="32"/>
      <c r="I1" s="32"/>
    </row>
    <row r="2" spans="1:9" x14ac:dyDescent="0.3">
      <c r="A2" s="6"/>
      <c r="B2" s="6"/>
      <c r="C2" s="35"/>
      <c r="D2" s="6"/>
      <c r="E2" s="6"/>
      <c r="F2" s="6"/>
      <c r="G2" s="6"/>
      <c r="H2" s="6"/>
      <c r="I2" s="6"/>
    </row>
    <row r="3" spans="1:9" s="1" customFormat="1" ht="17.55" customHeight="1" x14ac:dyDescent="0.3">
      <c r="A3" s="14" t="s">
        <v>67</v>
      </c>
      <c r="B3" s="14" t="s">
        <v>68</v>
      </c>
      <c r="C3" s="14" t="s">
        <v>69</v>
      </c>
      <c r="D3" s="14" t="s">
        <v>70</v>
      </c>
      <c r="E3" s="6"/>
      <c r="F3" s="6"/>
      <c r="G3" s="6"/>
      <c r="H3" s="6"/>
      <c r="I3" s="6"/>
    </row>
    <row r="4" spans="1:9" x14ac:dyDescent="0.3">
      <c r="A4" s="7">
        <v>1</v>
      </c>
      <c r="B4" s="8" t="s">
        <v>1</v>
      </c>
      <c r="C4" s="36">
        <v>200000000</v>
      </c>
      <c r="D4" s="3" t="s">
        <v>2</v>
      </c>
      <c r="E4" s="6"/>
      <c r="F4" s="6"/>
      <c r="G4" s="6"/>
      <c r="H4" s="6"/>
      <c r="I4" s="6"/>
    </row>
    <row r="5" spans="1:9" x14ac:dyDescent="0.3">
      <c r="A5" s="7">
        <v>2</v>
      </c>
      <c r="B5" s="8" t="s">
        <v>3</v>
      </c>
      <c r="C5" s="36">
        <v>100000000</v>
      </c>
      <c r="D5" s="3" t="s">
        <v>2</v>
      </c>
      <c r="E5" s="6"/>
      <c r="F5" s="6"/>
      <c r="G5" s="6"/>
      <c r="H5" s="6"/>
      <c r="I5" s="6"/>
    </row>
    <row r="6" spans="1:9" x14ac:dyDescent="0.3">
      <c r="A6" s="7">
        <v>3</v>
      </c>
      <c r="B6" s="8" t="s">
        <v>4</v>
      </c>
      <c r="C6" s="36">
        <v>50000000</v>
      </c>
      <c r="D6" s="3" t="s">
        <v>2</v>
      </c>
      <c r="E6" s="6"/>
      <c r="F6" s="6"/>
      <c r="G6" s="6"/>
      <c r="H6" s="6"/>
      <c r="I6" s="6"/>
    </row>
    <row r="7" spans="1:9" x14ac:dyDescent="0.3">
      <c r="A7" s="7">
        <v>4</v>
      </c>
      <c r="B7" s="8" t="s">
        <v>5</v>
      </c>
      <c r="C7" s="36" t="s">
        <v>2</v>
      </c>
      <c r="D7" s="3">
        <v>10000000</v>
      </c>
      <c r="E7" s="6"/>
      <c r="F7" s="6"/>
      <c r="G7" s="6"/>
      <c r="H7" s="6"/>
      <c r="I7" s="6"/>
    </row>
    <row r="8" spans="1:9" x14ac:dyDescent="0.3">
      <c r="A8" s="7">
        <v>5</v>
      </c>
      <c r="B8" s="8" t="s">
        <v>6</v>
      </c>
      <c r="C8" s="36" t="s">
        <v>2</v>
      </c>
      <c r="D8" s="3">
        <v>40000000</v>
      </c>
      <c r="E8" s="6"/>
      <c r="F8" s="6"/>
      <c r="G8" s="6"/>
      <c r="H8" s="6"/>
      <c r="I8" s="6"/>
    </row>
    <row r="9" spans="1:9" x14ac:dyDescent="0.3">
      <c r="A9" s="7">
        <v>6</v>
      </c>
      <c r="B9" s="8" t="s">
        <v>7</v>
      </c>
      <c r="C9" s="36" t="s">
        <v>2</v>
      </c>
      <c r="D9" s="3">
        <v>50000000</v>
      </c>
      <c r="E9" s="6"/>
      <c r="F9" s="6"/>
      <c r="G9" s="6"/>
      <c r="H9" s="6"/>
      <c r="I9" s="6"/>
    </row>
    <row r="10" spans="1:9" x14ac:dyDescent="0.3">
      <c r="A10" s="7">
        <v>7</v>
      </c>
      <c r="B10" s="8" t="s">
        <v>8</v>
      </c>
      <c r="C10" s="36" t="s">
        <v>2</v>
      </c>
      <c r="D10" s="3">
        <v>250000000</v>
      </c>
      <c r="E10" s="6"/>
      <c r="F10" s="6"/>
      <c r="G10" s="6"/>
      <c r="H10" s="6"/>
      <c r="I10" s="6"/>
    </row>
    <row r="11" spans="1:9" x14ac:dyDescent="0.3">
      <c r="A11" s="7"/>
      <c r="B11" s="9" t="s">
        <v>9</v>
      </c>
      <c r="C11" s="4">
        <v>350000000</v>
      </c>
      <c r="D11" s="4">
        <v>350000000</v>
      </c>
      <c r="E11" s="6"/>
      <c r="F11" s="6"/>
      <c r="G11" s="6"/>
      <c r="H11" s="6"/>
      <c r="I11" s="6"/>
    </row>
    <row r="12" spans="1:9" x14ac:dyDescent="0.3">
      <c r="A12" s="7"/>
      <c r="B12" s="9"/>
      <c r="C12" s="10"/>
      <c r="D12" s="10"/>
      <c r="E12" s="6"/>
      <c r="F12" s="6"/>
      <c r="G12" s="6"/>
      <c r="H12" s="6"/>
      <c r="I12" s="6"/>
    </row>
    <row r="13" spans="1:9" x14ac:dyDescent="0.3">
      <c r="A13" s="7"/>
      <c r="B13" s="9"/>
      <c r="C13" s="10"/>
      <c r="D13" s="10"/>
      <c r="E13" s="6"/>
      <c r="F13" s="6"/>
      <c r="G13" s="6"/>
      <c r="H13" s="6"/>
      <c r="I13" s="6"/>
    </row>
    <row r="14" spans="1:9" x14ac:dyDescent="0.3">
      <c r="A14" s="7"/>
      <c r="B14" s="9"/>
      <c r="C14" s="10"/>
      <c r="D14" s="10"/>
      <c r="E14" s="6"/>
      <c r="F14" s="6"/>
      <c r="G14" s="6"/>
      <c r="H14" s="6"/>
      <c r="I14" s="6"/>
    </row>
    <row r="15" spans="1:9" ht="17.55" customHeight="1" x14ac:dyDescent="0.3">
      <c r="A15" s="33" t="s">
        <v>71</v>
      </c>
      <c r="B15" s="33" t="s">
        <v>10</v>
      </c>
      <c r="C15" s="34"/>
      <c r="D15" s="34"/>
      <c r="E15" s="33"/>
      <c r="F15" s="33"/>
      <c r="G15" s="33"/>
      <c r="H15" s="33"/>
      <c r="I15" s="33"/>
    </row>
    <row r="16" spans="1:9" x14ac:dyDescent="0.3">
      <c r="A16" s="6"/>
      <c r="B16" s="6"/>
      <c r="C16" s="35"/>
      <c r="D16" s="6"/>
      <c r="E16" s="6"/>
      <c r="F16" s="6"/>
      <c r="G16" s="6"/>
      <c r="H16" s="6"/>
      <c r="I16" s="6"/>
    </row>
    <row r="17" spans="1:12" ht="28.05" customHeight="1" x14ac:dyDescent="0.3">
      <c r="A17" s="14" t="s">
        <v>67</v>
      </c>
      <c r="B17" s="14" t="s">
        <v>72</v>
      </c>
      <c r="C17" s="14" t="s">
        <v>73</v>
      </c>
      <c r="D17" s="14" t="s">
        <v>74</v>
      </c>
      <c r="E17" s="14" t="s">
        <v>75</v>
      </c>
      <c r="F17" s="14" t="s">
        <v>76</v>
      </c>
      <c r="G17" s="14" t="s">
        <v>77</v>
      </c>
      <c r="H17" s="14" t="s">
        <v>69</v>
      </c>
      <c r="I17" s="14" t="s">
        <v>70</v>
      </c>
      <c r="J17" s="43" t="s">
        <v>110</v>
      </c>
      <c r="K17" s="43" t="s">
        <v>111</v>
      </c>
      <c r="L17" s="43" t="s">
        <v>112</v>
      </c>
    </row>
    <row r="18" spans="1:12" s="45" customFormat="1" ht="28.05" customHeight="1" x14ac:dyDescent="0.3">
      <c r="A18" s="44">
        <v>1</v>
      </c>
      <c r="B18" s="44" t="s">
        <v>78</v>
      </c>
      <c r="C18" s="44" t="s">
        <v>79</v>
      </c>
      <c r="D18" s="44" t="s">
        <v>80</v>
      </c>
      <c r="E18" s="46">
        <v>80000000</v>
      </c>
      <c r="F18" s="44" t="s">
        <v>81</v>
      </c>
      <c r="G18" s="44" t="s">
        <v>3</v>
      </c>
      <c r="H18" s="46">
        <v>80000000</v>
      </c>
      <c r="I18" s="44" t="s">
        <v>2</v>
      </c>
      <c r="J18" s="45" t="str">
        <f>IF(jurnal[[#This Row],[Akun Jawaban]]="","",IF(jurnal[[#This Row],[Akun Jawaban]]=Sheet4!G2,"benar","salah"))</f>
        <v>benar</v>
      </c>
      <c r="K18" s="45" t="str">
        <f>IF(jurnal[[#This Row],[Debit (Rp)]]="","",IF(jurnal[[#This Row],[Debit (Rp)]]=Sheet4!H2,"benar","salah"))</f>
        <v>benar</v>
      </c>
      <c r="L18" s="45" t="str">
        <f>IF(jurnal[[#This Row],[Kredit (Rp)]]="","",IF(jurnal[[#This Row],[Kredit (Rp)]]=Sheet4!I2,"benar","salah"))</f>
        <v>benar</v>
      </c>
    </row>
    <row r="19" spans="1:12" x14ac:dyDescent="0.3">
      <c r="A19" s="7"/>
      <c r="B19" s="8"/>
      <c r="C19" s="37"/>
      <c r="D19" s="8"/>
      <c r="E19" s="3"/>
      <c r="F19" s="8"/>
      <c r="G19" s="8" t="s">
        <v>11</v>
      </c>
      <c r="H19" s="3">
        <v>8800000</v>
      </c>
      <c r="I19" s="3" t="s">
        <v>2</v>
      </c>
      <c r="J19" t="str">
        <f>IF(jurnal[[#This Row],[Akun Jawaban]]="","",IF(jurnal[[#This Row],[Akun Jawaban]]=Sheet4!G3,"benar","salah"))</f>
        <v>benar</v>
      </c>
      <c r="K19" s="45" t="str">
        <f>IF(jurnal[[#This Row],[Debit (Rp)]]="","",IF(jurnal[[#This Row],[Debit (Rp)]]=Sheet4!H3,"benar","salah"))</f>
        <v>benar</v>
      </c>
      <c r="L19" s="45" t="str">
        <f>IF(jurnal[[#This Row],[Kredit (Rp)]]="","",IF(jurnal[[#This Row],[Kredit (Rp)]]=Sheet4!I3,"benar","salah"))</f>
        <v>benar</v>
      </c>
    </row>
    <row r="20" spans="1:12" x14ac:dyDescent="0.3">
      <c r="A20" s="7"/>
      <c r="B20" s="8"/>
      <c r="C20" s="37"/>
      <c r="D20" s="8"/>
      <c r="E20" s="3"/>
      <c r="F20" s="8"/>
      <c r="G20" s="8" t="s">
        <v>6</v>
      </c>
      <c r="H20" s="3" t="s">
        <v>2</v>
      </c>
      <c r="I20" s="3">
        <v>88800000</v>
      </c>
      <c r="J20" t="str">
        <f>IF(jurnal[[#This Row],[Akun Jawaban]]="","",IF(jurnal[[#This Row],[Akun Jawaban]]=Sheet4!G4,"benar","salah"))</f>
        <v>benar</v>
      </c>
      <c r="K20" s="45" t="str">
        <f>IF(jurnal[[#This Row],[Debit (Rp)]]="","",IF(jurnal[[#This Row],[Debit (Rp)]]=Sheet4!H4,"benar","salah"))</f>
        <v>benar</v>
      </c>
      <c r="L20" s="45" t="str">
        <f>IF(jurnal[[#This Row],[Kredit (Rp)]]="","",IF(jurnal[[#This Row],[Kredit (Rp)]]=Sheet4!I4,"benar","salah"))</f>
        <v>benar</v>
      </c>
    </row>
    <row r="21" spans="1:12" ht="43.2" x14ac:dyDescent="0.3">
      <c r="A21" s="7">
        <v>2</v>
      </c>
      <c r="B21" s="8" t="s">
        <v>12</v>
      </c>
      <c r="C21" s="37" t="s">
        <v>102</v>
      </c>
      <c r="D21" s="8" t="s">
        <v>13</v>
      </c>
      <c r="E21" s="3">
        <v>120000000</v>
      </c>
      <c r="F21" s="8" t="s">
        <v>14</v>
      </c>
      <c r="G21" s="8" t="s">
        <v>1</v>
      </c>
      <c r="H21" s="3">
        <v>133200000</v>
      </c>
      <c r="I21" s="3" t="s">
        <v>2</v>
      </c>
      <c r="J21" t="str">
        <f>IF(jurnal[[#This Row],[Akun Jawaban]]="","",IF(jurnal[[#This Row],[Akun Jawaban]]=Sheet4!G5,"benar","salah"))</f>
        <v>benar</v>
      </c>
      <c r="K21" s="45" t="str">
        <f>IF(jurnal[[#This Row],[Debit (Rp)]]="","",IF(jurnal[[#This Row],[Debit (Rp)]]=Sheet4!H5,"benar","salah"))</f>
        <v>benar</v>
      </c>
      <c r="L21" s="45" t="str">
        <f>IF(jurnal[[#This Row],[Kredit (Rp)]]="","",IF(jurnal[[#This Row],[Kredit (Rp)]]=Sheet4!I5,"benar","salah"))</f>
        <v>benar</v>
      </c>
    </row>
    <row r="22" spans="1:12" x14ac:dyDescent="0.3">
      <c r="A22" s="7"/>
      <c r="B22" s="8"/>
      <c r="C22" s="37"/>
      <c r="D22" s="8"/>
      <c r="E22" s="3"/>
      <c r="F22" s="8"/>
      <c r="G22" s="8" t="s">
        <v>15</v>
      </c>
      <c r="H22" s="3" t="s">
        <v>2</v>
      </c>
      <c r="I22" s="3">
        <v>120000000</v>
      </c>
      <c r="J22" t="str">
        <f>IF(jurnal[[#This Row],[Akun Jawaban]]="","",IF(jurnal[[#This Row],[Akun Jawaban]]=Sheet4!G6,"benar","salah"))</f>
        <v>benar</v>
      </c>
      <c r="K22" s="45" t="str">
        <f>IF(jurnal[[#This Row],[Debit (Rp)]]="","",IF(jurnal[[#This Row],[Debit (Rp)]]=Sheet4!H6,"benar","salah"))</f>
        <v>benar</v>
      </c>
      <c r="L22" s="45" t="str">
        <f>IF(jurnal[[#This Row],[Kredit (Rp)]]="","",IF(jurnal[[#This Row],[Kredit (Rp)]]=Sheet4!I6,"benar","salah"))</f>
        <v>benar</v>
      </c>
    </row>
    <row r="23" spans="1:12" x14ac:dyDescent="0.3">
      <c r="A23" s="7"/>
      <c r="B23" s="8"/>
      <c r="C23" s="37"/>
      <c r="D23" s="8"/>
      <c r="E23" s="3"/>
      <c r="F23" s="8"/>
      <c r="G23" s="8" t="s">
        <v>16</v>
      </c>
      <c r="H23" s="3" t="s">
        <v>2</v>
      </c>
      <c r="I23" s="3">
        <v>13200000</v>
      </c>
      <c r="J23" t="str">
        <f>IF(jurnal[[#This Row],[Akun Jawaban]]="","",IF(jurnal[[#This Row],[Akun Jawaban]]=Sheet4!G7,"benar","salah"))</f>
        <v>benar</v>
      </c>
      <c r="K23" s="45" t="str">
        <f>IF(jurnal[[#This Row],[Debit (Rp)]]="","",IF(jurnal[[#This Row],[Debit (Rp)]]=Sheet4!H7,"benar","salah"))</f>
        <v>benar</v>
      </c>
      <c r="L23" s="45" t="str">
        <f>IF(jurnal[[#This Row],[Kredit (Rp)]]="","",IF(jurnal[[#This Row],[Kredit (Rp)]]=Sheet4!I7,"benar","salah"))</f>
        <v>benar</v>
      </c>
    </row>
    <row r="24" spans="1:12" x14ac:dyDescent="0.3">
      <c r="A24" s="7"/>
      <c r="B24" s="8"/>
      <c r="C24" s="37"/>
      <c r="D24" s="8"/>
      <c r="E24" s="3"/>
      <c r="F24" s="8"/>
      <c r="G24" s="8" t="s">
        <v>17</v>
      </c>
      <c r="H24" s="3">
        <v>70000000</v>
      </c>
      <c r="I24" s="3" t="s">
        <v>2</v>
      </c>
      <c r="J24" t="str">
        <f>IF(jurnal[[#This Row],[Akun Jawaban]]="","",IF(jurnal[[#This Row],[Akun Jawaban]]=Sheet4!G8,"benar","salah"))</f>
        <v>benar</v>
      </c>
      <c r="K24" s="45" t="str">
        <f>IF(jurnal[[#This Row],[Debit (Rp)]]="","",IF(jurnal[[#This Row],[Debit (Rp)]]=Sheet4!H8,"benar","salah"))</f>
        <v>benar</v>
      </c>
      <c r="L24" s="45" t="str">
        <f>IF(jurnal[[#This Row],[Kredit (Rp)]]="","",IF(jurnal[[#This Row],[Kredit (Rp)]]=Sheet4!I8,"benar","salah"))</f>
        <v>benar</v>
      </c>
    </row>
    <row r="25" spans="1:12" x14ac:dyDescent="0.3">
      <c r="A25" s="7"/>
      <c r="B25" s="8"/>
      <c r="C25" s="37"/>
      <c r="D25" s="8"/>
      <c r="E25" s="3"/>
      <c r="F25" s="8"/>
      <c r="G25" s="8" t="s">
        <v>3</v>
      </c>
      <c r="H25" s="3" t="s">
        <v>2</v>
      </c>
      <c r="I25" s="3">
        <v>70000000</v>
      </c>
      <c r="J25" t="str">
        <f>IF(jurnal[[#This Row],[Akun Jawaban]]="","",IF(jurnal[[#This Row],[Akun Jawaban]]=Sheet4!G9,"benar","salah"))</f>
        <v>benar</v>
      </c>
      <c r="K25" s="45" t="str">
        <f>IF(jurnal[[#This Row],[Debit (Rp)]]="","",IF(jurnal[[#This Row],[Debit (Rp)]]=Sheet4!H9,"benar","salah"))</f>
        <v>benar</v>
      </c>
      <c r="L25" s="45" t="str">
        <f>IF(jurnal[[#This Row],[Kredit (Rp)]]="","",IF(jurnal[[#This Row],[Kredit (Rp)]]=Sheet4!I9,"benar","salah"))</f>
        <v>benar</v>
      </c>
    </row>
    <row r="26" spans="1:12" ht="43.2" x14ac:dyDescent="0.3">
      <c r="A26" s="7">
        <v>3</v>
      </c>
      <c r="B26" s="8" t="s">
        <v>82</v>
      </c>
      <c r="C26" s="37" t="s">
        <v>103</v>
      </c>
      <c r="D26" s="8" t="s">
        <v>18</v>
      </c>
      <c r="E26" s="3">
        <v>90000000</v>
      </c>
      <c r="F26" s="8" t="s">
        <v>19</v>
      </c>
      <c r="G26" s="8" t="s">
        <v>20</v>
      </c>
      <c r="H26" s="3">
        <v>99900000</v>
      </c>
      <c r="I26" s="3" t="s">
        <v>2</v>
      </c>
      <c r="J26" t="str">
        <f>IF(jurnal[[#This Row],[Akun Jawaban]]="","",IF(jurnal[[#This Row],[Akun Jawaban]]=Sheet4!G10,"benar","salah"))</f>
        <v>benar</v>
      </c>
      <c r="K26" s="45" t="str">
        <f>IF(jurnal[[#This Row],[Debit (Rp)]]="","",IF(jurnal[[#This Row],[Debit (Rp)]]=Sheet4!H10,"benar","salah"))</f>
        <v>benar</v>
      </c>
      <c r="L26" s="45" t="str">
        <f>IF(jurnal[[#This Row],[Kredit (Rp)]]="","",IF(jurnal[[#This Row],[Kredit (Rp)]]=Sheet4!I10,"benar","salah"))</f>
        <v>benar</v>
      </c>
    </row>
    <row r="27" spans="1:12" x14ac:dyDescent="0.3">
      <c r="A27" s="7"/>
      <c r="B27" s="8"/>
      <c r="C27" s="37"/>
      <c r="D27" s="8"/>
      <c r="E27" s="3"/>
      <c r="F27" s="8"/>
      <c r="G27" s="8" t="s">
        <v>15</v>
      </c>
      <c r="H27" s="3" t="s">
        <v>2</v>
      </c>
      <c r="I27" s="3">
        <v>90000000</v>
      </c>
      <c r="J27" t="str">
        <f>IF(jurnal[[#This Row],[Akun Jawaban]]="","",IF(jurnal[[#This Row],[Akun Jawaban]]=Sheet4!G11,"benar","salah"))</f>
        <v>benar</v>
      </c>
      <c r="K27" s="45" t="str">
        <f>IF(jurnal[[#This Row],[Debit (Rp)]]="","",IF(jurnal[[#This Row],[Debit (Rp)]]=Sheet4!H11,"benar","salah"))</f>
        <v>benar</v>
      </c>
      <c r="L27" s="45" t="str">
        <f>IF(jurnal[[#This Row],[Kredit (Rp)]]="","",IF(jurnal[[#This Row],[Kredit (Rp)]]=Sheet4!I11,"benar","salah"))</f>
        <v>benar</v>
      </c>
    </row>
    <row r="28" spans="1:12" x14ac:dyDescent="0.3">
      <c r="A28" s="7"/>
      <c r="B28" s="8"/>
      <c r="C28" s="37"/>
      <c r="D28" s="8"/>
      <c r="E28" s="3"/>
      <c r="F28" s="8"/>
      <c r="G28" s="8" t="s">
        <v>16</v>
      </c>
      <c r="H28" s="3" t="s">
        <v>2</v>
      </c>
      <c r="I28" s="3">
        <v>9900000</v>
      </c>
      <c r="J28" t="str">
        <f>IF(jurnal[[#This Row],[Akun Jawaban]]="","",IF(jurnal[[#This Row],[Akun Jawaban]]=Sheet4!G12,"benar","salah"))</f>
        <v>benar</v>
      </c>
      <c r="K28" s="45" t="str">
        <f>IF(jurnal[[#This Row],[Debit (Rp)]]="","",IF(jurnal[[#This Row],[Debit (Rp)]]=Sheet4!H12,"benar","salah"))</f>
        <v>benar</v>
      </c>
      <c r="L28" s="45" t="str">
        <f>IF(jurnal[[#This Row],[Kredit (Rp)]]="","",IF(jurnal[[#This Row],[Kredit (Rp)]]=Sheet4!I12,"benar","salah"))</f>
        <v>benar</v>
      </c>
    </row>
    <row r="29" spans="1:12" x14ac:dyDescent="0.3">
      <c r="A29" s="7"/>
      <c r="B29" s="8"/>
      <c r="C29" s="37"/>
      <c r="D29" s="8"/>
      <c r="E29" s="3"/>
      <c r="F29" s="8"/>
      <c r="G29" s="8" t="s">
        <v>17</v>
      </c>
      <c r="H29" s="3">
        <v>50000000</v>
      </c>
      <c r="I29" s="3" t="s">
        <v>2</v>
      </c>
      <c r="J29" t="str">
        <f>IF(jurnal[[#This Row],[Akun Jawaban]]="","",IF(jurnal[[#This Row],[Akun Jawaban]]=Sheet4!G13,"benar","salah"))</f>
        <v>benar</v>
      </c>
      <c r="K29" s="45" t="str">
        <f>IF(jurnal[[#This Row],[Debit (Rp)]]="","",IF(jurnal[[#This Row],[Debit (Rp)]]=Sheet4!H13,"benar","salah"))</f>
        <v>benar</v>
      </c>
      <c r="L29" s="45" t="str">
        <f>IF(jurnal[[#This Row],[Kredit (Rp)]]="","",IF(jurnal[[#This Row],[Kredit (Rp)]]=Sheet4!I13,"benar","salah"))</f>
        <v>benar</v>
      </c>
    </row>
    <row r="30" spans="1:12" x14ac:dyDescent="0.3">
      <c r="A30" s="7"/>
      <c r="B30" s="8"/>
      <c r="C30" s="37"/>
      <c r="D30" s="8"/>
      <c r="E30" s="3"/>
      <c r="F30" s="8"/>
      <c r="G30" s="8" t="s">
        <v>3</v>
      </c>
      <c r="H30" s="3" t="s">
        <v>2</v>
      </c>
      <c r="I30" s="3">
        <v>50000000</v>
      </c>
      <c r="J30" t="str">
        <f>IF(jurnal[[#This Row],[Akun Jawaban]]="","",IF(jurnal[[#This Row],[Akun Jawaban]]=Sheet4!G14,"benar","salah"))</f>
        <v>benar</v>
      </c>
      <c r="K30" s="45" t="str">
        <f>IF(jurnal[[#This Row],[Debit (Rp)]]="","",IF(jurnal[[#This Row],[Debit (Rp)]]=Sheet4!H14,"benar","salah"))</f>
        <v>benar</v>
      </c>
      <c r="L30" s="45" t="str">
        <f>IF(jurnal[[#This Row],[Kredit (Rp)]]="","",IF(jurnal[[#This Row],[Kredit (Rp)]]=Sheet4!I14,"benar","salah"))</f>
        <v>benar</v>
      </c>
    </row>
    <row r="31" spans="1:12" ht="28.8" x14ac:dyDescent="0.3">
      <c r="A31" s="7">
        <v>4</v>
      </c>
      <c r="B31" s="8" t="s">
        <v>21</v>
      </c>
      <c r="C31" s="37" t="s">
        <v>104</v>
      </c>
      <c r="D31" s="8" t="s">
        <v>22</v>
      </c>
      <c r="E31" s="3">
        <v>8000000</v>
      </c>
      <c r="F31" s="8" t="s">
        <v>23</v>
      </c>
      <c r="G31" s="8" t="s">
        <v>6</v>
      </c>
      <c r="H31" s="3">
        <v>8880000</v>
      </c>
      <c r="I31" s="3" t="s">
        <v>2</v>
      </c>
      <c r="J31" t="str">
        <f>IF(jurnal[[#This Row],[Akun Jawaban]]="","",IF(jurnal[[#This Row],[Akun Jawaban]]=Sheet4!G15,"benar","salah"))</f>
        <v>benar</v>
      </c>
      <c r="K31" s="45" t="str">
        <f>IF(jurnal[[#This Row],[Debit (Rp)]]="","",IF(jurnal[[#This Row],[Debit (Rp)]]=Sheet4!H15,"benar","salah"))</f>
        <v>benar</v>
      </c>
      <c r="L31" s="45" t="str">
        <f>IF(jurnal[[#This Row],[Kredit (Rp)]]="","",IF(jurnal[[#This Row],[Kredit (Rp)]]=Sheet4!I15,"benar","salah"))</f>
        <v>benar</v>
      </c>
    </row>
    <row r="32" spans="1:12" x14ac:dyDescent="0.3">
      <c r="A32" s="7"/>
      <c r="B32" s="8"/>
      <c r="C32" s="37"/>
      <c r="D32" s="8"/>
      <c r="E32" s="3"/>
      <c r="F32" s="8"/>
      <c r="G32" s="8" t="s">
        <v>3</v>
      </c>
      <c r="H32" s="3" t="s">
        <v>2</v>
      </c>
      <c r="I32" s="3">
        <v>8000000</v>
      </c>
      <c r="J32" t="str">
        <f>IF(jurnal[[#This Row],[Akun Jawaban]]="","",IF(jurnal[[#This Row],[Akun Jawaban]]=Sheet4!G16,"benar","salah"))</f>
        <v>benar</v>
      </c>
      <c r="K32" s="45" t="str">
        <f>IF(jurnal[[#This Row],[Debit (Rp)]]="","",IF(jurnal[[#This Row],[Debit (Rp)]]=Sheet4!H16,"benar","salah"))</f>
        <v>benar</v>
      </c>
      <c r="L32" s="45" t="str">
        <f>IF(jurnal[[#This Row],[Kredit (Rp)]]="","",IF(jurnal[[#This Row],[Kredit (Rp)]]=Sheet4!I16,"benar","salah"))</f>
        <v>benar</v>
      </c>
    </row>
    <row r="33" spans="1:12" x14ac:dyDescent="0.3">
      <c r="A33" s="7"/>
      <c r="B33" s="8"/>
      <c r="C33" s="37"/>
      <c r="D33" s="8"/>
      <c r="E33" s="3"/>
      <c r="F33" s="8"/>
      <c r="G33" s="8" t="s">
        <v>11</v>
      </c>
      <c r="H33" s="3" t="s">
        <v>2</v>
      </c>
      <c r="I33" s="3">
        <v>880000</v>
      </c>
      <c r="J33" t="str">
        <f>IF(jurnal[[#This Row],[Akun Jawaban]]="","",IF(jurnal[[#This Row],[Akun Jawaban]]=Sheet4!G17,"benar","salah"))</f>
        <v>benar</v>
      </c>
      <c r="K33" s="45" t="str">
        <f>IF(jurnal[[#This Row],[Debit (Rp)]]="","",IF(jurnal[[#This Row],[Debit (Rp)]]=Sheet4!H17,"benar","salah"))</f>
        <v>benar</v>
      </c>
      <c r="L33" s="45" t="str">
        <f>IF(jurnal[[#This Row],[Kredit (Rp)]]="","",IF(jurnal[[#This Row],[Kredit (Rp)]]=Sheet4!I17,"benar","salah"))</f>
        <v>benar</v>
      </c>
    </row>
    <row r="34" spans="1:12" ht="43.2" x14ac:dyDescent="0.3">
      <c r="A34" s="7">
        <v>5</v>
      </c>
      <c r="B34" s="8" t="s">
        <v>24</v>
      </c>
      <c r="C34" s="37" t="s">
        <v>105</v>
      </c>
      <c r="D34" s="8" t="s">
        <v>25</v>
      </c>
      <c r="E34" s="3">
        <v>10000000</v>
      </c>
      <c r="F34" s="8" t="s">
        <v>26</v>
      </c>
      <c r="G34" s="8" t="s">
        <v>27</v>
      </c>
      <c r="H34" s="3">
        <v>10000000</v>
      </c>
      <c r="I34" s="3" t="s">
        <v>2</v>
      </c>
      <c r="J34" t="str">
        <f>IF(jurnal[[#This Row],[Akun Jawaban]]="","",IF(jurnal[[#This Row],[Akun Jawaban]]=Sheet4!G18,"benar","salah"))</f>
        <v>benar</v>
      </c>
      <c r="K34" s="45" t="str">
        <f>IF(jurnal[[#This Row],[Debit (Rp)]]="","",IF(jurnal[[#This Row],[Debit (Rp)]]=Sheet4!H18,"benar","salah"))</f>
        <v>benar</v>
      </c>
      <c r="L34" s="45" t="str">
        <f>IF(jurnal[[#This Row],[Kredit (Rp)]]="","",IF(jurnal[[#This Row],[Kredit (Rp)]]=Sheet4!I18,"benar","salah"))</f>
        <v>benar</v>
      </c>
    </row>
    <row r="35" spans="1:12" x14ac:dyDescent="0.3">
      <c r="A35" s="7"/>
      <c r="B35" s="8"/>
      <c r="C35" s="37"/>
      <c r="D35" s="8"/>
      <c r="E35" s="3"/>
      <c r="F35" s="8"/>
      <c r="G35" s="8" t="s">
        <v>16</v>
      </c>
      <c r="H35" s="3">
        <v>1100000</v>
      </c>
      <c r="I35" s="3" t="s">
        <v>2</v>
      </c>
      <c r="J35" t="str">
        <f>IF(jurnal[[#This Row],[Akun Jawaban]]="","",IF(jurnal[[#This Row],[Akun Jawaban]]=Sheet4!G19,"benar","salah"))</f>
        <v>benar</v>
      </c>
      <c r="K35" s="45" t="str">
        <f>IF(jurnal[[#This Row],[Debit (Rp)]]="","",IF(jurnal[[#This Row],[Debit (Rp)]]=Sheet4!H19,"benar","salah"))</f>
        <v>benar</v>
      </c>
      <c r="L35" s="45" t="str">
        <f>IF(jurnal[[#This Row],[Kredit (Rp)]]="","",IF(jurnal[[#This Row],[Kredit (Rp)]]=Sheet4!I19,"benar","salah"))</f>
        <v>benar</v>
      </c>
    </row>
    <row r="36" spans="1:12" x14ac:dyDescent="0.3">
      <c r="A36" s="7"/>
      <c r="B36" s="8"/>
      <c r="C36" s="37"/>
      <c r="D36" s="8"/>
      <c r="E36" s="3"/>
      <c r="F36" s="8"/>
      <c r="G36" s="8" t="s">
        <v>20</v>
      </c>
      <c r="H36" s="3" t="s">
        <v>2</v>
      </c>
      <c r="I36" s="3">
        <v>11100000</v>
      </c>
      <c r="J36" t="str">
        <f>IF(jurnal[[#This Row],[Akun Jawaban]]="","",IF(jurnal[[#This Row],[Akun Jawaban]]=Sheet4!G20,"benar","salah"))</f>
        <v>benar</v>
      </c>
      <c r="K36" s="45" t="str">
        <f>IF(jurnal[[#This Row],[Debit (Rp)]]="","",IF(jurnal[[#This Row],[Debit (Rp)]]=Sheet4!H20,"benar","salah"))</f>
        <v>benar</v>
      </c>
      <c r="L36" s="45" t="str">
        <f>IF(jurnal[[#This Row],[Kredit (Rp)]]="","",IF(jurnal[[#This Row],[Kredit (Rp)]]=Sheet4!I20,"benar","salah"))</f>
        <v>benar</v>
      </c>
    </row>
    <row r="37" spans="1:12" x14ac:dyDescent="0.3">
      <c r="A37" s="7"/>
      <c r="B37" s="8"/>
      <c r="C37" s="37"/>
      <c r="D37" s="8"/>
      <c r="E37" s="3"/>
      <c r="F37" s="8"/>
      <c r="G37" s="8" t="s">
        <v>3</v>
      </c>
      <c r="H37" s="3">
        <v>6000000</v>
      </c>
      <c r="I37" s="3" t="s">
        <v>2</v>
      </c>
      <c r="J37" t="str">
        <f>IF(jurnal[[#This Row],[Akun Jawaban]]="","",IF(jurnal[[#This Row],[Akun Jawaban]]=Sheet4!G21,"benar","salah"))</f>
        <v>benar</v>
      </c>
      <c r="K37" s="45" t="str">
        <f>IF(jurnal[[#This Row],[Debit (Rp)]]="","",IF(jurnal[[#This Row],[Debit (Rp)]]=Sheet4!H21,"benar","salah"))</f>
        <v>benar</v>
      </c>
      <c r="L37" s="45" t="str">
        <f>IF(jurnal[[#This Row],[Kredit (Rp)]]="","",IF(jurnal[[#This Row],[Kredit (Rp)]]=Sheet4!I21,"benar","salah"))</f>
        <v>benar</v>
      </c>
    </row>
    <row r="38" spans="1:12" x14ac:dyDescent="0.3">
      <c r="A38" s="7"/>
      <c r="B38" s="8"/>
      <c r="C38" s="37"/>
      <c r="D38" s="8"/>
      <c r="E38" s="3"/>
      <c r="F38" s="8"/>
      <c r="G38" s="8" t="s">
        <v>17</v>
      </c>
      <c r="H38" s="3" t="s">
        <v>2</v>
      </c>
      <c r="I38" s="3">
        <v>6000000</v>
      </c>
      <c r="J38" t="str">
        <f>IF(jurnal[[#This Row],[Akun Jawaban]]="","",IF(jurnal[[#This Row],[Akun Jawaban]]=Sheet4!G22,"benar","salah"))</f>
        <v>benar</v>
      </c>
      <c r="K38" s="45" t="str">
        <f>IF(jurnal[[#This Row],[Debit (Rp)]]="","",IF(jurnal[[#This Row],[Debit (Rp)]]=Sheet4!H22,"benar","salah"))</f>
        <v>benar</v>
      </c>
      <c r="L38" s="45" t="str">
        <f>IF(jurnal[[#This Row],[Kredit (Rp)]]="","",IF(jurnal[[#This Row],[Kredit (Rp)]]=Sheet4!I22,"benar","salah"))</f>
        <v>benar</v>
      </c>
    </row>
    <row r="39" spans="1:12" ht="28.8" x14ac:dyDescent="0.3">
      <c r="A39" s="7">
        <v>6</v>
      </c>
      <c r="B39" s="8" t="s">
        <v>28</v>
      </c>
      <c r="C39" s="37" t="s">
        <v>106</v>
      </c>
      <c r="D39" s="8" t="s">
        <v>29</v>
      </c>
      <c r="E39" s="3">
        <v>50000000</v>
      </c>
      <c r="F39" s="8" t="s">
        <v>30</v>
      </c>
      <c r="G39" s="8" t="s">
        <v>6</v>
      </c>
      <c r="H39" s="3">
        <v>50000000</v>
      </c>
      <c r="I39" s="3" t="s">
        <v>2</v>
      </c>
      <c r="J39" t="str">
        <f>IF(jurnal[[#This Row],[Akun Jawaban]]="","",IF(jurnal[[#This Row],[Akun Jawaban]]=Sheet4!G23,"benar","salah"))</f>
        <v>benar</v>
      </c>
      <c r="K39" s="45" t="str">
        <f>IF(jurnal[[#This Row],[Debit (Rp)]]="","",IF(jurnal[[#This Row],[Debit (Rp)]]=Sheet4!H23,"benar","salah"))</f>
        <v>benar</v>
      </c>
      <c r="L39" s="45" t="str">
        <f>IF(jurnal[[#This Row],[Kredit (Rp)]]="","",IF(jurnal[[#This Row],[Kredit (Rp)]]=Sheet4!I23,"benar","salah"))</f>
        <v>benar</v>
      </c>
    </row>
    <row r="40" spans="1:12" x14ac:dyDescent="0.3">
      <c r="A40" s="7"/>
      <c r="B40" s="8"/>
      <c r="C40" s="37"/>
      <c r="D40" s="8"/>
      <c r="E40" s="3"/>
      <c r="F40" s="8"/>
      <c r="G40" s="8" t="s">
        <v>1</v>
      </c>
      <c r="H40" s="3" t="s">
        <v>2</v>
      </c>
      <c r="I40" s="3">
        <v>50000000</v>
      </c>
      <c r="J40" t="str">
        <f>IF(jurnal[[#This Row],[Akun Jawaban]]="","",IF(jurnal[[#This Row],[Akun Jawaban]]=Sheet4!G24,"benar","salah"))</f>
        <v>benar</v>
      </c>
      <c r="K40" s="45" t="str">
        <f>IF(jurnal[[#This Row],[Debit (Rp)]]="","",IF(jurnal[[#This Row],[Debit (Rp)]]=Sheet4!H24,"benar","salah"))</f>
        <v>benar</v>
      </c>
      <c r="L40" s="45" t="str">
        <f>IF(jurnal[[#This Row],[Kredit (Rp)]]="","",IF(jurnal[[#This Row],[Kredit (Rp)]]=Sheet4!I24,"benar","salah"))</f>
        <v>benar</v>
      </c>
    </row>
    <row r="41" spans="1:12" ht="28.8" x14ac:dyDescent="0.3">
      <c r="A41" s="7">
        <v>7</v>
      </c>
      <c r="B41" s="8" t="s">
        <v>31</v>
      </c>
      <c r="C41" s="37" t="s">
        <v>107</v>
      </c>
      <c r="D41" s="8" t="s">
        <v>32</v>
      </c>
      <c r="E41" s="3">
        <v>5000000</v>
      </c>
      <c r="F41" s="8" t="s">
        <v>33</v>
      </c>
      <c r="G41" s="8" t="s">
        <v>34</v>
      </c>
      <c r="H41" s="3">
        <v>5000000</v>
      </c>
      <c r="I41" s="3" t="s">
        <v>2</v>
      </c>
      <c r="J41" t="str">
        <f>IF(jurnal[[#This Row],[Akun Jawaban]]="","",IF(jurnal[[#This Row],[Akun Jawaban]]=Sheet4!G25,"benar","salah"))</f>
        <v>benar</v>
      </c>
      <c r="K41" s="45" t="str">
        <f>IF(jurnal[[#This Row],[Debit (Rp)]]="","",IF(jurnal[[#This Row],[Debit (Rp)]]=Sheet4!H25,"benar","salah"))</f>
        <v>benar</v>
      </c>
      <c r="L41" s="45" t="str">
        <f>IF(jurnal[[#This Row],[Kredit (Rp)]]="","",IF(jurnal[[#This Row],[Kredit (Rp)]]=Sheet4!I25,"benar","salah"))</f>
        <v>benar</v>
      </c>
    </row>
    <row r="42" spans="1:12" x14ac:dyDescent="0.3">
      <c r="A42" s="7"/>
      <c r="B42" s="8"/>
      <c r="C42" s="37"/>
      <c r="D42" s="8"/>
      <c r="E42" s="3"/>
      <c r="F42" s="8"/>
      <c r="G42" s="8" t="s">
        <v>1</v>
      </c>
      <c r="H42" s="3" t="s">
        <v>2</v>
      </c>
      <c r="I42" s="3">
        <v>5000000</v>
      </c>
      <c r="J42" t="str">
        <f>IF(jurnal[[#This Row],[Akun Jawaban]]="","",IF(jurnal[[#This Row],[Akun Jawaban]]=Sheet4!G26,"benar","salah"))</f>
        <v>benar</v>
      </c>
      <c r="K42" s="45" t="str">
        <f>IF(jurnal[[#This Row],[Debit (Rp)]]="","",IF(jurnal[[#This Row],[Debit (Rp)]]=Sheet4!H26,"benar","salah"))</f>
        <v>benar</v>
      </c>
      <c r="L42" s="45" t="str">
        <f>IF(jurnal[[#This Row],[Kredit (Rp)]]="","",IF(jurnal[[#This Row],[Kredit (Rp)]]=Sheet4!I26,"benar","salah"))</f>
        <v>benar</v>
      </c>
    </row>
    <row r="43" spans="1:12" ht="28.8" x14ac:dyDescent="0.3">
      <c r="A43" s="7">
        <v>8</v>
      </c>
      <c r="B43" s="8" t="s">
        <v>35</v>
      </c>
      <c r="C43" s="37" t="s">
        <v>108</v>
      </c>
      <c r="D43" s="8" t="s">
        <v>36</v>
      </c>
      <c r="E43" s="3">
        <v>12000000</v>
      </c>
      <c r="F43" s="8" t="s">
        <v>37</v>
      </c>
      <c r="G43" s="8" t="s">
        <v>38</v>
      </c>
      <c r="H43" s="3">
        <v>12000000</v>
      </c>
      <c r="I43" s="3" t="s">
        <v>2</v>
      </c>
      <c r="J43" t="str">
        <f>IF(jurnal[[#This Row],[Akun Jawaban]]="","",IF(jurnal[[#This Row],[Akun Jawaban]]=Sheet4!G27,"benar","salah"))</f>
        <v>benar</v>
      </c>
      <c r="K43" s="45" t="str">
        <f>IF(jurnal[[#This Row],[Debit (Rp)]]="","",IF(jurnal[[#This Row],[Debit (Rp)]]=Sheet4!H27,"benar","salah"))</f>
        <v>benar</v>
      </c>
      <c r="L43" s="45" t="str">
        <f>IF(jurnal[[#This Row],[Kredit (Rp)]]="","",IF(jurnal[[#This Row],[Kredit (Rp)]]=Sheet4!I27,"benar","salah"))</f>
        <v>benar</v>
      </c>
    </row>
    <row r="44" spans="1:12" x14ac:dyDescent="0.3">
      <c r="A44" s="7"/>
      <c r="B44" s="8"/>
      <c r="C44" s="37"/>
      <c r="D44" s="8"/>
      <c r="E44" s="3"/>
      <c r="F44" s="8"/>
      <c r="G44" s="8" t="s">
        <v>1</v>
      </c>
      <c r="H44" s="3" t="s">
        <v>2</v>
      </c>
      <c r="I44" s="3">
        <v>12000000</v>
      </c>
      <c r="J44" t="str">
        <f>IF(jurnal[[#This Row],[Akun Jawaban]]="","",IF(jurnal[[#This Row],[Akun Jawaban]]=Sheet4!G28,"benar","salah"))</f>
        <v>benar</v>
      </c>
      <c r="K44" s="45" t="str">
        <f>IF(jurnal[[#This Row],[Debit (Rp)]]="","",IF(jurnal[[#This Row],[Debit (Rp)]]=Sheet4!H28,"benar","salah"))</f>
        <v>benar</v>
      </c>
      <c r="L44" s="45" t="str">
        <f>IF(jurnal[[#This Row],[Kredit (Rp)]]="","",IF(jurnal[[#This Row],[Kredit (Rp)]]=Sheet4!I28,"benar","salah"))</f>
        <v>benar</v>
      </c>
    </row>
    <row r="45" spans="1:12" ht="28.8" x14ac:dyDescent="0.3">
      <c r="A45" s="7">
        <v>9</v>
      </c>
      <c r="B45" s="8" t="s">
        <v>39</v>
      </c>
      <c r="C45" s="37" t="s">
        <v>109</v>
      </c>
      <c r="D45" s="8" t="s">
        <v>40</v>
      </c>
      <c r="E45" s="3">
        <v>30000000</v>
      </c>
      <c r="F45" s="8" t="s">
        <v>41</v>
      </c>
      <c r="G45" s="8" t="s">
        <v>4</v>
      </c>
      <c r="H45" s="3">
        <v>30000000</v>
      </c>
      <c r="I45" s="3" t="s">
        <v>2</v>
      </c>
      <c r="J45" t="str">
        <f>IF(jurnal[[#This Row],[Akun Jawaban]]="","",IF(jurnal[[#This Row],[Akun Jawaban]]=Sheet4!G29,"benar","salah"))</f>
        <v>benar</v>
      </c>
      <c r="K45" s="45" t="str">
        <f>IF(jurnal[[#This Row],[Debit (Rp)]]="","",IF(jurnal[[#This Row],[Debit (Rp)]]=Sheet4!H29,"benar","salah"))</f>
        <v>benar</v>
      </c>
      <c r="L45" s="45" t="str">
        <f>IF(jurnal[[#This Row],[Kredit (Rp)]]="","",IF(jurnal[[#This Row],[Kredit (Rp)]]=Sheet4!I29,"benar","salah"))</f>
        <v>benar</v>
      </c>
    </row>
    <row r="46" spans="1:12" x14ac:dyDescent="0.3">
      <c r="A46" s="7"/>
      <c r="B46" s="8"/>
      <c r="C46" s="37"/>
      <c r="D46" s="8"/>
      <c r="E46" s="3"/>
      <c r="F46" s="8"/>
      <c r="G46" s="8" t="s">
        <v>11</v>
      </c>
      <c r="H46" s="3">
        <v>3300000</v>
      </c>
      <c r="I46" s="3" t="s">
        <v>2</v>
      </c>
      <c r="J46" t="str">
        <f>IF(jurnal[[#This Row],[Akun Jawaban]]="","",IF(jurnal[[#This Row],[Akun Jawaban]]=Sheet4!G30,"benar","salah"))</f>
        <v>benar</v>
      </c>
      <c r="K46" s="45" t="str">
        <f>IF(jurnal[[#This Row],[Debit (Rp)]]="","",IF(jurnal[[#This Row],[Debit (Rp)]]=Sheet4!H30,"benar","salah"))</f>
        <v>benar</v>
      </c>
      <c r="L46" s="45" t="str">
        <f>IF(jurnal[[#This Row],[Kredit (Rp)]]="","",IF(jurnal[[#This Row],[Kredit (Rp)]]=Sheet4!I30,"benar","salah"))</f>
        <v>benar</v>
      </c>
    </row>
    <row r="47" spans="1:12" x14ac:dyDescent="0.3">
      <c r="A47" s="7"/>
      <c r="B47" s="8"/>
      <c r="C47" s="37"/>
      <c r="D47" s="8"/>
      <c r="E47" s="7"/>
      <c r="F47" s="8"/>
      <c r="G47" s="8" t="s">
        <v>1</v>
      </c>
      <c r="H47" s="7" t="s">
        <v>2</v>
      </c>
      <c r="I47" s="12">
        <v>33300000</v>
      </c>
      <c r="J47" t="str">
        <f>IF(jurnal[[#This Row],[Akun Jawaban]]="","",IF(jurnal[[#This Row],[Akun Jawaban]]=Sheet4!G31,"benar","salah"))</f>
        <v>benar</v>
      </c>
      <c r="K47" s="45" t="str">
        <f>IF(jurnal[[#This Row],[Debit (Rp)]]="","",IF(jurnal[[#This Row],[Debit (Rp)]]=Sheet4!H31,"benar","salah"))</f>
        <v>benar</v>
      </c>
      <c r="L47" s="45" t="str">
        <f>IF(jurnal[[#This Row],[Kredit (Rp)]]="","",IF(jurnal[[#This Row],[Kredit (Rp)]]=Sheet4!I31,"benar","salah"))</f>
        <v>benar</v>
      </c>
    </row>
    <row r="48" spans="1:12" ht="43.2" x14ac:dyDescent="0.3">
      <c r="A48" s="7">
        <v>10</v>
      </c>
      <c r="B48" s="8" t="s">
        <v>42</v>
      </c>
      <c r="C48" s="37" t="s">
        <v>43</v>
      </c>
      <c r="D48" s="8" t="s">
        <v>44</v>
      </c>
      <c r="E48" s="12">
        <v>22000000</v>
      </c>
      <c r="F48" s="8" t="s">
        <v>45</v>
      </c>
      <c r="G48" s="8" t="s">
        <v>16</v>
      </c>
      <c r="H48" s="12">
        <v>22000000</v>
      </c>
      <c r="I48" s="7" t="s">
        <v>2</v>
      </c>
      <c r="J48" t="str">
        <f>IF(jurnal[[#This Row],[Akun Jawaban]]="","",IF(jurnal[[#This Row],[Akun Jawaban]]=Sheet4!G32,"benar","salah"))</f>
        <v>benar</v>
      </c>
      <c r="K48" s="45" t="str">
        <f>IF(jurnal[[#This Row],[Debit (Rp)]]="","",IF(jurnal[[#This Row],[Debit (Rp)]]=Sheet4!H32,"benar","salah"))</f>
        <v>benar</v>
      </c>
      <c r="L48" s="45" t="str">
        <f>IF(jurnal[[#This Row],[Kredit (Rp)]]="","",IF(jurnal[[#This Row],[Kredit (Rp)]]=Sheet4!I32,"benar","salah"))</f>
        <v>benar</v>
      </c>
    </row>
    <row r="49" spans="1:12" x14ac:dyDescent="0.3">
      <c r="A49" s="7"/>
      <c r="B49" s="8"/>
      <c r="C49" s="37"/>
      <c r="D49" s="8"/>
      <c r="E49" s="7"/>
      <c r="F49" s="8"/>
      <c r="G49" s="8" t="s">
        <v>11</v>
      </c>
      <c r="H49" s="7" t="s">
        <v>2</v>
      </c>
      <c r="I49" s="12">
        <v>11220000</v>
      </c>
      <c r="J49" t="str">
        <f>IF(jurnal[[#This Row],[Akun Jawaban]]="","",IF(jurnal[[#This Row],[Akun Jawaban]]=Sheet4!G33,"benar","salah"))</f>
        <v>benar</v>
      </c>
      <c r="K49" s="45" t="str">
        <f>IF(jurnal[[#This Row],[Debit (Rp)]]="","",IF(jurnal[[#This Row],[Debit (Rp)]]=Sheet4!H33,"benar","salah"))</f>
        <v>benar</v>
      </c>
      <c r="L49" s="45" t="str">
        <f>IF(jurnal[[#This Row],[Kredit (Rp)]]="","",IF(jurnal[[#This Row],[Kredit (Rp)]]=Sheet4!I33,"benar","salah"))</f>
        <v>benar</v>
      </c>
    </row>
    <row r="50" spans="1:12" x14ac:dyDescent="0.3">
      <c r="A50" s="7"/>
      <c r="B50" s="8"/>
      <c r="C50" s="37"/>
      <c r="D50" s="8"/>
      <c r="E50" s="7"/>
      <c r="F50" s="8"/>
      <c r="G50" s="8" t="s">
        <v>46</v>
      </c>
      <c r="H50" s="7" t="s">
        <v>2</v>
      </c>
      <c r="I50" s="12">
        <v>10780000</v>
      </c>
      <c r="J50" t="str">
        <f>IF(jurnal[[#This Row],[Akun Jawaban]]="","",IF(jurnal[[#This Row],[Akun Jawaban]]=Sheet4!G34,"benar","salah"))</f>
        <v>benar</v>
      </c>
      <c r="K50" s="45" t="str">
        <f>IF(jurnal[[#This Row],[Debit (Rp)]]="","",IF(jurnal[[#This Row],[Debit (Rp)]]=Sheet4!H34,"benar","salah"))</f>
        <v>benar</v>
      </c>
      <c r="L50" s="45" t="str">
        <f>IF(jurnal[[#This Row],[Kredit (Rp)]]="","",IF(jurnal[[#This Row],[Kredit (Rp)]]=Sheet4!I34,"benar","salah"))</f>
        <v>benar</v>
      </c>
    </row>
    <row r="51" spans="1:12" x14ac:dyDescent="0.3">
      <c r="A51" s="6"/>
      <c r="B51" s="6"/>
      <c r="C51" s="35"/>
      <c r="D51" s="6"/>
      <c r="E51" s="6"/>
      <c r="F51" s="6"/>
      <c r="G51" s="6"/>
      <c r="H51" s="6"/>
      <c r="I51" s="6"/>
    </row>
    <row r="52" spans="1:12" x14ac:dyDescent="0.3">
      <c r="A52" s="6"/>
      <c r="B52" s="6"/>
      <c r="C52" s="35"/>
      <c r="D52" s="6"/>
      <c r="E52" s="6"/>
      <c r="F52" s="6"/>
      <c r="G52" s="6"/>
      <c r="H52" s="6"/>
      <c r="I52" s="6"/>
    </row>
    <row r="53" spans="1:12" x14ac:dyDescent="0.3">
      <c r="A53" s="6"/>
      <c r="B53" s="6"/>
      <c r="C53" s="35"/>
      <c r="D53" s="6"/>
      <c r="E53" s="6"/>
      <c r="F53" s="6"/>
      <c r="G53" s="6"/>
      <c r="H53" s="6"/>
      <c r="I53" s="6"/>
    </row>
    <row r="54" spans="1:12" x14ac:dyDescent="0.3">
      <c r="A54" s="6"/>
      <c r="B54" s="6"/>
      <c r="C54" s="35"/>
      <c r="D54" s="6"/>
      <c r="E54" s="6"/>
      <c r="F54" s="6"/>
      <c r="G54" s="6"/>
      <c r="H54" s="6"/>
      <c r="I54" s="6"/>
    </row>
    <row r="55" spans="1:12" x14ac:dyDescent="0.3">
      <c r="A55" s="6"/>
      <c r="B55" s="6"/>
      <c r="C55" s="35"/>
      <c r="D55" s="6"/>
      <c r="E55" s="6"/>
      <c r="F55" s="6"/>
      <c r="G55" s="6"/>
      <c r="H55" s="6"/>
      <c r="I55" s="6"/>
    </row>
    <row r="56" spans="1:12" x14ac:dyDescent="0.3">
      <c r="A56" s="6"/>
      <c r="B56" s="6"/>
      <c r="C56" s="35"/>
      <c r="D56" s="6"/>
      <c r="E56" s="6"/>
      <c r="F56" s="6"/>
      <c r="G56" s="6"/>
      <c r="H56" s="6"/>
      <c r="I56" s="6"/>
    </row>
    <row r="57" spans="1:12" x14ac:dyDescent="0.3">
      <c r="A57" s="6"/>
      <c r="B57" s="6"/>
      <c r="C57" s="35"/>
      <c r="D57" s="6"/>
      <c r="E57" s="6"/>
      <c r="F57" s="6"/>
      <c r="G57" s="6"/>
      <c r="H57" s="6"/>
      <c r="I57" s="6"/>
    </row>
    <row r="58" spans="1:12" x14ac:dyDescent="0.3">
      <c r="A58" s="6"/>
      <c r="B58" s="6"/>
      <c r="C58" s="35"/>
      <c r="D58" s="6"/>
      <c r="E58" s="6"/>
      <c r="F58" s="6"/>
      <c r="G58" s="6"/>
      <c r="H58" s="6"/>
      <c r="I58" s="6"/>
    </row>
    <row r="59" spans="1:12" x14ac:dyDescent="0.3">
      <c r="A59" s="6"/>
      <c r="B59" s="6"/>
      <c r="C59" s="35"/>
      <c r="D59" s="6"/>
      <c r="E59" s="6"/>
      <c r="F59" s="6"/>
      <c r="G59" s="6"/>
      <c r="H59" s="6"/>
      <c r="I59" s="6"/>
    </row>
    <row r="60" spans="1:12" x14ac:dyDescent="0.3">
      <c r="A60" s="6"/>
      <c r="B60" s="6"/>
      <c r="C60" s="35"/>
      <c r="D60" s="6"/>
      <c r="E60" s="6"/>
      <c r="F60" s="6"/>
      <c r="G60" s="6"/>
      <c r="H60" s="6"/>
      <c r="I60" s="6"/>
    </row>
    <row r="217" spans="4:4" x14ac:dyDescent="0.3">
      <c r="D217" t="s">
        <v>83</v>
      </c>
    </row>
    <row r="218" spans="4:4" x14ac:dyDescent="0.3">
      <c r="D218" t="s">
        <v>84</v>
      </c>
    </row>
  </sheetData>
  <mergeCells count="2">
    <mergeCell ref="A1:I1"/>
    <mergeCell ref="A15:I15"/>
  </mergeCells>
  <conditionalFormatting sqref="J17:L50">
    <cfRule type="cellIs" dxfId="0" priority="2" operator="equal">
      <formula>"benar"</formula>
    </cfRule>
    <cfRule type="cellIs" dxfId="1" priority="1" operator="equal">
      <formula>"salah"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5504-6B1D-4D25-B624-23A27D007AC4}">
  <dimension ref="A1:I34"/>
  <sheetViews>
    <sheetView topLeftCell="D1" workbookViewId="0">
      <selection activeCell="C1" sqref="C1:C1048576"/>
    </sheetView>
  </sheetViews>
  <sheetFormatPr defaultRowHeight="14.4" x14ac:dyDescent="0.3"/>
  <cols>
    <col min="1" max="1" width="7.88671875" bestFit="1" customWidth="1"/>
    <col min="2" max="2" width="33.33203125" bestFit="1" customWidth="1"/>
    <col min="3" max="3" width="49.44140625" style="2" customWidth="1"/>
    <col min="4" max="4" width="46.21875" bestFit="1" customWidth="1"/>
    <col min="5" max="5" width="16.5546875" bestFit="1" customWidth="1"/>
    <col min="6" max="6" width="62.88671875" bestFit="1" customWidth="1"/>
    <col min="7" max="7" width="23.6640625" bestFit="1" customWidth="1"/>
    <col min="8" max="8" width="13.88671875" bestFit="1" customWidth="1"/>
    <col min="9" max="9" width="14.44140625" bestFit="1" customWidth="1"/>
  </cols>
  <sheetData>
    <row r="1" spans="1:9" x14ac:dyDescent="0.3">
      <c r="A1" s="39" t="s">
        <v>67</v>
      </c>
      <c r="B1" s="39" t="s">
        <v>72</v>
      </c>
      <c r="C1" s="14" t="s">
        <v>73</v>
      </c>
      <c r="D1" s="39" t="s">
        <v>74</v>
      </c>
      <c r="E1" s="39" t="s">
        <v>75</v>
      </c>
      <c r="F1" s="39" t="s">
        <v>76</v>
      </c>
      <c r="G1" s="39" t="s">
        <v>77</v>
      </c>
      <c r="H1" s="39" t="s">
        <v>69</v>
      </c>
      <c r="I1" s="39" t="s">
        <v>70</v>
      </c>
    </row>
    <row r="2" spans="1:9" ht="28.8" x14ac:dyDescent="0.3">
      <c r="A2" s="39">
        <v>1</v>
      </c>
      <c r="B2" s="39" t="s">
        <v>78</v>
      </c>
      <c r="C2" s="14" t="s">
        <v>79</v>
      </c>
      <c r="D2" s="39" t="s">
        <v>80</v>
      </c>
      <c r="E2" s="40">
        <v>80000000</v>
      </c>
      <c r="F2" s="39" t="s">
        <v>81</v>
      </c>
      <c r="G2" s="39" t="s">
        <v>3</v>
      </c>
      <c r="H2" s="40">
        <v>80000000</v>
      </c>
      <c r="I2" s="39" t="s">
        <v>2</v>
      </c>
    </row>
    <row r="3" spans="1:9" x14ac:dyDescent="0.3">
      <c r="A3" s="41"/>
      <c r="B3" s="42"/>
      <c r="C3" s="37"/>
      <c r="D3" s="42"/>
      <c r="E3" s="5"/>
      <c r="F3" s="42"/>
      <c r="G3" s="42" t="s">
        <v>11</v>
      </c>
      <c r="H3" s="5">
        <v>8800000</v>
      </c>
      <c r="I3" s="5" t="s">
        <v>2</v>
      </c>
    </row>
    <row r="4" spans="1:9" x14ac:dyDescent="0.3">
      <c r="A4" s="41"/>
      <c r="B4" s="42"/>
      <c r="C4" s="37"/>
      <c r="D4" s="42"/>
      <c r="E4" s="5"/>
      <c r="F4" s="42"/>
      <c r="G4" s="42" t="s">
        <v>6</v>
      </c>
      <c r="H4" s="5" t="s">
        <v>2</v>
      </c>
      <c r="I4" s="5">
        <v>88800000</v>
      </c>
    </row>
    <row r="5" spans="1:9" ht="43.2" x14ac:dyDescent="0.3">
      <c r="A5" s="41">
        <v>2</v>
      </c>
      <c r="B5" s="42" t="s">
        <v>12</v>
      </c>
      <c r="C5" s="37" t="s">
        <v>102</v>
      </c>
      <c r="D5" s="42" t="s">
        <v>13</v>
      </c>
      <c r="E5" s="5">
        <v>120000000</v>
      </c>
      <c r="F5" s="42" t="s">
        <v>14</v>
      </c>
      <c r="G5" s="42" t="s">
        <v>1</v>
      </c>
      <c r="H5" s="5">
        <v>133200000</v>
      </c>
      <c r="I5" s="5" t="s">
        <v>2</v>
      </c>
    </row>
    <row r="6" spans="1:9" x14ac:dyDescent="0.3">
      <c r="A6" s="41"/>
      <c r="B6" s="42"/>
      <c r="C6" s="37"/>
      <c r="D6" s="42"/>
      <c r="E6" s="5"/>
      <c r="F6" s="42"/>
      <c r="G6" s="42" t="s">
        <v>15</v>
      </c>
      <c r="H6" s="5" t="s">
        <v>2</v>
      </c>
      <c r="I6" s="5">
        <v>120000000</v>
      </c>
    </row>
    <row r="7" spans="1:9" x14ac:dyDescent="0.3">
      <c r="A7" s="41"/>
      <c r="B7" s="42"/>
      <c r="C7" s="37"/>
      <c r="D7" s="42"/>
      <c r="E7" s="5"/>
      <c r="F7" s="42"/>
      <c r="G7" s="42" t="s">
        <v>16</v>
      </c>
      <c r="H7" s="5" t="s">
        <v>2</v>
      </c>
      <c r="I7" s="5">
        <v>13200000</v>
      </c>
    </row>
    <row r="8" spans="1:9" x14ac:dyDescent="0.3">
      <c r="A8" s="41"/>
      <c r="B8" s="42"/>
      <c r="C8" s="37"/>
      <c r="D8" s="42"/>
      <c r="E8" s="5"/>
      <c r="F8" s="42"/>
      <c r="G8" s="42" t="s">
        <v>17</v>
      </c>
      <c r="H8" s="5">
        <v>70000000</v>
      </c>
      <c r="I8" s="5" t="s">
        <v>2</v>
      </c>
    </row>
    <row r="9" spans="1:9" x14ac:dyDescent="0.3">
      <c r="A9" s="41"/>
      <c r="B9" s="42"/>
      <c r="C9" s="37"/>
      <c r="D9" s="42"/>
      <c r="E9" s="5"/>
      <c r="F9" s="42"/>
      <c r="G9" s="42" t="s">
        <v>3</v>
      </c>
      <c r="H9" s="5" t="s">
        <v>2</v>
      </c>
      <c r="I9" s="5">
        <v>70000000</v>
      </c>
    </row>
    <row r="10" spans="1:9" ht="43.2" x14ac:dyDescent="0.3">
      <c r="A10" s="41">
        <v>3</v>
      </c>
      <c r="B10" s="42" t="s">
        <v>82</v>
      </c>
      <c r="C10" s="37" t="s">
        <v>103</v>
      </c>
      <c r="D10" s="42" t="s">
        <v>18</v>
      </c>
      <c r="E10" s="5">
        <v>90000000</v>
      </c>
      <c r="F10" s="42" t="s">
        <v>19</v>
      </c>
      <c r="G10" s="42" t="s">
        <v>20</v>
      </c>
      <c r="H10" s="5">
        <v>99900000</v>
      </c>
      <c r="I10" s="5" t="s">
        <v>2</v>
      </c>
    </row>
    <row r="11" spans="1:9" x14ac:dyDescent="0.3">
      <c r="A11" s="41"/>
      <c r="B11" s="42"/>
      <c r="C11" s="37"/>
      <c r="D11" s="42"/>
      <c r="E11" s="5"/>
      <c r="F11" s="42"/>
      <c r="G11" s="42" t="s">
        <v>15</v>
      </c>
      <c r="H11" s="5" t="s">
        <v>2</v>
      </c>
      <c r="I11" s="5">
        <v>90000000</v>
      </c>
    </row>
    <row r="12" spans="1:9" x14ac:dyDescent="0.3">
      <c r="A12" s="41"/>
      <c r="B12" s="42"/>
      <c r="C12" s="37"/>
      <c r="D12" s="42"/>
      <c r="E12" s="5"/>
      <c r="F12" s="42"/>
      <c r="G12" s="42" t="s">
        <v>16</v>
      </c>
      <c r="H12" s="5" t="s">
        <v>2</v>
      </c>
      <c r="I12" s="5">
        <v>9900000</v>
      </c>
    </row>
    <row r="13" spans="1:9" x14ac:dyDescent="0.3">
      <c r="A13" s="41"/>
      <c r="B13" s="42"/>
      <c r="C13" s="37"/>
      <c r="D13" s="42"/>
      <c r="E13" s="5"/>
      <c r="F13" s="42"/>
      <c r="G13" s="42" t="s">
        <v>17</v>
      </c>
      <c r="H13" s="5">
        <v>50000000</v>
      </c>
      <c r="I13" s="5" t="s">
        <v>2</v>
      </c>
    </row>
    <row r="14" spans="1:9" x14ac:dyDescent="0.3">
      <c r="A14" s="41"/>
      <c r="B14" s="42"/>
      <c r="C14" s="37"/>
      <c r="D14" s="42"/>
      <c r="E14" s="5"/>
      <c r="F14" s="42"/>
      <c r="G14" s="42" t="s">
        <v>3</v>
      </c>
      <c r="H14" s="5" t="s">
        <v>2</v>
      </c>
      <c r="I14" s="5">
        <v>50000000</v>
      </c>
    </row>
    <row r="15" spans="1:9" ht="28.8" x14ac:dyDescent="0.3">
      <c r="A15" s="41">
        <v>4</v>
      </c>
      <c r="B15" s="42" t="s">
        <v>21</v>
      </c>
      <c r="C15" s="37" t="s">
        <v>104</v>
      </c>
      <c r="D15" s="42" t="s">
        <v>22</v>
      </c>
      <c r="E15" s="5">
        <v>8000000</v>
      </c>
      <c r="F15" s="42" t="s">
        <v>23</v>
      </c>
      <c r="G15" s="42" t="s">
        <v>6</v>
      </c>
      <c r="H15" s="5">
        <v>8880000</v>
      </c>
      <c r="I15" s="5" t="s">
        <v>2</v>
      </c>
    </row>
    <row r="16" spans="1:9" x14ac:dyDescent="0.3">
      <c r="A16" s="41"/>
      <c r="B16" s="42"/>
      <c r="C16" s="37"/>
      <c r="D16" s="42"/>
      <c r="E16" s="5"/>
      <c r="F16" s="42"/>
      <c r="G16" s="42" t="s">
        <v>3</v>
      </c>
      <c r="H16" s="5" t="s">
        <v>2</v>
      </c>
      <c r="I16" s="5">
        <v>8000000</v>
      </c>
    </row>
    <row r="17" spans="1:9" x14ac:dyDescent="0.3">
      <c r="A17" s="41"/>
      <c r="B17" s="42"/>
      <c r="C17" s="37"/>
      <c r="D17" s="42"/>
      <c r="E17" s="5"/>
      <c r="F17" s="42"/>
      <c r="G17" s="42" t="s">
        <v>11</v>
      </c>
      <c r="H17" s="5" t="s">
        <v>2</v>
      </c>
      <c r="I17" s="5">
        <v>880000</v>
      </c>
    </row>
    <row r="18" spans="1:9" ht="43.2" x14ac:dyDescent="0.3">
      <c r="A18" s="41">
        <v>5</v>
      </c>
      <c r="B18" s="42" t="s">
        <v>24</v>
      </c>
      <c r="C18" s="37" t="s">
        <v>105</v>
      </c>
      <c r="D18" s="42" t="s">
        <v>25</v>
      </c>
      <c r="E18" s="5">
        <v>10000000</v>
      </c>
      <c r="F18" s="42" t="s">
        <v>26</v>
      </c>
      <c r="G18" s="42" t="s">
        <v>27</v>
      </c>
      <c r="H18" s="5">
        <v>10000000</v>
      </c>
      <c r="I18" s="5" t="s">
        <v>2</v>
      </c>
    </row>
    <row r="19" spans="1:9" x14ac:dyDescent="0.3">
      <c r="A19" s="41"/>
      <c r="B19" s="42"/>
      <c r="C19" s="37"/>
      <c r="D19" s="42"/>
      <c r="E19" s="5"/>
      <c r="F19" s="42"/>
      <c r="G19" s="42" t="s">
        <v>16</v>
      </c>
      <c r="H19" s="5">
        <v>1100000</v>
      </c>
      <c r="I19" s="5" t="s">
        <v>2</v>
      </c>
    </row>
    <row r="20" spans="1:9" x14ac:dyDescent="0.3">
      <c r="A20" s="41"/>
      <c r="B20" s="42"/>
      <c r="C20" s="37"/>
      <c r="D20" s="42"/>
      <c r="E20" s="5"/>
      <c r="F20" s="42"/>
      <c r="G20" s="42" t="s">
        <v>20</v>
      </c>
      <c r="H20" s="5" t="s">
        <v>2</v>
      </c>
      <c r="I20" s="5">
        <v>11100000</v>
      </c>
    </row>
    <row r="21" spans="1:9" x14ac:dyDescent="0.3">
      <c r="A21" s="41"/>
      <c r="B21" s="42"/>
      <c r="C21" s="37"/>
      <c r="D21" s="42"/>
      <c r="E21" s="5"/>
      <c r="F21" s="42"/>
      <c r="G21" s="42" t="s">
        <v>3</v>
      </c>
      <c r="H21" s="5">
        <v>6000000</v>
      </c>
      <c r="I21" s="5" t="s">
        <v>2</v>
      </c>
    </row>
    <row r="22" spans="1:9" x14ac:dyDescent="0.3">
      <c r="A22" s="41"/>
      <c r="B22" s="42"/>
      <c r="C22" s="37"/>
      <c r="D22" s="42"/>
      <c r="E22" s="5"/>
      <c r="F22" s="42"/>
      <c r="G22" s="42" t="s">
        <v>17</v>
      </c>
      <c r="H22" s="5" t="s">
        <v>2</v>
      </c>
      <c r="I22" s="5">
        <v>6000000</v>
      </c>
    </row>
    <row r="23" spans="1:9" ht="28.8" x14ac:dyDescent="0.3">
      <c r="A23" s="41">
        <v>6</v>
      </c>
      <c r="B23" s="42" t="s">
        <v>28</v>
      </c>
      <c r="C23" s="37" t="s">
        <v>106</v>
      </c>
      <c r="D23" s="42" t="s">
        <v>29</v>
      </c>
      <c r="E23" s="5">
        <v>50000000</v>
      </c>
      <c r="F23" s="42" t="s">
        <v>30</v>
      </c>
      <c r="G23" s="42" t="s">
        <v>6</v>
      </c>
      <c r="H23" s="5">
        <v>50000000</v>
      </c>
      <c r="I23" s="5" t="s">
        <v>2</v>
      </c>
    </row>
    <row r="24" spans="1:9" x14ac:dyDescent="0.3">
      <c r="A24" s="41"/>
      <c r="B24" s="42"/>
      <c r="C24" s="37"/>
      <c r="D24" s="42"/>
      <c r="E24" s="5"/>
      <c r="F24" s="42"/>
      <c r="G24" s="42" t="s">
        <v>1</v>
      </c>
      <c r="H24" s="5" t="s">
        <v>2</v>
      </c>
      <c r="I24" s="5">
        <v>50000000</v>
      </c>
    </row>
    <row r="25" spans="1:9" ht="28.8" x14ac:dyDescent="0.3">
      <c r="A25" s="41">
        <v>7</v>
      </c>
      <c r="B25" s="42" t="s">
        <v>31</v>
      </c>
      <c r="C25" s="37" t="s">
        <v>107</v>
      </c>
      <c r="D25" s="42" t="s">
        <v>32</v>
      </c>
      <c r="E25" s="5">
        <v>5000000</v>
      </c>
      <c r="F25" s="42" t="s">
        <v>33</v>
      </c>
      <c r="G25" s="42" t="s">
        <v>34</v>
      </c>
      <c r="H25" s="5">
        <v>5000000</v>
      </c>
      <c r="I25" s="5" t="s">
        <v>2</v>
      </c>
    </row>
    <row r="26" spans="1:9" x14ac:dyDescent="0.3">
      <c r="A26" s="41"/>
      <c r="B26" s="42"/>
      <c r="C26" s="37"/>
      <c r="D26" s="42"/>
      <c r="E26" s="5"/>
      <c r="F26" s="42"/>
      <c r="G26" s="42" t="s">
        <v>1</v>
      </c>
      <c r="H26" s="5" t="s">
        <v>2</v>
      </c>
      <c r="I26" s="5">
        <v>5000000</v>
      </c>
    </row>
    <row r="27" spans="1:9" ht="28.8" x14ac:dyDescent="0.3">
      <c r="A27" s="41">
        <v>8</v>
      </c>
      <c r="B27" s="42" t="s">
        <v>35</v>
      </c>
      <c r="C27" s="37" t="s">
        <v>108</v>
      </c>
      <c r="D27" s="42" t="s">
        <v>36</v>
      </c>
      <c r="E27" s="5">
        <v>12000000</v>
      </c>
      <c r="F27" s="42" t="s">
        <v>37</v>
      </c>
      <c r="G27" s="42" t="s">
        <v>38</v>
      </c>
      <c r="H27" s="5">
        <v>12000000</v>
      </c>
      <c r="I27" s="5" t="s">
        <v>2</v>
      </c>
    </row>
    <row r="28" spans="1:9" x14ac:dyDescent="0.3">
      <c r="A28" s="41"/>
      <c r="B28" s="42"/>
      <c r="C28" s="37"/>
      <c r="D28" s="42"/>
      <c r="E28" s="5"/>
      <c r="F28" s="42"/>
      <c r="G28" s="42" t="s">
        <v>1</v>
      </c>
      <c r="H28" s="5" t="s">
        <v>2</v>
      </c>
      <c r="I28" s="5">
        <v>12000000</v>
      </c>
    </row>
    <row r="29" spans="1:9" ht="28.8" x14ac:dyDescent="0.3">
      <c r="A29" s="41">
        <v>9</v>
      </c>
      <c r="B29" s="42" t="s">
        <v>39</v>
      </c>
      <c r="C29" s="37" t="s">
        <v>109</v>
      </c>
      <c r="D29" s="42" t="s">
        <v>40</v>
      </c>
      <c r="E29" s="5">
        <v>30000000</v>
      </c>
      <c r="F29" s="42" t="s">
        <v>41</v>
      </c>
      <c r="G29" s="42" t="s">
        <v>4</v>
      </c>
      <c r="H29" s="5">
        <v>30000000</v>
      </c>
      <c r="I29" s="5" t="s">
        <v>2</v>
      </c>
    </row>
    <row r="30" spans="1:9" x14ac:dyDescent="0.3">
      <c r="A30" s="41"/>
      <c r="B30" s="42"/>
      <c r="C30" s="37"/>
      <c r="D30" s="42"/>
      <c r="E30" s="5"/>
      <c r="F30" s="42"/>
      <c r="G30" s="42" t="s">
        <v>11</v>
      </c>
      <c r="H30" s="5">
        <v>3300000</v>
      </c>
      <c r="I30" s="5" t="s">
        <v>2</v>
      </c>
    </row>
    <row r="31" spans="1:9" x14ac:dyDescent="0.3">
      <c r="A31" s="41"/>
      <c r="B31" s="42"/>
      <c r="C31" s="37"/>
      <c r="D31" s="42"/>
      <c r="E31" s="41"/>
      <c r="F31" s="42"/>
      <c r="G31" s="42" t="s">
        <v>1</v>
      </c>
      <c r="H31" s="41" t="s">
        <v>2</v>
      </c>
      <c r="I31" s="5">
        <v>33300000</v>
      </c>
    </row>
    <row r="32" spans="1:9" ht="43.2" x14ac:dyDescent="0.3">
      <c r="A32" s="41">
        <v>10</v>
      </c>
      <c r="B32" s="42" t="s">
        <v>42</v>
      </c>
      <c r="C32" s="37" t="s">
        <v>43</v>
      </c>
      <c r="D32" s="42" t="s">
        <v>44</v>
      </c>
      <c r="E32" s="5">
        <v>22000000</v>
      </c>
      <c r="F32" s="42" t="s">
        <v>45</v>
      </c>
      <c r="G32" s="42" t="s">
        <v>16</v>
      </c>
      <c r="H32" s="5">
        <v>22000000</v>
      </c>
      <c r="I32" s="41" t="s">
        <v>2</v>
      </c>
    </row>
    <row r="33" spans="1:9" x14ac:dyDescent="0.3">
      <c r="A33" s="41"/>
      <c r="B33" s="42"/>
      <c r="C33" s="37"/>
      <c r="D33" s="42"/>
      <c r="E33" s="41"/>
      <c r="F33" s="42"/>
      <c r="G33" s="42" t="s">
        <v>11</v>
      </c>
      <c r="H33" s="41" t="s">
        <v>2</v>
      </c>
      <c r="I33" s="5">
        <v>11220000</v>
      </c>
    </row>
    <row r="34" spans="1:9" x14ac:dyDescent="0.3">
      <c r="A34" s="41"/>
      <c r="B34" s="42"/>
      <c r="C34" s="37"/>
      <c r="D34" s="42"/>
      <c r="E34" s="41"/>
      <c r="F34" s="42"/>
      <c r="G34" s="42" t="s">
        <v>46</v>
      </c>
      <c r="H34" s="41" t="s">
        <v>2</v>
      </c>
      <c r="I34" s="5">
        <v>10780000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C1" sqref="C1:C1048576"/>
    </sheetView>
  </sheetViews>
  <sheetFormatPr defaultRowHeight="14.4" x14ac:dyDescent="0.3"/>
  <cols>
    <col min="1" max="1" width="34" customWidth="1"/>
    <col min="2" max="2" width="18" customWidth="1"/>
  </cols>
  <sheetData>
    <row r="1" spans="1:2" ht="17.55" customHeight="1" x14ac:dyDescent="0.3">
      <c r="A1" s="32" t="s">
        <v>85</v>
      </c>
      <c r="B1" s="32"/>
    </row>
    <row r="2" spans="1:2" ht="17.55" customHeight="1" x14ac:dyDescent="0.3">
      <c r="A2" s="18" t="s">
        <v>86</v>
      </c>
      <c r="B2" s="17"/>
    </row>
    <row r="3" spans="1:2" ht="17.55" customHeight="1" x14ac:dyDescent="0.3">
      <c r="A3" s="19" t="s">
        <v>87</v>
      </c>
      <c r="B3" s="17"/>
    </row>
    <row r="4" spans="1:2" ht="17.55" customHeight="1" x14ac:dyDescent="0.3">
      <c r="A4" s="19" t="s">
        <v>88</v>
      </c>
      <c r="B4" s="17"/>
    </row>
    <row r="5" spans="1:2" x14ac:dyDescent="0.3">
      <c r="A5" s="6"/>
      <c r="B5" s="6"/>
    </row>
    <row r="6" spans="1:2" x14ac:dyDescent="0.3">
      <c r="A6" s="14" t="s">
        <v>89</v>
      </c>
      <c r="B6" s="14" t="s">
        <v>49</v>
      </c>
    </row>
    <row r="7" spans="1:2" x14ac:dyDescent="0.3">
      <c r="A7" s="8" t="s">
        <v>15</v>
      </c>
      <c r="B7" s="16">
        <f>Sheet1!I22+Sheet1!I27</f>
        <v>210000000</v>
      </c>
    </row>
    <row r="8" spans="1:2" x14ac:dyDescent="0.3">
      <c r="A8" s="8" t="s">
        <v>27</v>
      </c>
      <c r="B8" s="16">
        <f>Sheet1!H34</f>
        <v>10000000</v>
      </c>
    </row>
    <row r="9" spans="1:2" x14ac:dyDescent="0.3">
      <c r="A9" s="20" t="s">
        <v>90</v>
      </c>
      <c r="B9" s="21">
        <f>B7-B8</f>
        <v>200000000</v>
      </c>
    </row>
    <row r="10" spans="1:2" x14ac:dyDescent="0.3">
      <c r="A10" s="8"/>
      <c r="B10" s="16"/>
    </row>
    <row r="11" spans="1:2" x14ac:dyDescent="0.3">
      <c r="A11" s="8" t="s">
        <v>91</v>
      </c>
      <c r="B11" s="16">
        <f>Sheet1!H24</f>
        <v>70000000</v>
      </c>
    </row>
    <row r="12" spans="1:2" x14ac:dyDescent="0.3">
      <c r="A12" s="8" t="s">
        <v>92</v>
      </c>
      <c r="B12" s="16">
        <f>Sheet1!H29</f>
        <v>50000000</v>
      </c>
    </row>
    <row r="13" spans="1:2" x14ac:dyDescent="0.3">
      <c r="A13" s="8" t="s">
        <v>93</v>
      </c>
      <c r="B13" s="16">
        <f>-Sheet1!I38</f>
        <v>-6000000</v>
      </c>
    </row>
    <row r="14" spans="1:2" x14ac:dyDescent="0.3">
      <c r="A14" s="20" t="s">
        <v>94</v>
      </c>
      <c r="B14" s="21">
        <f>SUM(B11:B13)</f>
        <v>114000000</v>
      </c>
    </row>
    <row r="15" spans="1:2" x14ac:dyDescent="0.3">
      <c r="A15" s="8"/>
      <c r="B15" s="16"/>
    </row>
    <row r="16" spans="1:2" x14ac:dyDescent="0.3">
      <c r="A16" s="20" t="s">
        <v>95</v>
      </c>
      <c r="B16" s="21">
        <f>B9-B14</f>
        <v>86000000</v>
      </c>
    </row>
    <row r="17" spans="1:2" x14ac:dyDescent="0.3">
      <c r="A17" s="8" t="s">
        <v>34</v>
      </c>
      <c r="B17" s="16">
        <f>Sheet1!H41</f>
        <v>5000000</v>
      </c>
    </row>
    <row r="18" spans="1:2" x14ac:dyDescent="0.3">
      <c r="A18" s="8" t="s">
        <v>38</v>
      </c>
      <c r="B18" s="16">
        <f>Sheet1!H43</f>
        <v>12000000</v>
      </c>
    </row>
    <row r="19" spans="1:2" x14ac:dyDescent="0.3">
      <c r="A19" s="20" t="s">
        <v>96</v>
      </c>
      <c r="B19" s="21">
        <f>SUM(B17:B18)</f>
        <v>17000000</v>
      </c>
    </row>
    <row r="20" spans="1:2" x14ac:dyDescent="0.3">
      <c r="A20" s="8"/>
      <c r="B20" s="16"/>
    </row>
    <row r="21" spans="1:2" x14ac:dyDescent="0.3">
      <c r="A21" s="22" t="s">
        <v>97</v>
      </c>
      <c r="B21" s="23">
        <f>B16-B19</f>
        <v>69000000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"/>
  <sheetViews>
    <sheetView workbookViewId="0">
      <selection sqref="A1:B1"/>
    </sheetView>
  </sheetViews>
  <sheetFormatPr defaultRowHeight="14.4" x14ac:dyDescent="0.3"/>
  <cols>
    <col min="1" max="1" width="34" customWidth="1"/>
    <col min="2" max="2" width="19" customWidth="1"/>
  </cols>
  <sheetData>
    <row r="1" spans="1:2" ht="18" x14ac:dyDescent="0.3">
      <c r="A1" s="32" t="s">
        <v>98</v>
      </c>
      <c r="B1" s="32"/>
    </row>
    <row r="2" spans="1:2" ht="46.8" x14ac:dyDescent="0.3">
      <c r="A2" s="18" t="s">
        <v>86</v>
      </c>
      <c r="B2" s="17"/>
    </row>
    <row r="3" spans="1:2" ht="17.399999999999999" x14ac:dyDescent="0.3">
      <c r="A3" s="19" t="s">
        <v>99</v>
      </c>
      <c r="B3" s="17"/>
    </row>
    <row r="4" spans="1:2" ht="17.399999999999999" x14ac:dyDescent="0.3">
      <c r="A4" s="19" t="s">
        <v>100</v>
      </c>
      <c r="B4" s="17"/>
    </row>
    <row r="5" spans="1:2" x14ac:dyDescent="0.3">
      <c r="A5" s="6"/>
      <c r="B5" s="6"/>
    </row>
    <row r="6" spans="1:2" ht="15.6" x14ac:dyDescent="0.3">
      <c r="A6" s="13" t="s">
        <v>47</v>
      </c>
      <c r="B6" s="13"/>
    </row>
    <row r="7" spans="1:2" x14ac:dyDescent="0.3">
      <c r="A7" s="6"/>
      <c r="B7" s="6"/>
    </row>
    <row r="8" spans="1:2" x14ac:dyDescent="0.3">
      <c r="A8" s="14" t="s">
        <v>48</v>
      </c>
      <c r="B8" s="14" t="s">
        <v>49</v>
      </c>
    </row>
    <row r="9" spans="1:2" x14ac:dyDescent="0.3">
      <c r="A9" s="8" t="s">
        <v>1</v>
      </c>
      <c r="B9" s="24">
        <f>Sheet1!C4+Sheet1!H21-SUM(Sheet1!I40,Sheet1!I42,Sheet1!I44,Sheet1!I47)</f>
        <v>232900000</v>
      </c>
    </row>
    <row r="10" spans="1:2" x14ac:dyDescent="0.3">
      <c r="A10" s="8" t="s">
        <v>20</v>
      </c>
      <c r="B10" s="24">
        <f>Sheet1!H26-Sheet1!I36</f>
        <v>88800000</v>
      </c>
    </row>
    <row r="11" spans="1:2" x14ac:dyDescent="0.3">
      <c r="A11" s="8" t="s">
        <v>3</v>
      </c>
      <c r="B11" s="24">
        <f>Sheet1!C5+Sheet1!H18+Sheet1!H37-SUM(Sheet1!I25,Sheet1!I30,Sheet1!I32)</f>
        <v>58000000</v>
      </c>
    </row>
    <row r="12" spans="1:2" x14ac:dyDescent="0.3">
      <c r="A12" s="20" t="s">
        <v>50</v>
      </c>
      <c r="B12" s="28">
        <f>SUM(B9:B11)</f>
        <v>379700000</v>
      </c>
    </row>
    <row r="13" spans="1:2" x14ac:dyDescent="0.3">
      <c r="A13" s="14" t="s">
        <v>51</v>
      </c>
      <c r="B13" s="27" t="s">
        <v>49</v>
      </c>
    </row>
    <row r="14" spans="1:2" x14ac:dyDescent="0.3">
      <c r="A14" s="8" t="s">
        <v>4</v>
      </c>
      <c r="B14" s="24">
        <f>Sheet1!C6+Sheet1!H45</f>
        <v>80000000</v>
      </c>
    </row>
    <row r="15" spans="1:2" x14ac:dyDescent="0.3">
      <c r="A15" s="8" t="s">
        <v>5</v>
      </c>
      <c r="B15" s="24">
        <f>-Sheet1!D7</f>
        <v>-10000000</v>
      </c>
    </row>
    <row r="16" spans="1:2" x14ac:dyDescent="0.3">
      <c r="A16" s="20" t="s">
        <v>52</v>
      </c>
      <c r="B16" s="28">
        <f>SUM(B14:B15)</f>
        <v>70000000</v>
      </c>
    </row>
    <row r="17" spans="1:2" x14ac:dyDescent="0.3">
      <c r="A17" s="11"/>
      <c r="B17" s="25"/>
    </row>
    <row r="18" spans="1:2" x14ac:dyDescent="0.3">
      <c r="A18" s="29" t="s">
        <v>53</v>
      </c>
      <c r="B18" s="30">
        <f>B12+B16</f>
        <v>449700000</v>
      </c>
    </row>
    <row r="19" spans="1:2" x14ac:dyDescent="0.3">
      <c r="A19" s="6"/>
      <c r="B19" s="16"/>
    </row>
    <row r="20" spans="1:2" x14ac:dyDescent="0.3">
      <c r="A20" s="6"/>
      <c r="B20" s="16"/>
    </row>
    <row r="21" spans="1:2" ht="15.6" x14ac:dyDescent="0.3">
      <c r="A21" s="13" t="s">
        <v>54</v>
      </c>
      <c r="B21" s="26"/>
    </row>
    <row r="22" spans="1:2" x14ac:dyDescent="0.3">
      <c r="A22" s="6"/>
      <c r="B22" s="16"/>
    </row>
    <row r="23" spans="1:2" x14ac:dyDescent="0.3">
      <c r="A23" s="14" t="s">
        <v>55</v>
      </c>
      <c r="B23" s="27" t="s">
        <v>49</v>
      </c>
    </row>
    <row r="24" spans="1:2" x14ac:dyDescent="0.3">
      <c r="A24" s="8" t="s">
        <v>6</v>
      </c>
      <c r="B24" s="24">
        <f>Sheet1!D8+Sheet1!I20-SUM(Sheet1!H31,Sheet1!H39)</f>
        <v>69920000</v>
      </c>
    </row>
    <row r="25" spans="1:2" x14ac:dyDescent="0.3">
      <c r="A25" s="8" t="s">
        <v>7</v>
      </c>
      <c r="B25" s="24">
        <f>Sheet1!D9</f>
        <v>50000000</v>
      </c>
    </row>
    <row r="26" spans="1:2" x14ac:dyDescent="0.3">
      <c r="A26" s="8" t="s">
        <v>46</v>
      </c>
      <c r="B26" s="24">
        <f>Sheet1!I50</f>
        <v>10780000</v>
      </c>
    </row>
    <row r="27" spans="1:2" x14ac:dyDescent="0.3">
      <c r="A27" s="20" t="s">
        <v>56</v>
      </c>
      <c r="B27" s="28">
        <f>SUM(B24:B26)</f>
        <v>130700000</v>
      </c>
    </row>
    <row r="28" spans="1:2" x14ac:dyDescent="0.3">
      <c r="A28" s="6"/>
      <c r="B28" s="16"/>
    </row>
    <row r="29" spans="1:2" ht="15.6" x14ac:dyDescent="0.3">
      <c r="A29" s="13" t="s">
        <v>57</v>
      </c>
      <c r="B29" s="26"/>
    </row>
    <row r="30" spans="1:2" x14ac:dyDescent="0.3">
      <c r="A30" s="6"/>
      <c r="B30" s="16"/>
    </row>
    <row r="31" spans="1:2" x14ac:dyDescent="0.3">
      <c r="A31" s="14" t="s">
        <v>58</v>
      </c>
      <c r="B31" s="27" t="s">
        <v>49</v>
      </c>
    </row>
    <row r="32" spans="1:2" x14ac:dyDescent="0.3">
      <c r="A32" s="8" t="s">
        <v>8</v>
      </c>
      <c r="B32" s="24">
        <f>Sheet1!D10</f>
        <v>250000000</v>
      </c>
    </row>
    <row r="33" spans="1:2" x14ac:dyDescent="0.3">
      <c r="A33" s="8" t="s">
        <v>59</v>
      </c>
      <c r="B33" s="24">
        <f>Sheet2!B21</f>
        <v>69000000</v>
      </c>
    </row>
    <row r="34" spans="1:2" x14ac:dyDescent="0.3">
      <c r="A34" s="20" t="s">
        <v>60</v>
      </c>
      <c r="B34" s="28">
        <f>SUM(B32:B33)</f>
        <v>319000000</v>
      </c>
    </row>
    <row r="35" spans="1:2" x14ac:dyDescent="0.3">
      <c r="A35" s="6"/>
      <c r="B35" s="16"/>
    </row>
    <row r="36" spans="1:2" ht="17.399999999999999" x14ac:dyDescent="0.3">
      <c r="A36" s="15" t="s">
        <v>61</v>
      </c>
      <c r="B36" s="16"/>
    </row>
    <row r="37" spans="1:2" ht="15.6" x14ac:dyDescent="0.3">
      <c r="A37" s="13"/>
      <c r="B37" s="26"/>
    </row>
    <row r="38" spans="1:2" x14ac:dyDescent="0.3">
      <c r="A38" s="14" t="s">
        <v>101</v>
      </c>
      <c r="B38" s="27" t="s">
        <v>49</v>
      </c>
    </row>
    <row r="39" spans="1:2" x14ac:dyDescent="0.3">
      <c r="A39" s="20" t="s">
        <v>62</v>
      </c>
      <c r="B39" s="28">
        <f>B18</f>
        <v>449700000</v>
      </c>
    </row>
    <row r="40" spans="1:2" x14ac:dyDescent="0.3">
      <c r="A40" s="20" t="s">
        <v>63</v>
      </c>
      <c r="B40" s="28">
        <f>B27+B34</f>
        <v>449700000</v>
      </c>
    </row>
    <row r="41" spans="1:2" x14ac:dyDescent="0.3">
      <c r="A41" s="22" t="s">
        <v>64</v>
      </c>
      <c r="B41" s="31">
        <f>B39-B40</f>
        <v>0</v>
      </c>
    </row>
    <row r="42" spans="1:2" x14ac:dyDescent="0.3">
      <c r="A42" s="22" t="s">
        <v>65</v>
      </c>
      <c r="B42" s="22" t="str">
        <f>IF(B41=0,"BALANCE ✅","TIDAK BALANCE ❌")</f>
        <v>BALANCE ✅</v>
      </c>
    </row>
  </sheetData>
  <mergeCells count="1">
    <mergeCell ref="A1:B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xaviaro 836</dc:creator>
  <cp:lastModifiedBy>xaviaro 836</cp:lastModifiedBy>
  <dcterms:created xsi:type="dcterms:W3CDTF">2026-09-14T14:25:25Z</dcterms:created>
  <dcterms:modified xsi:type="dcterms:W3CDTF">2026-09-14T14:31:00Z</dcterms:modified>
</cp:coreProperties>
</file>
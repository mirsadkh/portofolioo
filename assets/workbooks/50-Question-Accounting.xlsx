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Buku_Kerja_Ini"/>
  <mc:AlternateContent xmlns:mc="http://schemas.openxmlformats.org/markup-compatibility/2006">
    <mc:Choice Requires="x15">
      <x15ac:absPath xmlns:x15ac="http://schemas.microsoft.com/office/spreadsheetml/2010/11/ac" url="C:\Users\MyBook Hype AMD\OneDrive\Desktop\OneDrive\Documents\belajar\soal\"/>
    </mc:Choice>
  </mc:AlternateContent>
  <xr:revisionPtr revIDLastSave="0" documentId="13_ncr:1_{80489557-44E4-4592-B3E2-C4634F559F20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Petunjuk" sheetId="1" r:id="rId1"/>
    <sheet name="COA" sheetId="2" r:id="rId2"/>
    <sheet name="Soal_dan_Jurnal" sheetId="3" r:id="rId3"/>
    <sheet name="Kunci_Jurnal" sheetId="4" r:id="rId4"/>
    <sheet name="Buku_Besar" sheetId="9" r:id="rId5"/>
    <sheet name="Neraca_Saldo" sheetId="7" r:id="rId6"/>
    <sheet name="Jurnal_Penyesuaian" sheetId="5" r:id="rId7"/>
    <sheet name="Kunci_Penyesuaian" sheetId="6" r:id="rId8"/>
    <sheet name="NS_Setelah_Penyesuaian" sheetId="8" r:id="rId9"/>
    <sheet name="Laporan_Keuangan" sheetId="10" r:id="rId10"/>
    <sheet name="Jurnal_Penutup" sheetId="11" r:id="rId11"/>
    <sheet name="NS_Setelah_Penutupan" sheetId="12" r:id="rId12"/>
    <sheet name="Kamus_Rumus" sheetId="13" r:id="rId13"/>
  </sheets>
  <definedNames>
    <definedName name="_xlnm._FilterDatabase" localSheetId="6" hidden="1">Jurnal_Penyesuaian!$B$3:$H$3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0" l="1"/>
  <c r="E43" i="10"/>
  <c r="E44" i="10"/>
  <c r="E45" i="10"/>
  <c r="E46" i="10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34" i="11"/>
  <c r="D33" i="11"/>
  <c r="K5" i="9"/>
  <c r="L5" i="9"/>
  <c r="K6" i="9"/>
  <c r="L6" i="9"/>
  <c r="K7" i="9"/>
  <c r="L7" i="9"/>
  <c r="K8" i="9"/>
  <c r="L8" i="9"/>
  <c r="K9" i="9"/>
  <c r="L9" i="9"/>
  <c r="K10" i="9"/>
  <c r="L10" i="9"/>
  <c r="K11" i="9"/>
  <c r="L11" i="9"/>
  <c r="K12" i="9"/>
  <c r="L12" i="9"/>
  <c r="K13" i="9"/>
  <c r="L13" i="9"/>
  <c r="K14" i="9"/>
  <c r="L14" i="9"/>
  <c r="K15" i="9"/>
  <c r="L15" i="9"/>
  <c r="K16" i="9"/>
  <c r="L16" i="9"/>
  <c r="K17" i="9"/>
  <c r="L17" i="9"/>
  <c r="K18" i="9"/>
  <c r="L18" i="9"/>
  <c r="K19" i="9"/>
  <c r="L19" i="9"/>
  <c r="K20" i="9"/>
  <c r="L20" i="9"/>
  <c r="K21" i="9"/>
  <c r="L21" i="9"/>
  <c r="K22" i="9"/>
  <c r="L22" i="9"/>
  <c r="K23" i="9"/>
  <c r="L23" i="9"/>
  <c r="K24" i="9"/>
  <c r="L24" i="9"/>
  <c r="K25" i="9"/>
  <c r="L25" i="9"/>
  <c r="K26" i="9"/>
  <c r="L26" i="9"/>
  <c r="K27" i="9"/>
  <c r="L27" i="9"/>
  <c r="K28" i="9"/>
  <c r="L28" i="9"/>
  <c r="K29" i="9"/>
  <c r="L29" i="9"/>
  <c r="K30" i="9"/>
  <c r="L30" i="9"/>
  <c r="K31" i="9"/>
  <c r="L31" i="9"/>
  <c r="K32" i="9"/>
  <c r="L32" i="9"/>
  <c r="K33" i="9"/>
  <c r="L33" i="9"/>
  <c r="K34" i="9"/>
  <c r="L34" i="9"/>
  <c r="K35" i="9"/>
  <c r="L35" i="9"/>
  <c r="K36" i="9"/>
  <c r="L36" i="9"/>
  <c r="K37" i="9"/>
  <c r="L37" i="9"/>
  <c r="K38" i="9"/>
  <c r="L38" i="9"/>
  <c r="K39" i="9"/>
  <c r="L39" i="9"/>
  <c r="K40" i="9"/>
  <c r="L40" i="9"/>
  <c r="K41" i="9"/>
  <c r="L41" i="9"/>
  <c r="K42" i="9"/>
  <c r="L42" i="9"/>
  <c r="K43" i="9"/>
  <c r="L43" i="9"/>
  <c r="K44" i="9"/>
  <c r="L44" i="9"/>
  <c r="K45" i="9"/>
  <c r="L45" i="9"/>
  <c r="K46" i="9"/>
  <c r="L46" i="9"/>
  <c r="K47" i="9"/>
  <c r="L47" i="9"/>
  <c r="K48" i="9"/>
  <c r="L48" i="9"/>
  <c r="K49" i="9"/>
  <c r="L49" i="9"/>
  <c r="K50" i="9"/>
  <c r="L50" i="9"/>
  <c r="K51" i="9"/>
  <c r="L51" i="9"/>
  <c r="K52" i="9"/>
  <c r="L52" i="9"/>
  <c r="K53" i="9"/>
  <c r="L53" i="9"/>
  <c r="K54" i="9"/>
  <c r="L54" i="9"/>
  <c r="K55" i="9"/>
  <c r="L55" i="9"/>
  <c r="K56" i="9"/>
  <c r="L56" i="9"/>
  <c r="K57" i="9"/>
  <c r="L57" i="9"/>
  <c r="K58" i="9"/>
  <c r="L58" i="9"/>
  <c r="K59" i="9"/>
  <c r="L59" i="9"/>
  <c r="K60" i="9"/>
  <c r="L60" i="9"/>
  <c r="K61" i="9"/>
  <c r="L61" i="9"/>
  <c r="K62" i="9"/>
  <c r="L62" i="9"/>
  <c r="K63" i="9"/>
  <c r="L63" i="9"/>
  <c r="K64" i="9"/>
  <c r="L64" i="9"/>
  <c r="K65" i="9"/>
  <c r="L65" i="9"/>
  <c r="K66" i="9"/>
  <c r="L66" i="9"/>
  <c r="K67" i="9"/>
  <c r="L67" i="9"/>
  <c r="L4" i="9"/>
  <c r="K4" i="9"/>
  <c r="I5" i="9"/>
  <c r="J5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I13" i="9"/>
  <c r="J13" i="9"/>
  <c r="I14" i="9"/>
  <c r="J14" i="9"/>
  <c r="I15" i="9"/>
  <c r="J15" i="9"/>
  <c r="I16" i="9"/>
  <c r="J16" i="9"/>
  <c r="I17" i="9"/>
  <c r="J17" i="9"/>
  <c r="I18" i="9"/>
  <c r="J18" i="9"/>
  <c r="I19" i="9"/>
  <c r="J19" i="9"/>
  <c r="I20" i="9"/>
  <c r="J20" i="9"/>
  <c r="I21" i="9"/>
  <c r="J21" i="9"/>
  <c r="I22" i="9"/>
  <c r="J22" i="9"/>
  <c r="I23" i="9"/>
  <c r="J23" i="9"/>
  <c r="I24" i="9"/>
  <c r="J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3" i="9"/>
  <c r="J33" i="9"/>
  <c r="I34" i="9"/>
  <c r="J34" i="9"/>
  <c r="I35" i="9"/>
  <c r="J35" i="9"/>
  <c r="I36" i="9"/>
  <c r="J36" i="9"/>
  <c r="I37" i="9"/>
  <c r="J37" i="9"/>
  <c r="I38" i="9"/>
  <c r="J38" i="9"/>
  <c r="I39" i="9"/>
  <c r="J39" i="9"/>
  <c r="I40" i="9"/>
  <c r="J40" i="9"/>
  <c r="I41" i="9"/>
  <c r="J41" i="9"/>
  <c r="I42" i="9"/>
  <c r="J42" i="9"/>
  <c r="I43" i="9"/>
  <c r="J43" i="9"/>
  <c r="I44" i="9"/>
  <c r="J44" i="9"/>
  <c r="I45" i="9"/>
  <c r="J45" i="9"/>
  <c r="I46" i="9"/>
  <c r="J46" i="9"/>
  <c r="I47" i="9"/>
  <c r="J47" i="9"/>
  <c r="I48" i="9"/>
  <c r="J48" i="9"/>
  <c r="I49" i="9"/>
  <c r="J49" i="9"/>
  <c r="I50" i="9"/>
  <c r="J50" i="9"/>
  <c r="I51" i="9"/>
  <c r="J51" i="9"/>
  <c r="I52" i="9"/>
  <c r="J52" i="9"/>
  <c r="I53" i="9"/>
  <c r="J53" i="9"/>
  <c r="I54" i="9"/>
  <c r="J54" i="9"/>
  <c r="I55" i="9"/>
  <c r="J55" i="9"/>
  <c r="I56" i="9"/>
  <c r="J56" i="9"/>
  <c r="I57" i="9"/>
  <c r="J57" i="9"/>
  <c r="I58" i="9"/>
  <c r="J58" i="9"/>
  <c r="I59" i="9"/>
  <c r="J59" i="9"/>
  <c r="I60" i="9"/>
  <c r="J60" i="9"/>
  <c r="I61" i="9"/>
  <c r="J61" i="9"/>
  <c r="I62" i="9"/>
  <c r="J62" i="9"/>
  <c r="I63" i="9"/>
  <c r="J63" i="9"/>
  <c r="I64" i="9"/>
  <c r="J64" i="9"/>
  <c r="I65" i="9"/>
  <c r="J65" i="9"/>
  <c r="I66" i="9"/>
  <c r="J66" i="9"/>
  <c r="I67" i="9"/>
  <c r="J67" i="9"/>
  <c r="I69" i="9"/>
  <c r="J69" i="9"/>
  <c r="I4" i="9"/>
  <c r="J4" i="9"/>
  <c r="M5" i="9" l="1"/>
  <c r="N6" i="9"/>
  <c r="N7" i="9"/>
  <c r="M8" i="9"/>
  <c r="M9" i="9"/>
  <c r="N10" i="9"/>
  <c r="N11" i="9"/>
  <c r="M12" i="9"/>
  <c r="M13" i="9"/>
  <c r="N14" i="9"/>
  <c r="N15" i="9"/>
  <c r="M16" i="9"/>
  <c r="M17" i="9"/>
  <c r="N18" i="9"/>
  <c r="N19" i="9"/>
  <c r="M20" i="9"/>
  <c r="M21" i="9"/>
  <c r="N22" i="9"/>
  <c r="N23" i="9"/>
  <c r="M24" i="9"/>
  <c r="M25" i="9"/>
  <c r="N26" i="9"/>
  <c r="N27" i="9"/>
  <c r="M28" i="9"/>
  <c r="M29" i="9"/>
  <c r="N30" i="9"/>
  <c r="N31" i="9"/>
  <c r="M32" i="9"/>
  <c r="M33" i="9"/>
  <c r="N34" i="9"/>
  <c r="N36" i="9"/>
  <c r="N37" i="9"/>
  <c r="N38" i="9"/>
  <c r="N4" i="9"/>
  <c r="M36" i="9" l="1"/>
  <c r="M27" i="9"/>
  <c r="M23" i="9"/>
  <c r="M15" i="9"/>
  <c r="M7" i="9"/>
  <c r="M34" i="9"/>
  <c r="M30" i="9"/>
  <c r="M26" i="9"/>
  <c r="M22" i="9"/>
  <c r="M18" i="9"/>
  <c r="M14" i="9"/>
  <c r="M10" i="9"/>
  <c r="M6" i="9"/>
  <c r="M62" i="9"/>
  <c r="M38" i="9"/>
  <c r="N33" i="9"/>
  <c r="N29" i="9"/>
  <c r="N25" i="9"/>
  <c r="N21" i="9"/>
  <c r="N17" i="9"/>
  <c r="N13" i="9"/>
  <c r="N9" i="9"/>
  <c r="N5" i="9"/>
  <c r="M31" i="9"/>
  <c r="M19" i="9"/>
  <c r="M11" i="9"/>
  <c r="M37" i="9"/>
  <c r="N32" i="9"/>
  <c r="N28" i="9"/>
  <c r="N24" i="9"/>
  <c r="N20" i="9"/>
  <c r="N16" i="9"/>
  <c r="N12" i="9"/>
  <c r="N8" i="9"/>
  <c r="M4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B8" i="10" s="1"/>
  <c r="F45" i="8"/>
  <c r="B9" i="10" s="1"/>
  <c r="F46" i="8"/>
  <c r="B10" i="10" s="1"/>
  <c r="F47" i="8"/>
  <c r="B11" i="10" s="1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E4" i="8"/>
  <c r="E5" i="8"/>
  <c r="E6" i="8"/>
  <c r="E7" i="10" s="1"/>
  <c r="E7" i="8"/>
  <c r="E8" i="10" s="1"/>
  <c r="E8" i="8"/>
  <c r="E9" i="10" s="1"/>
  <c r="E9" i="8"/>
  <c r="E10" i="10" s="1"/>
  <c r="E10" i="8"/>
  <c r="E11" i="8"/>
  <c r="E12" i="8"/>
  <c r="E13" i="8"/>
  <c r="E14" i="8"/>
  <c r="E15" i="10" s="1"/>
  <c r="E15" i="8"/>
  <c r="E16" i="10" s="1"/>
  <c r="E16" i="8"/>
  <c r="E17" i="10" s="1"/>
  <c r="E17" i="8"/>
  <c r="E18" i="10" s="1"/>
  <c r="E18" i="8"/>
  <c r="E19" i="8"/>
  <c r="E20" i="8"/>
  <c r="E21" i="8"/>
  <c r="E22" i="8"/>
  <c r="E23" i="8"/>
  <c r="E27" i="10" s="1"/>
  <c r="E24" i="8"/>
  <c r="E25" i="8"/>
  <c r="E26" i="8"/>
  <c r="E27" i="8"/>
  <c r="E28" i="8"/>
  <c r="E32" i="10" s="1"/>
  <c r="E29" i="8"/>
  <c r="E33" i="10" s="1"/>
  <c r="E30" i="8"/>
  <c r="E34" i="10" s="1"/>
  <c r="E31" i="8"/>
  <c r="E35" i="10" s="1"/>
  <c r="E32" i="8"/>
  <c r="E36" i="10" s="1"/>
  <c r="E33" i="8"/>
  <c r="E34" i="8"/>
  <c r="E35" i="8"/>
  <c r="E36" i="8"/>
  <c r="E37" i="8"/>
  <c r="E38" i="8"/>
  <c r="E39" i="8"/>
  <c r="E48" i="10" s="1"/>
  <c r="E40" i="8"/>
  <c r="E41" i="8"/>
  <c r="E42" i="8"/>
  <c r="E43" i="8"/>
  <c r="E44" i="8"/>
  <c r="E45" i="8"/>
  <c r="E46" i="8"/>
  <c r="D9" i="11" s="1"/>
  <c r="M46" i="9" s="1"/>
  <c r="E47" i="8"/>
  <c r="E48" i="8"/>
  <c r="B14" i="10" s="1"/>
  <c r="E49" i="8"/>
  <c r="B15" i="10" s="1"/>
  <c r="E50" i="8"/>
  <c r="B16" i="10" s="1"/>
  <c r="E51" i="8"/>
  <c r="E52" i="8"/>
  <c r="E17" i="11" s="1"/>
  <c r="N52" i="9" s="1"/>
  <c r="E53" i="8"/>
  <c r="E54" i="8"/>
  <c r="E19" i="11" s="1"/>
  <c r="N54" i="9" s="1"/>
  <c r="E55" i="8"/>
  <c r="B21" i="10" s="1"/>
  <c r="E56" i="8"/>
  <c r="B22" i="10" s="1"/>
  <c r="E57" i="8"/>
  <c r="B23" i="10" s="1"/>
  <c r="E58" i="8"/>
  <c r="B24" i="10" s="1"/>
  <c r="E59" i="8"/>
  <c r="E60" i="8"/>
  <c r="B26" i="10" s="1"/>
  <c r="E61" i="8"/>
  <c r="E62" i="8"/>
  <c r="E27" i="11" s="1"/>
  <c r="N62" i="9" s="1"/>
  <c r="E63" i="8"/>
  <c r="B29" i="10" s="1"/>
  <c r="E64" i="8"/>
  <c r="B30" i="10" s="1"/>
  <c r="E65" i="8"/>
  <c r="B31" i="10" s="1"/>
  <c r="E66" i="8"/>
  <c r="B32" i="10" s="1"/>
  <c r="E67" i="8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H4" i="9"/>
  <c r="G4" i="9"/>
  <c r="M20" i="5"/>
  <c r="N21" i="5" s="1"/>
  <c r="M18" i="5"/>
  <c r="M16" i="5"/>
  <c r="N17" i="5" s="1"/>
  <c r="M14" i="5"/>
  <c r="N15" i="5" s="1"/>
  <c r="M22" i="5"/>
  <c r="M12" i="5"/>
  <c r="M10" i="5"/>
  <c r="M8" i="5"/>
  <c r="M6" i="5"/>
  <c r="N7" i="5" s="1"/>
  <c r="N23" i="5"/>
  <c r="N19" i="5"/>
  <c r="N13" i="5"/>
  <c r="N11" i="5"/>
  <c r="N9" i="5"/>
  <c r="N5" i="5"/>
  <c r="M4" i="5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69" i="9" s="1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4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N46" i="9" l="1"/>
  <c r="M52" i="9"/>
  <c r="M54" i="9"/>
  <c r="E23" i="10"/>
  <c r="B18" i="10"/>
  <c r="E25" i="11"/>
  <c r="E30" i="11"/>
  <c r="E13" i="11"/>
  <c r="D4" i="11"/>
  <c r="E29" i="10"/>
  <c r="E21" i="11"/>
  <c r="E28" i="10"/>
  <c r="D10" i="11"/>
  <c r="E31" i="11"/>
  <c r="E23" i="11"/>
  <c r="E15" i="11"/>
  <c r="D5" i="11"/>
  <c r="E38" i="10"/>
  <c r="E30" i="10"/>
  <c r="E19" i="10"/>
  <c r="E11" i="10"/>
  <c r="E22" i="11"/>
  <c r="E14" i="11"/>
  <c r="E37" i="10"/>
  <c r="E29" i="11"/>
  <c r="E28" i="11"/>
  <c r="E20" i="11"/>
  <c r="B28" i="10"/>
  <c r="B20" i="10"/>
  <c r="E26" i="11"/>
  <c r="E18" i="11"/>
  <c r="D8" i="11"/>
  <c r="E22" i="10"/>
  <c r="E14" i="10"/>
  <c r="E6" i="10"/>
  <c r="D7" i="11"/>
  <c r="E21" i="10"/>
  <c r="E13" i="10"/>
  <c r="E5" i="10"/>
  <c r="B33" i="10"/>
  <c r="B25" i="10"/>
  <c r="B17" i="10"/>
  <c r="D6" i="11"/>
  <c r="E31" i="10"/>
  <c r="E20" i="10"/>
  <c r="E12" i="10"/>
  <c r="E32" i="11"/>
  <c r="B7" i="10"/>
  <c r="E24" i="11"/>
  <c r="B6" i="10"/>
  <c r="B27" i="10"/>
  <c r="B19" i="10"/>
  <c r="E16" i="11"/>
  <c r="B5" i="10"/>
  <c r="H69" i="9"/>
  <c r="M44" i="9" l="1"/>
  <c r="N44" i="9"/>
  <c r="N65" i="9"/>
  <c r="M65" i="9"/>
  <c r="N57" i="9"/>
  <c r="M57" i="9"/>
  <c r="M47" i="9"/>
  <c r="N47" i="9"/>
  <c r="N49" i="9"/>
  <c r="M49" i="9"/>
  <c r="M35" i="9"/>
  <c r="N35" i="9"/>
  <c r="N63" i="9"/>
  <c r="M63" i="9"/>
  <c r="M45" i="9"/>
  <c r="N45" i="9"/>
  <c r="N58" i="9"/>
  <c r="M58" i="9"/>
  <c r="N60" i="9"/>
  <c r="M60" i="9"/>
  <c r="N51" i="9"/>
  <c r="M51" i="9"/>
  <c r="N55" i="9"/>
  <c r="M55" i="9"/>
  <c r="N56" i="9"/>
  <c r="M56" i="9"/>
  <c r="N53" i="9"/>
  <c r="M53" i="9"/>
  <c r="N64" i="9"/>
  <c r="M64" i="9"/>
  <c r="M42" i="9"/>
  <c r="N42" i="9"/>
  <c r="M41" i="9"/>
  <c r="N41" i="9"/>
  <c r="N67" i="9"/>
  <c r="M67" i="9"/>
  <c r="N66" i="9"/>
  <c r="M66" i="9"/>
  <c r="N39" i="9"/>
  <c r="M39" i="9"/>
  <c r="N59" i="9"/>
  <c r="M59" i="9"/>
  <c r="M43" i="9"/>
  <c r="N43" i="9"/>
  <c r="N61" i="9"/>
  <c r="M61" i="9"/>
  <c r="N50" i="9"/>
  <c r="M50" i="9"/>
  <c r="N48" i="9"/>
  <c r="M48" i="9"/>
  <c r="E11" i="11"/>
  <c r="D12" i="11"/>
  <c r="M40" i="9" s="1"/>
  <c r="G69" i="9"/>
  <c r="N40" i="9" l="1"/>
  <c r="L69" i="9"/>
  <c r="K69" i="9" l="1"/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M19" i="3" s="1"/>
  <c r="L19" i="3"/>
  <c r="L20" i="3"/>
  <c r="L21" i="3"/>
  <c r="L22" i="3"/>
  <c r="L23" i="3"/>
  <c r="L24" i="3"/>
  <c r="M25" i="3" s="1"/>
  <c r="L25" i="3"/>
  <c r="L26" i="3"/>
  <c r="M27" i="3" s="1"/>
  <c r="L27" i="3"/>
  <c r="L28" i="3"/>
  <c r="L29" i="3"/>
  <c r="L30" i="3"/>
  <c r="L31" i="3"/>
  <c r="L32" i="3"/>
  <c r="L33" i="3"/>
  <c r="L34" i="3"/>
  <c r="M35" i="3" s="1"/>
  <c r="L35" i="3"/>
  <c r="L36" i="3"/>
  <c r="L37" i="3"/>
  <c r="L38" i="3"/>
  <c r="L39" i="3"/>
  <c r="L40" i="3"/>
  <c r="M41" i="3" s="1"/>
  <c r="L41" i="3"/>
  <c r="L42" i="3"/>
  <c r="M43" i="3" s="1"/>
  <c r="L43" i="3"/>
  <c r="L44" i="3"/>
  <c r="L45" i="3"/>
  <c r="L46" i="3"/>
  <c r="L47" i="3"/>
  <c r="L48" i="3"/>
  <c r="L49" i="3"/>
  <c r="L50" i="3"/>
  <c r="M51" i="3" s="1"/>
  <c r="L51" i="3"/>
  <c r="L52" i="3"/>
  <c r="L53" i="3"/>
  <c r="L54" i="3"/>
  <c r="L55" i="3"/>
  <c r="L56" i="3"/>
  <c r="M57" i="3" s="1"/>
  <c r="L57" i="3"/>
  <c r="L58" i="3"/>
  <c r="M59" i="3" s="1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M75" i="3" s="1"/>
  <c r="L75" i="3"/>
  <c r="L76" i="3"/>
  <c r="L77" i="3"/>
  <c r="L78" i="3"/>
  <c r="L79" i="3"/>
  <c r="L80" i="3"/>
  <c r="M81" i="3" s="1"/>
  <c r="L81" i="3"/>
  <c r="L82" i="3"/>
  <c r="L83" i="3"/>
  <c r="L84" i="3"/>
  <c r="L85" i="3"/>
  <c r="L86" i="3"/>
  <c r="L87" i="3"/>
  <c r="L88" i="3"/>
  <c r="M89" i="3" s="1"/>
  <c r="L89" i="3"/>
  <c r="L90" i="3"/>
  <c r="M91" i="3" s="1"/>
  <c r="L91" i="3"/>
  <c r="L92" i="3"/>
  <c r="L93" i="3"/>
  <c r="L94" i="3"/>
  <c r="L95" i="3"/>
  <c r="L96" i="3"/>
  <c r="M97" i="3" s="1"/>
  <c r="L97" i="3"/>
  <c r="L98" i="3"/>
  <c r="M99" i="3" s="1"/>
  <c r="L99" i="3"/>
  <c r="L100" i="3"/>
  <c r="L101" i="3"/>
  <c r="L102" i="3"/>
  <c r="L103" i="3"/>
  <c r="M7" i="3"/>
  <c r="M5" i="3"/>
  <c r="M9" i="3"/>
  <c r="M11" i="3"/>
  <c r="M49" i="3"/>
  <c r="M67" i="3"/>
  <c r="M83" i="3"/>
  <c r="M17" i="3"/>
  <c r="M33" i="3"/>
  <c r="M73" i="3"/>
  <c r="N4" i="3"/>
  <c r="M65" i="3"/>
  <c r="M15" i="3"/>
  <c r="M23" i="3"/>
  <c r="M47" i="3"/>
  <c r="M63" i="3"/>
  <c r="M79" i="3"/>
  <c r="M95" i="3"/>
  <c r="M37" i="3"/>
  <c r="M39" i="3"/>
  <c r="M45" i="3"/>
  <c r="M53" i="3"/>
  <c r="M55" i="3"/>
  <c r="M61" i="3"/>
  <c r="M69" i="3"/>
  <c r="M71" i="3"/>
  <c r="M77" i="3"/>
  <c r="M85" i="3"/>
  <c r="M87" i="3"/>
  <c r="M93" i="3"/>
  <c r="M101" i="3"/>
  <c r="M103" i="3"/>
  <c r="M29" i="3"/>
  <c r="M31" i="3"/>
  <c r="M21" i="3"/>
  <c r="M13" i="3"/>
  <c r="B6" i="13" l="1"/>
  <c r="B5" i="13"/>
  <c r="E69" i="9"/>
  <c r="F69" i="8"/>
  <c r="E69" i="8"/>
  <c r="E24" i="6"/>
  <c r="D24" i="6"/>
  <c r="F24" i="6" s="1"/>
  <c r="N25" i="5"/>
  <c r="M25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E105" i="4"/>
  <c r="D105" i="4"/>
  <c r="F105" i="4" s="1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F70" i="8" l="1"/>
  <c r="N69" i="9"/>
  <c r="M69" i="9"/>
  <c r="O25" i="5"/>
  <c r="F69" i="7"/>
  <c r="E69" i="7"/>
  <c r="E39" i="10"/>
  <c r="E24" i="10"/>
  <c r="F70" i="7" l="1"/>
  <c r="B12" i="10"/>
  <c r="E36" i="11"/>
  <c r="B34" i="10"/>
  <c r="B36" i="10" l="1"/>
  <c r="E47" i="10" s="1"/>
  <c r="F69" i="12"/>
  <c r="E69" i="12"/>
  <c r="D36" i="11"/>
  <c r="F36" i="11" s="1"/>
  <c r="E49" i="10" l="1"/>
  <c r="E50" i="10" s="1"/>
  <c r="E51" i="10" s="1"/>
  <c r="F70" i="12"/>
</calcChain>
</file>

<file path=xl/sharedStrings.xml><?xml version="1.0" encoding="utf-8"?>
<sst xmlns="http://schemas.openxmlformats.org/spreadsheetml/2006/main" count="2374" uniqueCount="596">
  <si>
    <t>PETUNJUK PENGGUNAAN FILE LATIHAN AKUNTANSI</t>
  </si>
  <si>
    <t>Bagian</t>
  </si>
  <si>
    <t>Keterangan</t>
  </si>
  <si>
    <t>Status</t>
  </si>
  <si>
    <t>Soal_dan_Jurnal</t>
  </si>
  <si>
    <t>Berisi 50 soal baru dan area latihan jurnal. Isi kolom Akun, Debit, dan Kredit di area kanan.</t>
  </si>
  <si>
    <t>Siap dipakai</t>
  </si>
  <si>
    <t>1. Kerjakan Soal_dan_Jurnal pada area latihan jurnal umum.</t>
  </si>
  <si>
    <t>Berisi kunci jurnal umum untuk 50 soal. Total debit dan kredit sudah seimbang.</t>
  </si>
  <si>
    <t>Terkunci konsep</t>
  </si>
  <si>
    <t>2. Sheet Kunci_Jurnal adalah kunci jawaban jurnal umum dan sumber Neraca Saldo sebelum penyesuaian.</t>
  </si>
  <si>
    <t>Daftar akun lengkap 64 akun sesuai permintaan Anda. Nama akun diseragamkan agar rumus SUMIF tidak salah baca.</t>
  </si>
  <si>
    <t>Acuan utama</t>
  </si>
  <si>
    <t>3. Kerjakan Jurnal_Penyesuaian pada area latihan penyesuaian akhir periode.</t>
  </si>
  <si>
    <t>Sheet kosong opsional. Soal nomor 34-39 sudah bertipe penyesuaian; jika ada penyesuaian tambahan, input di sini.</t>
  </si>
  <si>
    <t>Opsional</t>
  </si>
  <si>
    <t>4. Sheet Kunci_Penyesuaian adalah kunci jawaban dan sumber perhitungan setelah penyesuaian.</t>
  </si>
  <si>
    <t>Merangkum mutasi debit dan kredit dari Kunci_Jurnal dan Jurnal_Penyesuaian.</t>
  </si>
  <si>
    <t>Otomatis</t>
  </si>
  <si>
    <t>5. Buku_Besar, Neraca_Saldo, NS_Setelah_Penyesuaian, Laporan_Keuangan, Jurnal_Penutup, dan NS_Setelah_Penutupan sudah disesuaikan dengan kunci jurnal umum + kunci penyesuaian.</t>
  </si>
  <si>
    <t>Mengambil saldo dari Kunci_Jurnal sebelum penyesuaian tambahan.</t>
  </si>
  <si>
    <t>6. Jangan mengubah nama akun di COA agar rumus SUMIF tetap terbaca.</t>
  </si>
  <si>
    <t>Mengambil saldo dari Kunci_Jurnal + Jurnal_Penyesuaian.</t>
  </si>
  <si>
    <t>Laporan_Keuangan</t>
  </si>
  <si>
    <t>Menghitung laba rugi dan neraca dari Neraca Saldo Setelah Penyesuaian.</t>
  </si>
  <si>
    <t>Jurnal_Penutup</t>
  </si>
  <si>
    <t>Menutup pendapatan, beban, dan prive secara otomatis.</t>
  </si>
  <si>
    <t>NS_Setelah_Penutupan</t>
  </si>
  <si>
    <t>Mengecek saldo setelah jurnal penutup. Pendapatan, beban, dan prive harus menjadi nol.</t>
  </si>
  <si>
    <t>Catatan penting</t>
  </si>
  <si>
    <t>Jangan mengubah nama akun secara manual. Jika ingin tambah akun, tambahkan juga di COA dan sesuaikan rumus range.</t>
  </si>
  <si>
    <t>Penting</t>
  </si>
  <si>
    <t>CHART OF ACCOUNTS - 64 AKUN</t>
  </si>
  <si>
    <t>Kode Akun</t>
  </si>
  <si>
    <t>Nama Akun</t>
  </si>
  <si>
    <t>Kategori</t>
  </si>
  <si>
    <t>Saldo Normal</t>
  </si>
  <si>
    <t>Kelompok Laporan</t>
  </si>
  <si>
    <t>Catatan</t>
  </si>
  <si>
    <t>1-001</t>
  </si>
  <si>
    <t>Kas</t>
  </si>
  <si>
    <t>Aset</t>
  </si>
  <si>
    <t>Debit</t>
  </si>
  <si>
    <t>Neraca - Aset</t>
  </si>
  <si>
    <t>Dipakai dalam kunci jurnal</t>
  </si>
  <si>
    <t>1-002</t>
  </si>
  <si>
    <t>Bank</t>
  </si>
  <si>
    <t>1-003</t>
  </si>
  <si>
    <t>Piutang Usaha</t>
  </si>
  <si>
    <t>1-004</t>
  </si>
  <si>
    <t>Piutang Karyawan</t>
  </si>
  <si>
    <t>1-005</t>
  </si>
  <si>
    <t>Piutang Lain-lain</t>
  </si>
  <si>
    <t>1-006</t>
  </si>
  <si>
    <t>Persediaan</t>
  </si>
  <si>
    <t>1-007</t>
  </si>
  <si>
    <t>Perlengkapan</t>
  </si>
  <si>
    <t>1-008</t>
  </si>
  <si>
    <t>Sewa Dibayar di Muka</t>
  </si>
  <si>
    <t>1-009</t>
  </si>
  <si>
    <t>Asuransi Dibayar di Muka</t>
  </si>
  <si>
    <t>1-010</t>
  </si>
  <si>
    <t>Iklan Dibayar di Muka</t>
  </si>
  <si>
    <t>1-011</t>
  </si>
  <si>
    <t>Uang Muka Pembelian</t>
  </si>
  <si>
    <t>1-012</t>
  </si>
  <si>
    <t>Peralatan</t>
  </si>
  <si>
    <t>1-013</t>
  </si>
  <si>
    <t>Peralatan Kantor</t>
  </si>
  <si>
    <t>1-014</t>
  </si>
  <si>
    <t>Kendaraan</t>
  </si>
  <si>
    <t>1-015</t>
  </si>
  <si>
    <t>Gedung</t>
  </si>
  <si>
    <t>1-016</t>
  </si>
  <si>
    <t>Tanah</t>
  </si>
  <si>
    <t>1-017</t>
  </si>
  <si>
    <t>Akumulasi Penyusutan Peralatan</t>
  </si>
  <si>
    <t>Aset Kontra</t>
  </si>
  <si>
    <t>Kredit</t>
  </si>
  <si>
    <t>1-018</t>
  </si>
  <si>
    <t>Akumulasi Penyusutan Kendaraan</t>
  </si>
  <si>
    <t>1-019</t>
  </si>
  <si>
    <t>Akumulasi Penyusutan Gedung</t>
  </si>
  <si>
    <t>2-001</t>
  </si>
  <si>
    <t>Utang Usaha</t>
  </si>
  <si>
    <t>Liabilitas</t>
  </si>
  <si>
    <t>Neraca - Liabilitas</t>
  </si>
  <si>
    <t>2-002</t>
  </si>
  <si>
    <t>Utang Gaji</t>
  </si>
  <si>
    <t>2-003</t>
  </si>
  <si>
    <t>Utang Pajak</t>
  </si>
  <si>
    <t>2-004</t>
  </si>
  <si>
    <t>Utang PPh 21</t>
  </si>
  <si>
    <t>2-005</t>
  </si>
  <si>
    <t>Utang PPN</t>
  </si>
  <si>
    <t>2-006</t>
  </si>
  <si>
    <t>Utang BPJS</t>
  </si>
  <si>
    <t>2-007</t>
  </si>
  <si>
    <t>Utang Sewa</t>
  </si>
  <si>
    <t>2-008</t>
  </si>
  <si>
    <t>Utang Bunga</t>
  </si>
  <si>
    <t>2-009</t>
  </si>
  <si>
    <t>Utang Bank</t>
  </si>
  <si>
    <t>2-010</t>
  </si>
  <si>
    <t>Utang Jangka Pendek</t>
  </si>
  <si>
    <t>2-011</t>
  </si>
  <si>
    <t>Utang Jangka Panjang</t>
  </si>
  <si>
    <t>2-012</t>
  </si>
  <si>
    <t>Pendapatan Diterima di Muka</t>
  </si>
  <si>
    <t>3-001</t>
  </si>
  <si>
    <t>Modal</t>
  </si>
  <si>
    <t>Ekuitas</t>
  </si>
  <si>
    <t>Neraca - Ekuitas</t>
  </si>
  <si>
    <t>3-002</t>
  </si>
  <si>
    <t>Modal Saham</t>
  </si>
  <si>
    <t>3-003</t>
  </si>
  <si>
    <t>Tambahan Modal Disetor</t>
  </si>
  <si>
    <t>3-004</t>
  </si>
  <si>
    <t>Laba Ditahan</t>
  </si>
  <si>
    <t>3-005</t>
  </si>
  <si>
    <t>Prive</t>
  </si>
  <si>
    <t>Prive / Kontra Ekuitas</t>
  </si>
  <si>
    <t>3-006</t>
  </si>
  <si>
    <t>Saldo Laba</t>
  </si>
  <si>
    <t>4-001</t>
  </si>
  <si>
    <t>Pendapatan Jasa</t>
  </si>
  <si>
    <t>Pendapatan</t>
  </si>
  <si>
    <t>Laba Rugi - Pendapatan</t>
  </si>
  <si>
    <t>4-002</t>
  </si>
  <si>
    <t>Pendapatan Penjualan</t>
  </si>
  <si>
    <t>4-003</t>
  </si>
  <si>
    <t>Pendapatan Lain-lain</t>
  </si>
  <si>
    <t>4-004</t>
  </si>
  <si>
    <t>Pendapatan Bunga</t>
  </si>
  <si>
    <t>4-005</t>
  </si>
  <si>
    <t>Pendapatan Sewa</t>
  </si>
  <si>
    <t>4-006</t>
  </si>
  <si>
    <t>Pendapatan Komisi</t>
  </si>
  <si>
    <t>4-007</t>
  </si>
  <si>
    <t>Pendapatan Administrasi</t>
  </si>
  <si>
    <t>5-001</t>
  </si>
  <si>
    <t>Beban Gaji</t>
  </si>
  <si>
    <t>Beban</t>
  </si>
  <si>
    <t>Laba Rugi - Beban</t>
  </si>
  <si>
    <t>5-002</t>
  </si>
  <si>
    <t>Beban Upah</t>
  </si>
  <si>
    <t>5-003</t>
  </si>
  <si>
    <t>Beban Sewa</t>
  </si>
  <si>
    <t>5-004</t>
  </si>
  <si>
    <t>Beban Listrik</t>
  </si>
  <si>
    <t>5-005</t>
  </si>
  <si>
    <t>Beban Air</t>
  </si>
  <si>
    <t>5-006</t>
  </si>
  <si>
    <t>Beban Telepon</t>
  </si>
  <si>
    <t>5-007</t>
  </si>
  <si>
    <t>Beban Internet</t>
  </si>
  <si>
    <t>5-008</t>
  </si>
  <si>
    <t>Beban Perlengkapan</t>
  </si>
  <si>
    <t>5-009</t>
  </si>
  <si>
    <t>Beban Penyusutan Peralatan</t>
  </si>
  <si>
    <t>5-010</t>
  </si>
  <si>
    <t>Beban Transportasi</t>
  </si>
  <si>
    <t>5-011</t>
  </si>
  <si>
    <t>Beban Bensin</t>
  </si>
  <si>
    <t>5-012</t>
  </si>
  <si>
    <t>Beban Iklan</t>
  </si>
  <si>
    <t>5-013</t>
  </si>
  <si>
    <t>Beban Administrasi</t>
  </si>
  <si>
    <t>5-014</t>
  </si>
  <si>
    <t>Beban ATK</t>
  </si>
  <si>
    <t>5-015</t>
  </si>
  <si>
    <t>Beban Pemeliharaan</t>
  </si>
  <si>
    <t>5-016</t>
  </si>
  <si>
    <t>Beban Bunga</t>
  </si>
  <si>
    <t>5-017</t>
  </si>
  <si>
    <t>Beban Pajak</t>
  </si>
  <si>
    <t>5-018</t>
  </si>
  <si>
    <t>Beban Asuransi</t>
  </si>
  <si>
    <t>5-019</t>
  </si>
  <si>
    <t>Beban Konsumsi</t>
  </si>
  <si>
    <t>5-020</t>
  </si>
  <si>
    <t>Beban Lain-lain</t>
  </si>
  <si>
    <t>JURNAL UMUM - AREA LATIHAN</t>
  </si>
  <si>
    <t>Bagian kiri berisi 50 soal. Bagian kanan disediakan untuk Anda isi sendiri.</t>
  </si>
  <si>
    <t>Isi kolom Akun, Debit, dan Kredit. Kolom Cek membandingkan jawaban dengan Kunci_Jurnal.</t>
  </si>
  <si>
    <t>No</t>
  </si>
  <si>
    <t>Tanggal</t>
  </si>
  <si>
    <t>Jenis Transaksi</t>
  </si>
  <si>
    <t>Soal</t>
  </si>
  <si>
    <t>Tambahan</t>
  </si>
  <si>
    <t>Nominal (Rp)</t>
  </si>
  <si>
    <t>Petunjuk</t>
  </si>
  <si>
    <t>Akun</t>
  </si>
  <si>
    <t>Debit (Rp)</t>
  </si>
  <si>
    <t>Kredit (Rp)</t>
  </si>
  <si>
    <t>Cek</t>
  </si>
  <si>
    <t>Setoran modal tunai</t>
  </si>
  <si>
    <t>Pemilik menyetor modal awal ke kas perusahaan.</t>
  </si>
  <si>
    <t>Kas bertambah dan modal pemilik bertambah.</t>
  </si>
  <si>
    <t>Setor kas ke bank</t>
  </si>
  <si>
    <t>Perusahaan menyetorkan sebagian kas tunai ke rekening bank perusahaan.</t>
  </si>
  <si>
    <t>Bank bertambah, kas berkurang.</t>
  </si>
  <si>
    <t>Penerbitan modal saham</t>
  </si>
  <si>
    <t>Perusahaan menerbitkan saham dan menerima dana ke rekening bank.</t>
  </si>
  <si>
    <t>Bank bertambah, modal saham bertambah.</t>
  </si>
  <si>
    <t>Tambahan modal disetor</t>
  </si>
  <si>
    <t>Pemegang saham menyetor tambahan modal di atas nilai nominal saham ke rekening bank.</t>
  </si>
  <si>
    <t>Bank bertambah, tambahan modal disetor bertambah.</t>
  </si>
  <si>
    <t>Penetapan saldo laba</t>
  </si>
  <si>
    <t>Perusahaan memindahkan saldo laba periode berjalan ke laba ditahan.</t>
  </si>
  <si>
    <t>Saldo laba ditutup/dipindahkan ke laba ditahan.</t>
  </si>
  <si>
    <t>Prive tunai</t>
  </si>
  <si>
    <t>Pemilik mengambil uang kas perusahaan untuk keperluan pribadi.</t>
  </si>
  <si>
    <t>Prive bertambah, kas berkurang.</t>
  </si>
  <si>
    <t>Pembelian persediaan kredit</t>
  </si>
  <si>
    <t>Perusahaan membeli persediaan barang dagang secara kredit dari pemasok.</t>
  </si>
  <si>
    <t>Persediaan bertambah, utang usaha bertambah.</t>
  </si>
  <si>
    <t>Pembelian perlengkapan tunai</t>
  </si>
  <si>
    <t>Perusahaan membeli perlengkapan kantor secara tunai.</t>
  </si>
  <si>
    <t>Perlengkapan bertambah, kas berkurang.</t>
  </si>
  <si>
    <t>Bayar sewa di muka</t>
  </si>
  <si>
    <t>Perusahaan membayar sewa kantor untuk beberapa bulan ke depan melalui bank.</t>
  </si>
  <si>
    <t>Sewa dibayar di muka adalah aset.</t>
  </si>
  <si>
    <t>Bayar asuransi di muka</t>
  </si>
  <si>
    <t>Perusahaan membayar premi asuransi tahunan melalui bank.</t>
  </si>
  <si>
    <t>Asuransi dibayar di muka adalah aset.</t>
  </si>
  <si>
    <t>Bayar iklan di muka</t>
  </si>
  <si>
    <t>Perusahaan membayar paket iklan untuk kampanye bulan berikutnya melalui bank.</t>
  </si>
  <si>
    <t>Iklan dibayar di muka adalah aset.</t>
  </si>
  <si>
    <t>Uang muka pembelian</t>
  </si>
  <si>
    <t>Perusahaan membayar uang muka pembelian barang kepada pemasok melalui bank.</t>
  </si>
  <si>
    <t>Uang muka pembelian bertambah, bank berkurang.</t>
  </si>
  <si>
    <t>Pembelian peralatan kredit jangka pendek</t>
  </si>
  <si>
    <t>Perusahaan membeli peralatan operasional dengan kredit yang jatuh tempo kurang dari satu tahun.</t>
  </si>
  <si>
    <t>Peralatan bertambah, utang jangka pendek bertambah.</t>
  </si>
  <si>
    <t>Pembelian peralatan kantor kredit</t>
  </si>
  <si>
    <t>Perusahaan membeli meja dan komputer kantor secara kredit dari pemasok.</t>
  </si>
  <si>
    <t>Peralatan kantor bertambah, utang usaha bertambah.</t>
  </si>
  <si>
    <t>Pembelian kendaraan dengan pinjaman bank</t>
  </si>
  <si>
    <t>Perusahaan membeli kendaraan operasional menggunakan fasilitas pinjaman bank.</t>
  </si>
  <si>
    <t>Kendaraan bertambah, utang bank bertambah.</t>
  </si>
  <si>
    <t>Pembelian gedung kredit jangka panjang</t>
  </si>
  <si>
    <t>Perusahaan membeli gedung kantor dengan pembiayaan jangka panjang.</t>
  </si>
  <si>
    <t>Gedung bertambah, utang jangka panjang bertambah.</t>
  </si>
  <si>
    <t>Pembelian tanah dengan pinjaman bank</t>
  </si>
  <si>
    <t>Perusahaan membeli tanah untuk lokasi usaha menggunakan fasilitas pinjaman bank.</t>
  </si>
  <si>
    <t>Tanah bertambah, utang bank bertambah.</t>
  </si>
  <si>
    <t>Pendapatan jasa tunai</t>
  </si>
  <si>
    <t>Perusahaan menerima pendapatan jasa konsultasi secara tunai.</t>
  </si>
  <si>
    <t>Kas bertambah, pendapatan jasa bertambah.</t>
  </si>
  <si>
    <t>Penjualan barang kredit</t>
  </si>
  <si>
    <t>Perusahaan menjual barang dagang secara kredit kepada pelanggan.</t>
  </si>
  <si>
    <t>Piutang usaha bertambah, pendapatan penjualan bertambah.</t>
  </si>
  <si>
    <t>Terima uang muka pelanggan</t>
  </si>
  <si>
    <t>Pelanggan membayar uang muka untuk pekerjaan yang belum selesai, diterima melalui bank.</t>
  </si>
  <si>
    <t>Bank bertambah, pendapatan diterima di muka bertambah.</t>
  </si>
  <si>
    <t>Pendapatan komisi tunai</t>
  </si>
  <si>
    <t>Perusahaan menerima komisi penjualan secara tunai.</t>
  </si>
  <si>
    <t>Kas bertambah, pendapatan komisi bertambah.</t>
  </si>
  <si>
    <t>Pendapatan sewa melalui bank</t>
  </si>
  <si>
    <t>Perusahaan menerima pendapatan sewa ruangan melalui rekening bank.</t>
  </si>
  <si>
    <t>Bank bertambah, pendapatan sewa bertambah.</t>
  </si>
  <si>
    <t>Pendapatan bunga bank</t>
  </si>
  <si>
    <t>Bank mengkreditkan pendapatan bunga ke rekening perusahaan.</t>
  </si>
  <si>
    <t>Bank bertambah, pendapatan bunga bertambah.</t>
  </si>
  <si>
    <t>Pendapatan administrasi tunai</t>
  </si>
  <si>
    <t>Perusahaan menerima pendapatan administrasi dari pelanggan secara tunai.</t>
  </si>
  <si>
    <t>Kas bertambah, pendapatan administrasi bertambah.</t>
  </si>
  <si>
    <t>Piutang lain-lain</t>
  </si>
  <si>
    <t>Perusahaan mencatat klaim penggantian biaya dari pihak ketiga yang belum diterima.</t>
  </si>
  <si>
    <t>Piutang lain-lain bertambah, pendapatan lain-lain bertambah.</t>
  </si>
  <si>
    <t>Bayar upah harian</t>
  </si>
  <si>
    <t>Perusahaan membayar upah pekerja harian secara tunai.</t>
  </si>
  <si>
    <t>Beban upah bertambah, kas berkurang.</t>
  </si>
  <si>
    <t>Pinjaman kepada karyawan</t>
  </si>
  <si>
    <t>Perusahaan memberikan pinjaman sementara kepada karyawan secara tunai.</t>
  </si>
  <si>
    <t>Piutang karyawan bertambah, kas berkurang.</t>
  </si>
  <si>
    <t>Gaji terutang</t>
  </si>
  <si>
    <t>Perusahaan mencatat gaji karyawan akhir bulan yang belum dibayar.</t>
  </si>
  <si>
    <t>Beban gaji bertambah, utang gaji bertambah.</t>
  </si>
  <si>
    <t>Potongan PPh 21 karyawan</t>
  </si>
  <si>
    <t>Dari gaji terutang, perusahaan mengakui potongan PPh 21 karyawan yang harus disetor.</t>
  </si>
  <si>
    <t>Utang gaji berkurang, utang PPh 21 bertambah.</t>
  </si>
  <si>
    <t>Potongan BPJS karyawan</t>
  </si>
  <si>
    <t>Dari gaji terutang, perusahaan mengakui potongan BPJS karyawan yang harus disetor.</t>
  </si>
  <si>
    <t>Utang gaji berkurang, utang BPJS bertambah.</t>
  </si>
  <si>
    <t>Beban pajak terutang</t>
  </si>
  <si>
    <t>Perusahaan mencatat beban pajak yang masih harus dibayar.</t>
  </si>
  <si>
    <t>Beban pajak bertambah, utang pajak bertambah.</t>
  </si>
  <si>
    <t>PPN keluaran belum disetor</t>
  </si>
  <si>
    <t>Perusahaan mencatat PPN keluaran atas penjualan kredit yang belum disetor ke negara.</t>
  </si>
  <si>
    <t>Piutang usaha bertambah, utang PPN bertambah.</t>
  </si>
  <si>
    <t>Beban sewa terutang</t>
  </si>
  <si>
    <t>Perusahaan mencatat beban sewa bulan berjalan yang belum dibayar.</t>
  </si>
  <si>
    <t>Beban sewa bertambah, utang sewa bertambah.</t>
  </si>
  <si>
    <t>Pelunasan piutang usaha</t>
  </si>
  <si>
    <t>Pelanggan melunasi sebagian piutang usaha melalui rekening bank.</t>
  </si>
  <si>
    <t>Bank bertambah, piutang usaha berkurang.</t>
  </si>
  <si>
    <t>Pembayaran utang usaha</t>
  </si>
  <si>
    <t>Perusahaan membayar sebagian utang usaha kepada pemasok melalui bank.</t>
  </si>
  <si>
    <t>Utang usaha berkurang, bank berkurang.</t>
  </si>
  <si>
    <t>Pelunasan piutang lain-lain</t>
  </si>
  <si>
    <t>Pihak lain melunasi sebagian piutang lain-lain secara tunai.</t>
  </si>
  <si>
    <t>Kas bertambah, piutang lain-lain berkurang.</t>
  </si>
  <si>
    <t>Pengembalian uang muka pembelian</t>
  </si>
  <si>
    <t>Pemasok mengembalikan sebagian uang muka pembelian ke rekening bank karena pesanan dibatalkan.</t>
  </si>
  <si>
    <t>Bank bertambah, uang muka pembelian berkurang.</t>
  </si>
  <si>
    <t>Pembayaran utang jangka pendek</t>
  </si>
  <si>
    <t>Perusahaan membayar sebagian utang jangka pendek melalui bank.</t>
  </si>
  <si>
    <t>Utang jangka pendek berkurang, bank berkurang.</t>
  </si>
  <si>
    <t>Pembayaran sebagian utang bank</t>
  </si>
  <si>
    <t>Perusahaan membayar sebagian pokok utang bank melalui rekening bank.</t>
  </si>
  <si>
    <t>Utang bank berkurang, bank berkurang.</t>
  </si>
  <si>
    <t>Beban listrik terutang</t>
  </si>
  <si>
    <t>Tagihan listrik bulan berjalan telah diterima tetapi belum dibayar.</t>
  </si>
  <si>
    <t>Beban listrik bertambah, utang usaha bertambah.</t>
  </si>
  <si>
    <t>Beban air tunai</t>
  </si>
  <si>
    <t>Perusahaan membayar tagihan air secara tunai.</t>
  </si>
  <si>
    <t>Beban air bertambah, kas berkurang.</t>
  </si>
  <si>
    <t>Beban telepon melalui bank</t>
  </si>
  <si>
    <t>Perusahaan membayar tagihan telepon melalui rekening bank.</t>
  </si>
  <si>
    <t>Beban telepon bertambah, bank berkurang.</t>
  </si>
  <si>
    <t>Beban internet melalui bank</t>
  </si>
  <si>
    <t>Perusahaan membayar tagihan internet kantor melalui rekening bank.</t>
  </si>
  <si>
    <t>Beban internet bertambah, bank berkurang.</t>
  </si>
  <si>
    <t>Beban transportasi tunai</t>
  </si>
  <si>
    <t>Perusahaan membayar biaya transportasi operasional secara tunai.</t>
  </si>
  <si>
    <t>Beban transportasi bertambah, kas berkurang.</t>
  </si>
  <si>
    <t>Beban bensin tunai</t>
  </si>
  <si>
    <t>Perusahaan membeli bensin untuk kendaraan operasional secara tunai.</t>
  </si>
  <si>
    <t>Beban bensin bertambah, kas berkurang.</t>
  </si>
  <si>
    <t>Beban administrasi bank</t>
  </si>
  <si>
    <t>Bank membebankan biaya administrasi rekening perusahaan.</t>
  </si>
  <si>
    <t>Beban administrasi bertambah, bank berkurang.</t>
  </si>
  <si>
    <t>Beban ATK tunai</t>
  </si>
  <si>
    <t>Perusahaan membeli alat tulis kantor untuk langsung dipakai secara tunai.</t>
  </si>
  <si>
    <t>Beban ATK bertambah, kas berkurang.</t>
  </si>
  <si>
    <t>Beban pemeliharaan kredit</t>
  </si>
  <si>
    <t>Perusahaan menerima tagihan pemeliharaan kendaraan yang belum dibayar.</t>
  </si>
  <si>
    <t>Beban pemeliharaan bertambah, utang usaha bertambah.</t>
  </si>
  <si>
    <t>Beban bunga terutang</t>
  </si>
  <si>
    <t>Perusahaan mencatat bunga pinjaman bank yang belum dibayar.</t>
  </si>
  <si>
    <t>Beban bunga bertambah, utang bunga bertambah.</t>
  </si>
  <si>
    <t>Beban konsumsi rapat</t>
  </si>
  <si>
    <t>Perusahaan membayar konsumsi rapat karyawan secara tunai.</t>
  </si>
  <si>
    <t>Beban konsumsi bertambah, kas berkurang.</t>
  </si>
  <si>
    <t>Sheet ini adalah sumber utama untuk menghitung Buku Besar, Neraca Saldo, dan laporan. Jangan ubah nama akun sembarangan.</t>
  </si>
  <si>
    <t>Alasan</t>
  </si>
  <si>
    <t>Daftar Akun</t>
  </si>
  <si>
    <t>Kas bertambah karena menerima setoran modal.</t>
  </si>
  <si>
    <t>Modal pemilik bertambah.</t>
  </si>
  <si>
    <t>Saldo bank bertambah.</t>
  </si>
  <si>
    <t>Kas tunai berkurang karena disetor ke bank.</t>
  </si>
  <si>
    <t>Dana hasil penerbitan saham masuk ke bank.</t>
  </si>
  <si>
    <t>Modal saham bertambah.</t>
  </si>
  <si>
    <t>Dana tambahan disetor masuk ke bank.</t>
  </si>
  <si>
    <t>Tambahan modal disetor bertambah.</t>
  </si>
  <si>
    <t>Saldo laba dikurangi karena dipindahkan.</t>
  </si>
  <si>
    <t>Laba ditahan bertambah.</t>
  </si>
  <si>
    <t>Pengambilan pribadi dicatat sebagai prive.</t>
  </si>
  <si>
    <t>Kas berkurang karena diambil pemilik.</t>
  </si>
  <si>
    <t>Persediaan bertambah.</t>
  </si>
  <si>
    <t>Utang usaha bertambah karena pembelian kredit.</t>
  </si>
  <si>
    <t>Perlengkapan bertambah.</t>
  </si>
  <si>
    <t>Kas berkurang karena pembayaran tunai.</t>
  </si>
  <si>
    <t>Manfaat sewa untuk periode berikutnya dicatat sebagai aset.</t>
  </si>
  <si>
    <t>Bank berkurang karena pembayaran sewa.</t>
  </si>
  <si>
    <t>Premi asuransi yang manfaatnya belum habis dicatat sebagai aset.</t>
  </si>
  <si>
    <t>Bank berkurang karena pembayaran premi.</t>
  </si>
  <si>
    <t>Biaya iklan yang belum menjadi beban dicatat sebagai aset.</t>
  </si>
  <si>
    <t>Bank berkurang karena pembayaran iklan.</t>
  </si>
  <si>
    <t>Uang muka kepada pemasok dicatat sebagai aset.</t>
  </si>
  <si>
    <t>Bank berkurang karena membayar uang muka.</t>
  </si>
  <si>
    <t>Peralatan bertambah.</t>
  </si>
  <si>
    <t>Kewajiban jangka pendek bertambah.</t>
  </si>
  <si>
    <t>Peralatan kantor bertambah.</t>
  </si>
  <si>
    <t>Kendaraan operasional bertambah.</t>
  </si>
  <si>
    <t>Utang kepada bank bertambah.</t>
  </si>
  <si>
    <t>Gedung bertambah sebagai aset tetap.</t>
  </si>
  <si>
    <t>Kewajiban jangka panjang bertambah.</t>
  </si>
  <si>
    <t>Tanah bertambah sebagai aset perusahaan.</t>
  </si>
  <si>
    <t>Utang bank bertambah karena pembelian tanah dibiayai pinjaman bank.</t>
  </si>
  <si>
    <t>Kas bertambah karena menerima pembayaran jasa.</t>
  </si>
  <si>
    <t>Pendapatan jasa bertambah.</t>
  </si>
  <si>
    <t>Piutang usaha bertambah karena penjualan kredit.</t>
  </si>
  <si>
    <t>Pendapatan penjualan bertambah.</t>
  </si>
  <si>
    <t>Bank bertambah karena menerima uang muka.</t>
  </si>
  <si>
    <t>Kewajiban bertambah karena jasa belum diselesaikan.</t>
  </si>
  <si>
    <t>Kas bertambah karena menerima komisi.</t>
  </si>
  <si>
    <t>Pendapatan komisi bertambah.</t>
  </si>
  <si>
    <t>Bank bertambah karena menerima pendapatan sewa.</t>
  </si>
  <si>
    <t>Pendapatan sewa bertambah.</t>
  </si>
  <si>
    <t>Bank bertambah karena bunga diterima.</t>
  </si>
  <si>
    <t>Pendapatan bunga bertambah.</t>
  </si>
  <si>
    <t>Kas bertambah karena menerima pendapatan administrasi.</t>
  </si>
  <si>
    <t>Pendapatan administrasi bertambah.</t>
  </si>
  <si>
    <t>Piutang lain-lain bertambah karena klaim belum diterima.</t>
  </si>
  <si>
    <t>Pendapatan lain-lain diakui.</t>
  </si>
  <si>
    <t>Beban upah bertambah.</t>
  </si>
  <si>
    <t>Kas berkurang karena membayar upah.</t>
  </si>
  <si>
    <t>Piutang karyawan bertambah.</t>
  </si>
  <si>
    <t>Kas berkurang karena memberikan pinjaman.</t>
  </si>
  <si>
    <t>Beban gaji bertambah.</t>
  </si>
  <si>
    <t>Utang gaji bertambah karena gaji belum dibayar.</t>
  </si>
  <si>
    <t>Sebagian utang gaji dipotong untuk PPh 21.</t>
  </si>
  <si>
    <t>Utang PPh 21 bertambah dan wajib disetor.</t>
  </si>
  <si>
    <t>Sebagian utang gaji dipotong untuk BPJS.</t>
  </si>
  <si>
    <t>Utang BPJS bertambah dan wajib disetor.</t>
  </si>
  <si>
    <t>Beban pajak bertambah.</t>
  </si>
  <si>
    <t>Utang pajak bertambah karena belum dibayar.</t>
  </si>
  <si>
    <t>Pelanggan masih harus membayar PPN yang ditagihkan.</t>
  </si>
  <si>
    <t>Utang PPN bertambah dan harus disetor.</t>
  </si>
  <si>
    <t>Beban sewa bertambah.</t>
  </si>
  <si>
    <t>Utang sewa bertambah karena belum dibayar.</t>
  </si>
  <si>
    <t>Bank bertambah karena menerima pelunasan piutang.</t>
  </si>
  <si>
    <t>Piutang usaha berkurang karena pelanggan membayar.</t>
  </si>
  <si>
    <t>Utang usaha berkurang karena dibayar.</t>
  </si>
  <si>
    <t>Bank berkurang karena pembayaran utang.</t>
  </si>
  <si>
    <t>Kas bertambah karena piutang lain-lain dibayar.</t>
  </si>
  <si>
    <t>Piutang lain-lain berkurang karena dilunasi.</t>
  </si>
  <si>
    <t>Bank bertambah karena menerima pengembalian uang muka.</t>
  </si>
  <si>
    <t>Uang muka pembelian berkurang.</t>
  </si>
  <si>
    <t>Utang jangka pendek berkurang karena dibayar.</t>
  </si>
  <si>
    <t>Bank berkurang karena membayar utang.</t>
  </si>
  <si>
    <t>Utang bank berkurang karena cicilan pokok dibayar.</t>
  </si>
  <si>
    <t>Bank berkurang karena pembayaran utang bank.</t>
  </si>
  <si>
    <t>Beban listrik bertambah.</t>
  </si>
  <si>
    <t>Utang usaha bertambah karena tagihan belum dibayar.</t>
  </si>
  <si>
    <t>Beban air bertambah.</t>
  </si>
  <si>
    <t>Kas berkurang karena pembayaran tagihan air.</t>
  </si>
  <si>
    <t>Beban telepon bertambah.</t>
  </si>
  <si>
    <t>Bank berkurang karena pembayaran telepon.</t>
  </si>
  <si>
    <t>Beban internet bertambah.</t>
  </si>
  <si>
    <t>Bank berkurang karena pembayaran internet.</t>
  </si>
  <si>
    <t>Beban transportasi bertambah.</t>
  </si>
  <si>
    <t>Kas berkurang karena pembayaran transportasi.</t>
  </si>
  <si>
    <t>Beban bensin bertambah.</t>
  </si>
  <si>
    <t>Kas berkurang karena membeli bensin.</t>
  </si>
  <si>
    <t>Beban administrasi bertambah.</t>
  </si>
  <si>
    <t>Bank berkurang karena biaya administrasi.</t>
  </si>
  <si>
    <t>Beban ATK bertambah.</t>
  </si>
  <si>
    <t>Kas berkurang karena pembelian ATK.</t>
  </si>
  <si>
    <t>Beban pemeliharaan bertambah.</t>
  </si>
  <si>
    <t>Beban bunga bertambah.</t>
  </si>
  <si>
    <t>Utang bunga bertambah karena bunga belum dibayar.</t>
  </si>
  <si>
    <t>Beban konsumsi bertambah.</t>
  </si>
  <si>
    <t>Kas berkurang karena pembayaran konsumsi.</t>
  </si>
  <si>
    <t>TOTAL</t>
  </si>
  <si>
    <t>JURNAL PENYESUAIAN - AREA LATIHAN</t>
  </si>
  <si>
    <t>Kerjakan jurnal penyesuaian berdasarkan informasi akhir periode di bawah ini.</t>
  </si>
  <si>
    <t>Isi kolom Akun, Debit, dan Kredit. Kolom Cek membandingkan jawaban dengan Kunci_Penyesuaian.</t>
  </si>
  <si>
    <t>Jenis Penyesuaian</t>
  </si>
  <si>
    <t>Informasi Akhir Periode</t>
  </si>
  <si>
    <t>Perlengkapan terpakai</t>
  </si>
  <si>
    <t>Hasil pemeriksaan fisik menunjukkan perlengkapan yang masih tersisa sebesar Rp2.500.000. Saldo perlengkapan sebelum penyesuaian berasal dari pembelian Rp4.500.000.</t>
  </si>
  <si>
    <t>Beban perlengkapan diakui sebesar perlengkapan yang sudah terpakai.</t>
  </si>
  <si>
    <t>Sewa terpakai</t>
  </si>
  <si>
    <t>Dari sewa dibayar di muka, bagian yang sudah menjadi beban periode berjalan adalah Rp4.000.000.</t>
  </si>
  <si>
    <t>Kurangi aset sewa dibayar di muka dan akui beban sewa.</t>
  </si>
  <si>
    <t>Asuransi terpakai</t>
  </si>
  <si>
    <t>Premi asuransi dibayar di muka yang sudah terpakai sampai akhir periode sebesar Rp1.000.000.</t>
  </si>
  <si>
    <t>Kurangi aset asuransi dibayar di muka dan akui beban asuransi.</t>
  </si>
  <si>
    <t>Iklan terpakai</t>
  </si>
  <si>
    <t>Paket iklan dibayar di muka yang sudah tayang dan menjadi beban periode berjalan sebesar Rp1.500.000.</t>
  </si>
  <si>
    <t>Kurangi iklan dibayar di muka dan akui beban iklan.</t>
  </si>
  <si>
    <t>Penyusutan peralatan</t>
  </si>
  <si>
    <t>Penyusutan peralatan periode ini dihitung sebesar Rp1.800.000.</t>
  </si>
  <si>
    <t>Akui beban penyusutan dan akumulasi penyusutan peralatan.</t>
  </si>
  <si>
    <t>Penyusutan kendaraan</t>
  </si>
  <si>
    <t>Penyusutan kendaraan periode ini dihitung sebesar Rp2.400.000.</t>
  </si>
  <si>
    <t>Gunakan Beban Lain-lain karena akun beban penyusutan kendaraan belum tersedia di COA.</t>
  </si>
  <si>
    <t>Penyusutan gedung</t>
  </si>
  <si>
    <t>Penyusutan gedung periode ini dihitung sebesar Rp3.500.000.</t>
  </si>
  <si>
    <t>Gunakan Beban Lain-lain karena akun beban penyusutan gedung belum tersedia di COA.</t>
  </si>
  <si>
    <t>Gaji masih harus dibayar</t>
  </si>
  <si>
    <t>Gaji karyawan akhir periode yang sudah menjadi beban tetapi belum dibayar sebesar Rp2.000.000.</t>
  </si>
  <si>
    <t>Akui beban gaji dan utang gaji.</t>
  </si>
  <si>
    <t>Bunga masih harus dibayar</t>
  </si>
  <si>
    <t>Bunga pinjaman bank akhir periode yang sudah menjadi beban tetapi belum dibayar sebesar Rp1.200.000.</t>
  </si>
  <si>
    <t>Akui beban bunga dan utang bunga.</t>
  </si>
  <si>
    <t>Pendapatan diterima di muka menjadi pendapatan</t>
  </si>
  <si>
    <t>Dari pendapatan diterima di muka, jasa yang sudah selesai diberikan kepada pelanggan sebesar Rp5.000.000.</t>
  </si>
  <si>
    <t>Kurangi pendapatan diterima di muka dan akui pendapatan jasa.</t>
  </si>
  <si>
    <t>Catatan belajar: Jurnal penyesuaian dibuat pada akhir periode untuk mengakui beban/pendapatan yang sudah terjadi tetapi belum dicatat, serta menyesuaikan aset dibayar di muka dan penyusutan aset tetap.</t>
  </si>
  <si>
    <t>Sheet ini digunakan sebagai kunci jawaban dan sumber perhitungan Neraca Saldo Setelah Penyesuaian.</t>
  </si>
  <si>
    <t>Perlengkapan yang terpakai diakui sebagai beban.</t>
  </si>
  <si>
    <t>Aset perlengkapan berkurang sebesar yang sudah dipakai.</t>
  </si>
  <si>
    <t>Sewa yang sudah digunakan diakui sebagai beban.</t>
  </si>
  <si>
    <t>Aset sewa dibayar di muka berkurang.</t>
  </si>
  <si>
    <t>Asuransi yang sudah terpakai diakui sebagai beban.</t>
  </si>
  <si>
    <t>Aset asuransi dibayar di muka berkurang.</t>
  </si>
  <si>
    <t>Iklan yang sudah tayang diakui sebagai beban.</t>
  </si>
  <si>
    <t>Aset iklan dibayar di muka berkurang.</t>
  </si>
  <si>
    <t>Penyusutan peralatan periode berjalan diakui sebagai beban.</t>
  </si>
  <si>
    <t>Akumulasi penyusutan peralatan bertambah.</t>
  </si>
  <si>
    <t>Penyusutan kendaraan dicatat pada beban lain-lain sesuai COA latihan.</t>
  </si>
  <si>
    <t>Akumulasi penyusutan kendaraan bertambah.</t>
  </si>
  <si>
    <t>Penyusutan gedung dicatat pada beban lain-lain sesuai COA latihan.</t>
  </si>
  <si>
    <t>Akumulasi penyusutan gedung bertambah.</t>
  </si>
  <si>
    <t>Gaji yang sudah menjadi beban tetapi belum dibayar diakui.</t>
  </si>
  <si>
    <t>Utang gaji bertambah.</t>
  </si>
  <si>
    <t>Bunga yang sudah menjadi beban tetapi belum dibayar diakui.</t>
  </si>
  <si>
    <t>Utang bunga bertambah.</t>
  </si>
  <si>
    <t>Kewajiban berkurang karena jasa sudah diberikan.</t>
  </si>
  <si>
    <t>Pendapatan jasa diakui atas jasa yang sudah selesai.</t>
  </si>
  <si>
    <t>CEK</t>
  </si>
  <si>
    <t>Debit JU</t>
  </si>
  <si>
    <t>Kredit JU</t>
  </si>
  <si>
    <t>Debit Penyesuaian</t>
  </si>
  <si>
    <t>Kredit Penyesuaian</t>
  </si>
  <si>
    <t>Saldo Debit</t>
  </si>
  <si>
    <t>Saldo Kredit</t>
  </si>
  <si>
    <t>LAPORAN LABA RUGI</t>
  </si>
  <si>
    <t>NERACA</t>
  </si>
  <si>
    <t>Jumlah (Rp)</t>
  </si>
  <si>
    <t>Total Pendapatan</t>
  </si>
  <si>
    <t>Total Aset</t>
  </si>
  <si>
    <t>Total Beban</t>
  </si>
  <si>
    <t>Laba Bersih</t>
  </si>
  <si>
    <t>Total Liabilitas</t>
  </si>
  <si>
    <t>Laba Bersih Berjalan</t>
  </si>
  <si>
    <t>Total Ekuitas</t>
  </si>
  <si>
    <t>Total Liabilitas + Ekuitas</t>
  </si>
  <si>
    <t>Cek Neraca</t>
  </si>
  <si>
    <t>Jurnal ini otomatis menutup pendapatan, beban, dan prive berdasarkan Neraca Saldo Setelah Penyesuaian.</t>
  </si>
  <si>
    <t>Menutup akun pendapatan</t>
  </si>
  <si>
    <t>Total pendapatan ditutup ke Saldo Laba</t>
  </si>
  <si>
    <t>Total beban ditutup ke Saldo Laba</t>
  </si>
  <si>
    <t>Menutup akun beban</t>
  </si>
  <si>
    <t>Menutup prive ke modal</t>
  </si>
  <si>
    <t>Menutup akun prive</t>
  </si>
  <si>
    <t>NERACA SALDO SETELAH PENUTUPAN</t>
  </si>
  <si>
    <t>KAMUS RUMUS DAN LOGIKA FILE</t>
  </si>
  <si>
    <t>Rumus / Konsep</t>
  </si>
  <si>
    <t>Contoh</t>
  </si>
  <si>
    <t>Penjelasan</t>
  </si>
  <si>
    <t>SUMIF</t>
  </si>
  <si>
    <t>=SUMIF(Kunci_Jurnal!$C:$C,Akun,Kunci_Jurnal!$D:$D)</t>
  </si>
  <si>
    <t>Menjumlahkan debit/kredit berdasarkan nama akun.</t>
  </si>
  <si>
    <t>MAX(0, Debit-Kredit)</t>
  </si>
  <si>
    <t>Menentukan saldo debit jika total debit lebih besar dari kredit.</t>
  </si>
  <si>
    <t>MAX(0, Kredit-Debit)</t>
  </si>
  <si>
    <t>Menentukan saldo kredit jika total kredit lebih besar dari debit.</t>
  </si>
  <si>
    <t>Cek Balance</t>
  </si>
  <si>
    <t>=IF(TotalDebit=TotalKredit,"BALANCE","SELISIH")</t>
  </si>
  <si>
    <t>Memastikan total debit sama dengan total kredit.</t>
  </si>
  <si>
    <t>Total Pendapatan - Total Beban</t>
  </si>
  <si>
    <t>Jika positif berarti laba, jika negatif berarti rugi.</t>
  </si>
  <si>
    <t>Debit - Kredit</t>
  </si>
  <si>
    <t>Aset normalnya bersaldo debit. Akumulasi penyusutan adalah aset kontra sehingga nilainya mengurangi aset.</t>
  </si>
  <si>
    <t>Kredit - Debit</t>
  </si>
  <si>
    <t>Utang normalnya bersaldo kredit.</t>
  </si>
  <si>
    <t>Kredit - Debit + Laba Bersih - Prive</t>
  </si>
  <si>
    <t>Ekuitas akhir memasukkan laba berjalan dan mengurangi prive.</t>
  </si>
  <si>
    <t>Jurnal Penutup</t>
  </si>
  <si>
    <t>Pendapatan dan beban ditutup ke Saldo Laba</t>
  </si>
  <si>
    <t>Setelah penutupan, pendapatan, beban, dan prive menjadi nol.</t>
  </si>
  <si>
    <t>Nama akun harus sama</t>
  </si>
  <si>
    <t>Perbedaan spasi/huruf membuat SUMIF tidak membaca akun tersebut.</t>
  </si>
  <si>
    <t>Kunci_Penyesuaian</t>
  </si>
  <si>
    <t>Sumber jurnal penyesuaian untuk perhitungan otomatis.</t>
  </si>
  <si>
    <t>Dipakai dalam Buku_Besar, NS_Setelah_Penyesuaian, dan NS_Setelah_Penutupan.</t>
  </si>
  <si>
    <t>LATIHAN 50 SOAL AKUNTANSI PEMULA, JURNAL UMUM BERFUNGSI TEMPAT MENCATAT TRANSAKSI PERTAMA KALI.</t>
  </si>
  <si>
    <t>KUNCI JURNAL UMUM - 50 SOAL / 100 BARIS,  JURNAL UMUM BERFUNGSI TEMPAT MENCATAT TRANSAKSI PERTAMA KALI.</t>
  </si>
  <si>
    <t>BUKU BESAR RINGKAS - OTOMATIS, FUNGSI BUKU BESAR MENGELOMPOKKAN TRANSAKSI BERDASARKAN AKUN.</t>
  </si>
  <si>
    <t>NERACA SALDO - SEBELUM PENYESUAIAN, FUNGSI NERACA SALDO MENGECEK SALDO SELURUH AKUN.</t>
  </si>
  <si>
    <t>SOAL JURNAL PENYESUAIAN AKHIR PERIODE, FUNGSI JURNAL PENYESUAIAN MENCATAT TRANSAKSI YANG BELUM TERCATAT ATAU PERLU DIPERBAIKI.</t>
  </si>
  <si>
    <t>KUNCI JURNAL PENYESUAIAN, FUNGSI JURNAL PENYESUAIAN MENCATAT TRANSAKSI YANG BELUM TERCATAT ATAU PERLU DIPERBAIKI.</t>
  </si>
  <si>
    <t>NERACA SALDO SETELAH PENYESUAIAN, FUNGSI MENGGABUNGKAN: NERACA SALDO + JURNAL PENYESUAIAN</t>
  </si>
  <si>
    <t>LAPORAN KEUANGAN - OTOMATIS, FUNGSI INI TUJUAN AKHIR SELURUH PROSES.</t>
  </si>
  <si>
    <t>JURNAL PENUTUP - OTOMATIS, FUNGSI MELIHAT SALDO AKHIR SETELAH TUTUP BUKU.</t>
  </si>
  <si>
    <t>50 Transaksi</t>
  </si>
  <si>
    <t>↓</t>
  </si>
  <si>
    <t>Jurnal Umum</t>
  </si>
  <si>
    <t>(Catat)</t>
  </si>
  <si>
    <t>Buku Besar</t>
  </si>
  <si>
    <t>(Kelompokkan)</t>
  </si>
  <si>
    <t>Neraca Saldo</t>
  </si>
  <si>
    <t>(Cek saldo)</t>
  </si>
  <si>
    <t>Penyesuaian</t>
  </si>
  <si>
    <t>(Perbaiki)</t>
  </si>
  <si>
    <t>NS Setelah Penyesuaian</t>
  </si>
  <si>
    <t>(Cek ulang)</t>
  </si>
  <si>
    <t>Laporan Keuangan</t>
  </si>
  <si>
    <t>(Hasil akhir)</t>
  </si>
  <si>
    <t>(Tutup akun sementara)</t>
  </si>
  <si>
    <t>NS Setelah Penutupan</t>
  </si>
  <si>
    <t>(Siap periode baru)</t>
  </si>
  <si>
    <t>Debit Penutup</t>
  </si>
  <si>
    <t>Kredit Penutup</t>
  </si>
  <si>
    <t>Saldo Debit Akhir</t>
  </si>
  <si>
    <t>Saldo Kredit Akhir</t>
  </si>
  <si>
    <t>Ambil Dari Penyesuaian</t>
  </si>
  <si>
    <t>Ambil Dari Jurnal Penutup</t>
  </si>
  <si>
    <t>ambil dari JU, total debit kredit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</si>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</sst>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;[Red]\(#,##0\);\-"/>
  </numFmts>
  <fonts count="14" x14ac:knownFonts="1">
    <font>
      <sz val="11"/>
      <name val="Carlito"/>
    </font>
    <font>
      <b/>
      <sz val="14"/>
      <color rgb="FFFFFFFF"/>
      <name val="Carlito"/>
      <family val="2"/>
    </font>
    <font>
      <b/>
      <sz val="11"/>
      <color rgb="FFFFFFFF"/>
      <name val="Carlito"/>
      <family val="2"/>
    </font>
    <font>
      <i/>
      <sz val="11"/>
      <name val="Carlito"/>
      <family val="2"/>
    </font>
    <font>
      <b/>
      <sz val="11"/>
      <name val="Carlito"/>
      <family val="2"/>
    </font>
    <font>
      <sz val="11"/>
      <name val="Calibri"/>
      <family val="2"/>
    </font>
    <font>
      <b/>
      <sz val="11"/>
      <color rgb="FFFFFFFF"/>
      <name val="Carlito"/>
      <family val="2"/>
    </font>
    <font>
      <b/>
      <sz val="11"/>
      <name val="Carlito"/>
      <family val="2"/>
    </font>
    <font>
      <b/>
      <sz val="14"/>
      <color rgb="FFFFFFFF"/>
      <name val="Carlito"/>
      <family val="2"/>
    </font>
    <font>
      <sz val="11"/>
      <name val="Carlito"/>
      <family val="2"/>
    </font>
    <font>
      <b/>
      <sz val="11"/>
      <color rgb="FFFFFFFF"/>
      <name val="Carlito"/>
      <family val="2"/>
    </font>
    <font>
      <sz val="11"/>
      <name val="Calibri"/>
      <family val="2"/>
    </font>
    <font>
      <b/>
      <sz val="11"/>
      <color theme="0"/>
      <name val="Carlito"/>
      <family val="2"/>
    </font>
    <font>
      <b/>
      <sz val="11"/>
      <color theme="1"/>
      <name val="Carlito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9DC3E6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/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/>
      <diagonal/>
    </border>
  </borders>
  <cellStyleXfs count="1">
    <xf numFmtId="0" fontId="0" fillId="0" borderId="1"/>
  </cellStyleXfs>
  <cellXfs count="95">
    <xf numFmtId="0" fontId="0" fillId="0" borderId="0" xfId="0" applyBorder="1"/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4" fillId="6" borderId="0" xfId="0" applyFont="1" applyFill="1" applyBorder="1"/>
    <xf numFmtId="0" fontId="4" fillId="7" borderId="0" xfId="0" applyFont="1" applyFill="1" applyBorder="1"/>
    <xf numFmtId="164" fontId="0" fillId="0" borderId="0" xfId="0" applyNumberFormat="1" applyBorder="1"/>
    <xf numFmtId="165" fontId="0" fillId="0" borderId="0" xfId="0" applyNumberFormat="1" applyBorder="1"/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vertical="center" wrapText="1"/>
    </xf>
    <xf numFmtId="14" fontId="0" fillId="11" borderId="3" xfId="0" applyNumberFormat="1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3" fontId="0" fillId="6" borderId="3" xfId="0" applyNumberForma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5" fillId="0" borderId="1" xfId="0" applyFont="1"/>
    <xf numFmtId="0" fontId="0" fillId="10" borderId="3" xfId="0" applyFill="1" applyBorder="1" applyAlignment="1">
      <alignment vertical="center" wrapText="1"/>
    </xf>
    <xf numFmtId="14" fontId="0" fillId="10" borderId="3" xfId="0" applyNumberFormat="1" applyFill="1" applyBorder="1" applyAlignment="1">
      <alignment vertical="center" wrapText="1"/>
    </xf>
    <xf numFmtId="3" fontId="0" fillId="10" borderId="3" xfId="0" applyNumberFormat="1" applyFill="1" applyBorder="1" applyAlignment="1">
      <alignment vertical="center" wrapText="1"/>
    </xf>
    <xf numFmtId="3" fontId="0" fillId="11" borderId="3" xfId="0" applyNumberForma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3" fontId="0" fillId="0" borderId="0" xfId="0" applyNumberFormat="1" applyBorder="1"/>
    <xf numFmtId="3" fontId="2" fillId="3" borderId="0" xfId="0" applyNumberFormat="1" applyFont="1" applyFill="1" applyBorder="1" applyAlignment="1">
      <alignment horizontal="center" vertical="center" wrapText="1"/>
    </xf>
    <xf numFmtId="165" fontId="4" fillId="6" borderId="0" xfId="0" applyNumberFormat="1" applyFont="1" applyFill="1" applyBorder="1"/>
    <xf numFmtId="3" fontId="4" fillId="6" borderId="0" xfId="0" applyNumberFormat="1" applyFont="1" applyFill="1" applyBorder="1"/>
    <xf numFmtId="165" fontId="4" fillId="7" borderId="0" xfId="0" applyNumberFormat="1" applyFont="1" applyFill="1" applyBorder="1"/>
    <xf numFmtId="3" fontId="4" fillId="7" borderId="0" xfId="0" applyNumberFormat="1" applyFont="1" applyFill="1" applyBorder="1"/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13" borderId="0" xfId="0" applyFill="1" applyBorder="1"/>
    <xf numFmtId="3" fontId="0" fillId="13" borderId="0" xfId="0" applyNumberFormat="1" applyFill="1" applyBorder="1"/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1" xfId="0" applyBorder="1"/>
    <xf numFmtId="0" fontId="4" fillId="14" borderId="6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Border="1" applyAlignment="1"/>
    <xf numFmtId="0" fontId="3" fillId="4" borderId="0" xfId="0" applyFont="1" applyFill="1" applyBorder="1" applyAlignment="1"/>
    <xf numFmtId="0" fontId="2" fillId="3" borderId="0" xfId="0" applyFont="1" applyFill="1" applyBorder="1" applyAlignment="1">
      <alignment horizontal="center" vertical="center"/>
    </xf>
    <xf numFmtId="164" fontId="0" fillId="0" borderId="0" xfId="0" applyNumberFormat="1" applyBorder="1" applyAlignment="1"/>
    <xf numFmtId="165" fontId="0" fillId="0" borderId="0" xfId="0" applyNumberFormat="1" applyBorder="1" applyAlignment="1"/>
    <xf numFmtId="49" fontId="0" fillId="0" borderId="1" xfId="0" applyNumberFormat="1" applyBorder="1" applyAlignment="1">
      <alignment vertical="center"/>
    </xf>
    <xf numFmtId="0" fontId="9" fillId="0" borderId="0" xfId="0" applyFont="1" applyBorder="1"/>
    <xf numFmtId="0" fontId="11" fillId="0" borderId="1" xfId="0" applyFont="1"/>
    <xf numFmtId="0" fontId="9" fillId="0" borderId="1" xfId="0" applyFont="1" applyBorder="1" applyAlignment="1">
      <alignment vertical="center"/>
    </xf>
    <xf numFmtId="0" fontId="4" fillId="14" borderId="5" xfId="0" applyFont="1" applyFill="1" applyBorder="1" applyAlignment="1">
      <alignment horizontal="center" vertical="center"/>
    </xf>
    <xf numFmtId="0" fontId="0" fillId="0" borderId="0" xfId="0" applyNumberFormat="1" applyBorder="1" applyAlignment="1"/>
    <xf numFmtId="0" fontId="0" fillId="0" borderId="1" xfId="0" applyNumberFormat="1" applyAlignment="1"/>
    <xf numFmtId="3" fontId="0" fillId="0" borderId="0" xfId="0" applyNumberFormat="1" applyBorder="1" applyAlignment="1"/>
    <xf numFmtId="0" fontId="2" fillId="3" borderId="0" xfId="0" applyNumberFormat="1" applyFont="1" applyFill="1" applyBorder="1" applyAlignment="1">
      <alignment horizontal="center" vertical="center"/>
    </xf>
    <xf numFmtId="0" fontId="12" fillId="15" borderId="1" xfId="0" applyFont="1" applyFill="1" applyAlignment="1">
      <alignment horizontal="center" vertical="center"/>
    </xf>
    <xf numFmtId="3" fontId="0" fillId="0" borderId="1" xfId="0" applyNumberFormat="1"/>
    <xf numFmtId="3" fontId="9" fillId="0" borderId="1" xfId="0" applyNumberFormat="1" applyFont="1"/>
    <xf numFmtId="0" fontId="5" fillId="10" borderId="8" xfId="0" applyFont="1" applyFill="1" applyBorder="1" applyAlignment="1">
      <alignment vertical="top" wrapText="1"/>
    </xf>
    <xf numFmtId="0" fontId="5" fillId="11" borderId="8" xfId="0" applyFont="1" applyFill="1" applyBorder="1" applyAlignment="1">
      <alignment vertical="top" wrapText="1"/>
    </xf>
    <xf numFmtId="14" fontId="5" fillId="10" borderId="4" xfId="0" applyNumberFormat="1" applyFont="1" applyFill="1" applyBorder="1" applyAlignment="1">
      <alignment vertical="top"/>
    </xf>
    <xf numFmtId="0" fontId="5" fillId="10" borderId="4" xfId="0" applyFont="1" applyFill="1" applyBorder="1" applyAlignment="1">
      <alignment vertical="top"/>
    </xf>
    <xf numFmtId="3" fontId="5" fillId="10" borderId="4" xfId="0" applyNumberFormat="1" applyFont="1" applyFill="1" applyBorder="1" applyAlignment="1">
      <alignment vertical="top"/>
    </xf>
    <xf numFmtId="0" fontId="5" fillId="0" borderId="4" xfId="0" applyFont="1" applyBorder="1" applyAlignment="1"/>
    <xf numFmtId="14" fontId="5" fillId="11" borderId="4" xfId="0" applyNumberFormat="1" applyFont="1" applyFill="1" applyBorder="1" applyAlignment="1">
      <alignment vertical="top"/>
    </xf>
    <xf numFmtId="0" fontId="5" fillId="11" borderId="4" xfId="0" applyFont="1" applyFill="1" applyBorder="1" applyAlignment="1">
      <alignment vertical="top"/>
    </xf>
    <xf numFmtId="3" fontId="5" fillId="11" borderId="4" xfId="0" applyNumberFormat="1" applyFont="1" applyFill="1" applyBorder="1" applyAlignment="1">
      <alignment vertical="top"/>
    </xf>
    <xf numFmtId="0" fontId="5" fillId="10" borderId="4" xfId="0" applyFont="1" applyFill="1" applyBorder="1" applyAlignment="1">
      <alignment vertical="top" wrapText="1"/>
    </xf>
    <xf numFmtId="0" fontId="5" fillId="0" borderId="4" xfId="0" applyFont="1" applyBorder="1" applyAlignment="1">
      <alignment wrapText="1"/>
    </xf>
    <xf numFmtId="0" fontId="5" fillId="11" borderId="4" xfId="0" applyFont="1" applyFill="1" applyBorder="1" applyAlignment="1">
      <alignment vertical="top" wrapText="1"/>
    </xf>
    <xf numFmtId="0" fontId="6" fillId="2" borderId="9" xfId="0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4" fillId="13" borderId="4" xfId="0" applyFont="1" applyFill="1" applyBorder="1"/>
    <xf numFmtId="3" fontId="4" fillId="13" borderId="4" xfId="0" applyNumberFormat="1" applyFont="1" applyFill="1" applyBorder="1"/>
    <xf numFmtId="0" fontId="9" fillId="0" borderId="0" xfId="0" applyNumberFormat="1" applyFont="1" applyBorder="1" applyAlignment="1"/>
    <xf numFmtId="0" fontId="9" fillId="0" borderId="0" xfId="0" applyFont="1" applyBorder="1" applyAlignment="1"/>
    <xf numFmtId="0" fontId="1" fillId="2" borderId="1" xfId="0" applyFont="1" applyFill="1" applyAlignment="1">
      <alignment horizontal="center" vertical="center"/>
    </xf>
    <xf numFmtId="0" fontId="0" fillId="0" borderId="1" xfId="0"/>
    <xf numFmtId="0" fontId="0" fillId="0" borderId="1" xfId="0" applyAlignment="1"/>
    <xf numFmtId="0" fontId="8" fillId="2" borderId="1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8" borderId="1" xfId="0" applyFont="1" applyFill="1" applyAlignment="1">
      <alignment vertical="center" wrapText="1"/>
    </xf>
    <xf numFmtId="0" fontId="10" fillId="2" borderId="1" xfId="0" applyFont="1" applyFill="1" applyAlignment="1">
      <alignment horizontal="center" vertical="center"/>
    </xf>
    <xf numFmtId="0" fontId="6" fillId="2" borderId="1" xfId="0" applyFont="1" applyFill="1" applyAlignment="1">
      <alignment horizontal="center" vertical="center"/>
    </xf>
    <xf numFmtId="0" fontId="5" fillId="12" borderId="3" xfId="0" applyFont="1" applyFill="1" applyBorder="1" applyAlignment="1">
      <alignment vertical="top" wrapText="1"/>
    </xf>
    <xf numFmtId="0" fontId="0" fillId="0" borderId="3" xfId="0" applyBorder="1"/>
    <xf numFmtId="0" fontId="7" fillId="8" borderId="1" xfId="0" applyFont="1" applyFill="1"/>
    <xf numFmtId="0" fontId="10" fillId="2" borderId="1" xfId="0" applyFont="1" applyFill="1" applyAlignment="1">
      <alignment horizontal="center"/>
    </xf>
    <xf numFmtId="0" fontId="8" fillId="2" borderId="1" xfId="0" applyFont="1" applyFill="1" applyAlignment="1">
      <alignment horizontal="center" vertical="center" wrapText="1"/>
    </xf>
    <xf numFmtId="0" fontId="4" fillId="5" borderId="1" xfId="0" applyFont="1" applyFill="1" applyAlignment="1">
      <alignment horizontal="center" vertical="center" wrapText="1"/>
    </xf>
  </cellXfs>
  <cellStyles count="1">
    <cellStyle name="Normal" xfId="0" builtinId="0"/>
  </cellStyles>
  <dxfs count="8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numFmt numFmtId="3" formatCode="#,##0"/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numFmt numFmtId="3" formatCode="#,##0"/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numFmt numFmtId="3" formatCode="#,##0"/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165" formatCode="#,##0;[Red]\(#,##0\);\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165" formatCode="#,##0;[Red]\(#,##0\);\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4F81BD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solid">
          <fgColor indexed="64"/>
          <bgColor rgb="FF9DC3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  <dxf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numFmt numFmtId="3" formatCode="#,##0"/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numFmt numFmtId="3" formatCode="#,##0"/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numFmt numFmtId="19" formatCode="dd/mm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border outline="0">
        <top style="thin">
          <color rgb="FF4F81BD"/>
        </top>
        <bottom style="thin">
          <color rgb="FF4F81BD"/>
        </bottom>
      </border>
    </dxf>
    <dxf>
      <border outline="0">
        <bottom style="thin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solid">
          <fgColor indexed="64"/>
          <bgColor rgb="FF9DC3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#,##0;[Red]\(#,##0\);\-"/>
    </dxf>
    <dxf>
      <numFmt numFmtId="165" formatCode="#,##0;[Red]\(#,##0\);\-"/>
    </dxf>
    <dxf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textRotation="0" wrapText="0" indent="0" justifyLastLine="0" shrinkToFit="0" readingOrder="0"/>
    </dxf>
    <dxf>
      <numFmt numFmtId="0" formatCode="General"/>
      <alignment textRotation="0" wrapText="0" indent="0" justifyLastLine="0" shrinkToFit="0" readingOrder="0"/>
    </dxf>
    <dxf>
      <numFmt numFmtId="3" formatCode="#,##0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64" formatCode="dd\-mmm\-yyyy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A_Table" displayName="COA_Table" ref="A3:F67">
  <tableColumns count="6">
    <tableColumn id="1" xr3:uid="{00000000-0010-0000-0000-000001000000}" name="Kode Akun"/>
    <tableColumn id="2" xr3:uid="{00000000-0010-0000-0000-000002000000}" name="Nama Akun"/>
    <tableColumn id="3" xr3:uid="{00000000-0010-0000-0000-000003000000}" name="Kategori"/>
    <tableColumn id="4" xr3:uid="{00000000-0010-0000-0000-000004000000}" name="Saldo Normal"/>
    <tableColumn id="5" xr3:uid="{00000000-0010-0000-0000-000005000000}" name="Kelompok Laporan"/>
    <tableColumn id="6" xr3:uid="{00000000-0010-0000-0000-000006000000}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E9B47-5805-428B-BB00-F35B5646FDE4}" name="jurnal" displayName="jurnal" ref="I3:N103" totalsRowShown="0" headerRowDxfId="78" dataDxfId="77">
  <autoFilter ref="I3:N103" xr:uid="{BC3E9B47-5805-428B-BB00-F35B5646FDE4}"/>
  <tableColumns count="6">
    <tableColumn id="1" xr3:uid="{55853972-7068-4688-9FA0-02E3B34B1177}" name="No" dataDxfId="76"/>
    <tableColumn id="2" xr3:uid="{B69AEB0F-B406-4D0B-B099-CAE45B72E7DA}" name="Tanggal" dataDxfId="75"/>
    <tableColumn id="3" xr3:uid="{6D3EB48E-F381-4174-A489-7D0D6D96B90B}" name="Akun" dataDxfId="74"/>
    <tableColumn id="4" xr3:uid="{D3BEE935-9A10-40E2-8BA5-4DBE03222609}" name="Debit (Rp)" dataDxfId="73">
      <calculatedColumnFormula>Tabel2[[#This Row],[Nominal (Rp)]]</calculatedColumnFormula>
    </tableColumn>
    <tableColumn id="5" xr3:uid="{0C7052DE-7752-4929-8E38-A18B47EAB490}" name="Kredit (Rp)" dataDxfId="72"/>
    <tableColumn id="6" xr3:uid="{323A8511-9F06-42CB-8717-4D8ACE9A0B22}" name="Cek" dataDxfId="71">
      <calculatedColumnFormula>IF($K4="","",IF(AND($K4=Kunci_Jurnal!$C4,IF($L4="",0,$L4)=IF(Kunci_Jurnal!$D4="",0,Kunci_Jurnal!$D4),IF($M4="",0,$M4)=IF(Kunci_Jurnal!$E4="",0,Kunci_Jurnal!$E4)),"Benar","Cek lagi"))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5CFD5-BD4C-42C6-A204-FE5984C35E69}" name="Tabel2" displayName="Tabel2" ref="A3:G103" totalsRowShown="0" headerRowDxfId="70" dataDxfId="68" headerRowBorderDxfId="69" tableBorderDxfId="67" totalsRowBorderDxfId="66">
  <autoFilter ref="A3:G103" xr:uid="{2815CFD5-BD4C-42C6-A204-FE5984C35E69}"/>
  <tableColumns count="7">
    <tableColumn id="1" xr3:uid="{67A3090E-472E-4706-8BA3-8F11133B4F87}" name="No" dataDxfId="65"/>
    <tableColumn id="2" xr3:uid="{C1C6B72A-ABA5-48AD-AE26-79469E297B20}" name="Tanggal" dataDxfId="64"/>
    <tableColumn id="3" xr3:uid="{55BD0F38-638C-4CDF-BF3E-8359006DDAF5}" name="Jenis Transaksi" dataDxfId="63"/>
    <tableColumn id="4" xr3:uid="{D29824DA-14A9-466B-AD12-DBA55394B9BF}" name="Soal" dataDxfId="62"/>
    <tableColumn id="5" xr3:uid="{26D1BF1A-DB03-46FA-B246-B2319484B2A0}" name="Tambahan" dataDxfId="61"/>
    <tableColumn id="6" xr3:uid="{E3949691-6DCC-4405-91B2-D7755B330590}" name="Nominal (Rp)" dataDxfId="60"/>
    <tableColumn id="7" xr3:uid="{ABFE2E33-D9B4-4A1B-8520-0B33054B2D2D}" name="Petunjuk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4208D9-6106-4C2A-AF2C-24F28D17A4A3}" name="Tabel4" displayName="Tabel4" ref="A3:F103" totalsRowShown="0" headerRowDxfId="58">
  <autoFilter ref="A3:F103" xr:uid="{5B4208D9-6106-4C2A-AF2C-24F28D17A4A3}"/>
  <tableColumns count="6">
    <tableColumn id="1" xr3:uid="{7A463532-E80E-47BA-826C-13A1CD2AD79B}" name="No"/>
    <tableColumn id="2" xr3:uid="{9484F40E-006D-468E-A4CE-B6D0F26704E9}" name="Tanggal" dataDxfId="57"/>
    <tableColumn id="3" xr3:uid="{70FDA0CF-29DE-417E-821A-00B419E42601}" name="Akun"/>
    <tableColumn id="4" xr3:uid="{9E01C50E-4680-4262-91E0-B0464C48C5AD}" name="Debit (Rp)" dataDxfId="56"/>
    <tableColumn id="5" xr3:uid="{EA9BF4B7-0830-4E40-8FBA-0A09D9D1465D}" name="Kredit (Rp)" dataDxfId="55"/>
    <tableColumn id="6" xr3:uid="{7A97570C-94FB-4E12-A367-B537886F6D38}" name="Alasan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222E34-E9F0-4135-93FB-2FE405DDF3D3}" name="buku_besar" displayName="buku_besar" ref="A3:N69" totalsRowShown="0" headerRowDxfId="53">
  <autoFilter ref="A3:N69" xr:uid="{B3222E34-E9F0-4135-93FB-2FE405DDF3D3}"/>
  <tableColumns count="14">
    <tableColumn id="1" xr3:uid="{DE05A7D4-A0F8-47A2-9E39-BC8D549A0EE4}" name="Kode Akun"/>
    <tableColumn id="2" xr3:uid="{580BA5E7-396A-4E25-96C0-036847EBE948}" name="Nama Akun"/>
    <tableColumn id="3" xr3:uid="{F2F8A34D-CA8C-40D0-AEC0-EEDF14689F4D}" name="Kategori"/>
    <tableColumn id="4" xr3:uid="{3B1CE285-B403-499F-A846-6F7253710A2E}" name="Saldo Normal" dataDxfId="52"/>
    <tableColumn id="5" xr3:uid="{17C862D9-FC2C-457E-B9F7-92889E43BB1C}" name="Debit JU" dataDxfId="51"/>
    <tableColumn id="6" xr3:uid="{257714DB-CD82-47D1-AFC0-01AF79E6DCF9}" name="Kredit JU" dataDxfId="50"/>
    <tableColumn id="7" xr3:uid="{B4C1E2D3-1048-4FF4-AD90-67D08AA3F407}" name="Debit Penyesuaian" dataDxfId="49"/>
    <tableColumn id="8" xr3:uid="{ED7C4D88-40A8-4D78-9FDF-FFA45A6D2267}" name="Kredit Penyesuaian" dataDxfId="48"/>
    <tableColumn id="9" xr3:uid="{F0C8766C-6E9C-427B-84A3-7FE6B96216CF}" name="Saldo Debit" dataDxfId="47"/>
    <tableColumn id="10" xr3:uid="{43B5BBF4-79CC-487D-8568-C2E09C109254}" name="Saldo Kredit" dataDxfId="46"/>
    <tableColumn id="11" xr3:uid="{0BCA5723-421C-49FC-8456-36531031542D}" name="Debit Penutup" dataDxfId="45"/>
    <tableColumn id="12" xr3:uid="{6E38A0E0-75C7-46E2-96CB-09F7163C8CF9}" name="Kredit Penutup" dataDxfId="44"/>
    <tableColumn id="13" xr3:uid="{52E7A43E-CAA4-4804-BF97-05E6B0F62590}" name="Saldo Debit Akhir" dataDxfId="43"/>
    <tableColumn id="14" xr3:uid="{FA2918C4-7DE6-4059-BCDA-93E27C798E21}" name="Saldo Kredit Akhir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2D8B157-33AC-4299-8AB1-A3447D88DEE3}" name="Table17" displayName="Table17" ref="A3:F67" totalsRowShown="0" headerRowDxfId="41">
  <autoFilter ref="A3:F67" xr:uid="{D2D8B157-33AC-4299-8AB1-A3447D88DEE3}"/>
  <tableColumns count="6">
    <tableColumn id="1" xr3:uid="{F15A975E-0C36-4540-BA36-E4EAA125EF8E}" name="Kode Akun"/>
    <tableColumn id="2" xr3:uid="{2713B30C-0090-426F-A2BA-4F8230F7B9F1}" name="Nama Akun"/>
    <tableColumn id="3" xr3:uid="{94D18102-D4A3-4BEB-9A76-08D78CB9AE06}" name="Kategori"/>
    <tableColumn id="4" xr3:uid="{7DC899C2-FB08-4C21-9662-7444BDA45721}" name="Saldo Normal" dataDxfId="40"/>
    <tableColumn id="5" xr3:uid="{A76069CB-F1C7-4169-B4CE-BD391F4EB412}" name="Debit (Rp)" dataDxfId="1">
      <calculatedColumnFormula>MAX(0,(SUMIF(buku_besar[Nama Akun],Table17[[#This Row],[Nama Akun]],buku_besar[Debit JU])-SUMIF(buku_besar[Nama Akun],Table17[[#This Row],[Nama Akun]],buku_besar[Kredit JU])))</calculatedColumnFormula>
    </tableColumn>
    <tableColumn id="6" xr3:uid="{C14304D1-6E83-4C5B-BB5F-3A47AA7602A1}" name="Kredit (Rp)" dataDxfId="0">
      <calculatedColumnFormula>MAX(0,(SUMIF(buku_besar[Nama Akun],Table17[[#This Row],[Nama Akun]],buku_besar[Kredit JU])-SUMIF(buku_besar[Nama Akun],Table17[[#This Row],[Nama Akun]],buku_besar[Debit JU])))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70EDEC-4917-4E6B-BCF4-21B671717684}" name="jurnal_penyesuaian" displayName="jurnal_penyesuaian" ref="J3:O25" totalsRowShown="0" headerRowDxfId="39" headerRowBorderDxfId="38" tableBorderDxfId="37">
  <autoFilter ref="J3:O25" xr:uid="{F770EDEC-4917-4E6B-BCF4-21B671717684}"/>
  <tableColumns count="6">
    <tableColumn id="1" xr3:uid="{39C73C42-1A85-4723-A720-5216FF4F8A1B}" name="No" dataDxfId="36"/>
    <tableColumn id="2" xr3:uid="{BF35217B-248F-45C0-A68B-287E2A291838}" name="Tanggal" dataDxfId="35"/>
    <tableColumn id="3" xr3:uid="{6B0BF157-6F17-4E66-A430-5B00F3C5FBFE}" name="Akun" dataDxfId="34"/>
    <tableColumn id="4" xr3:uid="{1ACA6083-47E8-4B64-923F-399879E60F0B}" name="Debit (Rp)" dataDxfId="33"/>
    <tableColumn id="5" xr3:uid="{2262C857-CC7F-4671-B045-B5420F9D3B77}" name="Kredit (Rp)" dataDxfId="32"/>
    <tableColumn id="6" xr3:uid="{02B8618A-C98B-44DF-B900-37AEC6DD0FFA}" name="Cek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4F6C3A-0632-40AB-9C43-FB96B9A6EF7F}" name="Table8" displayName="Table8" ref="A3:G22" totalsRowShown="0" headerRowDxfId="30" tableBorderDxfId="29">
  <autoFilter ref="A3:G22" xr:uid="{9F4F6C3A-0632-40AB-9C43-FB96B9A6EF7F}"/>
  <tableColumns count="7">
    <tableColumn id="1" xr3:uid="{99CF836A-F537-49D1-A636-35C7D6A01495}" name="No" dataDxfId="28"/>
    <tableColumn id="2" xr3:uid="{B131C0EC-B275-409E-8CC3-49363D55279D}" name="Tanggal"/>
    <tableColumn id="3" xr3:uid="{C30A8FBC-B8AD-4D1B-8C1C-A5FD5637D2EC}" name="Jenis Penyesuaian"/>
    <tableColumn id="4" xr3:uid="{9F3C3AC3-BF2F-4721-9403-D1216A901667}" name="Informasi Akhir Periode"/>
    <tableColumn id="5" xr3:uid="{2E9C162D-0FFF-4475-B5C0-72117FB9894F}" name="Nominal (Rp)"/>
    <tableColumn id="6" xr3:uid="{2F8C657C-ECB0-46E9-BF74-81E41F709F91}" name="No2"/>
    <tableColumn id="7" xr3:uid="{C53DC4BA-3B2C-48CE-9448-6B8916FAAF0E}" name="Petunju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B80EAA-E6BC-441A-B590-8A4D520E7FEE}" name="NS_SP" displayName="NS_SP" ref="A3:F67" totalsRowShown="0" headerRowDxfId="27">
  <autoFilter ref="A3:F67" xr:uid="{99B80EAA-E6BC-441A-B590-8A4D520E7FEE}"/>
  <tableColumns count="6">
    <tableColumn id="1" xr3:uid="{4E58658D-1014-4547-A310-0193AAFB6431}" name="Kode Akun"/>
    <tableColumn id="2" xr3:uid="{CC4C1567-EFCE-4C42-8684-2FC7EF87A4A9}" name="Nama Akun"/>
    <tableColumn id="3" xr3:uid="{6B627D1F-B81F-4FD8-ACCA-B8A28E5FF856}" name="Kategori"/>
    <tableColumn id="4" xr3:uid="{214CFD0F-5699-4B08-A894-01D62D2CAED1}" name="Saldo Normal" dataDxfId="26"/>
    <tableColumn id="5" xr3:uid="{8E0CDADC-BE1E-4C6A-A582-D26B5603C66D}" name="Debit (Rp)" dataDxfId="25">
      <calculatedColumnFormula>SUMIF(buku_besar[Nama Akun],$B4,buku_besar[Saldo Debit])</calculatedColumnFormula>
    </tableColumn>
    <tableColumn id="6" xr3:uid="{F1367D60-C6F2-4B2F-BB35-E7C3ED456FE9}" name="Kredit (Rp)" dataDxfId="24">
      <calculatedColumnFormula>SUMIF(buku_besar[Nama Akun],$B4,buku_besar[Saldo Kredit])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411AF9-724E-42FE-A829-3B4C7555940D}" name="Table9" displayName="Table9" ref="A4:B11" totalsRowShown="0" headerRowDxfId="23">
  <autoFilter ref="A4:B11" xr:uid="{47411AF9-724E-42FE-A829-3B4C7555940D}"/>
  <tableColumns count="2">
    <tableColumn id="1" xr3:uid="{95461AA2-40EA-40FF-B929-1E8C0A10CBBA}" name="Akun"/>
    <tableColumn id="2" xr3:uid="{D11A251B-DD5A-45FE-A31D-2122375A939F}" name="Jumlah (Rp)" dataDxfId="22">
      <calculatedColumnFormula>SUMIF(NS_SP[Nama Akun],Table9[[#This Row],[Akun]],NS_SP[Kredit (Rp)])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8BAFB1-9400-4758-B58B-C924C454CE55}" name="Table10" displayName="Table10" ref="A13:B33" totalsRowShown="0" headerRowDxfId="21">
  <autoFilter ref="A13:B33" xr:uid="{7A8BAFB1-9400-4758-B58B-C924C454CE55}"/>
  <tableColumns count="2">
    <tableColumn id="1" xr3:uid="{6B53DD55-440E-497C-A866-E18C3899734C}" name="Akun"/>
    <tableColumn id="2" xr3:uid="{1E83FBBE-D235-4CE2-A43C-A0E10FA79BAF}" name="Jumlah (Rp)" dataDxfId="20">
      <calculatedColumnFormula>SUMIF(NS_SP[Nama Akun],Table10[[#This Row],[Akun]],NS_SP[Debit (Rp)])-SUMIF(NS_SP[Nama Akun],Table10[[#This Row],[Akun]],NS_SP[Kredit (Rp)])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BEFF9E-A010-4210-881F-8FF55655D77B}" name="Table11" displayName="Table11" ref="D4:E23" totalsRowShown="0" headerRowDxfId="19">
  <autoFilter ref="D4:E23" xr:uid="{23BEFF9E-A010-4210-881F-8FF55655D77B}"/>
  <tableColumns count="2">
    <tableColumn id="1" xr3:uid="{7F4E95DD-6CC4-4D6C-941A-B136D274F94D}" name="Aset" dataDxfId="18"/>
    <tableColumn id="2" xr3:uid="{AF0BFF5E-149C-4DA7-862D-76AD9CAF8590}" name="Jumlah (Rp)" dataDxfId="17">
      <calculatedColumnFormula>SUMIF(NS_SP[Nama Akun],Table11[[#This Row],[Aset]],NS_SP[Debit (Rp)])-SUMIF(NS_SP[Nama Akun],Table11[[#This Row],[Aset]],NS_SP[Kredit (Rp)])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EF7863-388D-4C7D-8712-5144CD9F7664}" name="Table12" displayName="Table12" ref="D26:E38" totalsRowShown="0" headerRowDxfId="16">
  <autoFilter ref="D26:E38" xr:uid="{A2EF7863-388D-4C7D-8712-5144CD9F7664}"/>
  <tableColumns count="2">
    <tableColumn id="1" xr3:uid="{5F7DF13F-5E3C-4055-B077-3ED377C8312E}" name="Liabilitas" dataDxfId="15"/>
    <tableColumn id="2" xr3:uid="{1E892557-EEAE-45B4-9683-C4233F4B071E}" name="Jumlah (Rp)" dataDxfId="14">
      <calculatedColumnFormula>SUMIF(NS_SP[Nama Akun],Table12[[#This Row],[Liabilitas]],NS_SP[Kredit (Rp)])-SUMIF(NS_SP[Nama Akun],Table12[[#This Row],[Liabilitas]],NS_SP[Debit (Rp)])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437D25-AD4F-4CDB-B0F0-63EFAB04973D}" name="Table13" displayName="Table13" ref="D41:E48" totalsRowShown="0" headerRowDxfId="13">
  <autoFilter ref="D41:E48" xr:uid="{9E437D25-AD4F-4CDB-B0F0-63EFAB04973D}"/>
  <tableColumns count="2">
    <tableColumn id="1" xr3:uid="{12479D59-A10F-4E60-9CF1-09690C8DD782}" name="Ekuitas" dataDxfId="12"/>
    <tableColumn id="2" xr3:uid="{7C438CD3-9F66-4373-96FD-F8D9B70737BD}" name="Jumlah (Rp)" dataDxfId="11">
      <calculatedColumnFormula>SUMIF(NS_SP[Nama Akun],Table13[[#This Row],[Ekuitas]],NS_SP[Kredit (Rp)])-SUMIF(NS_SP[Nama Akun],Table13[[#This Row],[Ekuitas]],NS_SP[Debit (Rp)])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148CBE-38A2-4B63-938B-66BA0C4CE7BD}" name="jurnal_penutup" displayName="jurnal_penutup" ref="A3:F34" totalsRowShown="0" headerRowDxfId="10">
  <autoFilter ref="A3:F34" xr:uid="{00148CBE-38A2-4B63-938B-66BA0C4CE7BD}"/>
  <tableColumns count="6">
    <tableColumn id="1" xr3:uid="{2A3C5616-E855-47D9-AF9A-3C88DCED828D}" name="No"/>
    <tableColumn id="2" xr3:uid="{E2FB2126-A48C-4063-AE65-18640F3D86AE}" name="Tanggal" dataDxfId="9"/>
    <tableColumn id="3" xr3:uid="{F8BC1ED2-CD2E-45FC-9B70-B935CCD6565A}" name="Akun"/>
    <tableColumn id="4" xr3:uid="{AF6635F0-FC8C-4D0F-A3EF-3AC34B46B5CC}" name="Debit (Rp)" dataDxfId="8">
      <calculatedColumnFormula>SUMIF(NS_SP[Nama Akun],jurnal_penutup[[#This Row],[Akun]],NS_SP[Kredit (Rp)])-SUMIF(NS_SP[Nama Akun],jurnal_penutup[[#This Row],[Akun]],NS_SP[Debit (Rp)])</calculatedColumnFormula>
    </tableColumn>
    <tableColumn id="5" xr3:uid="{459611E4-D112-48C4-A611-256ECEB39A78}" name="Kredit (Rp)" dataDxfId="7"/>
    <tableColumn id="6" xr3:uid="{BE121B65-5B7E-49DE-B329-653375B054B0}" name="Keterangan" dataDxfId="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D6503F8-E622-4325-ABD7-AC6718388B25}" name="Table15" displayName="Table15" ref="A3:F67" totalsRowShown="0" headerRowDxfId="5">
  <autoFilter ref="A3:F67" xr:uid="{9D6503F8-E622-4325-ABD7-AC6718388B25}"/>
  <tableColumns count="6">
    <tableColumn id="1" xr3:uid="{73623F09-2706-4B3B-BB17-95896EEA5927}" name="Kode Akun"/>
    <tableColumn id="2" xr3:uid="{634E92BE-289A-4B40-B7C0-0D5B5ABA9847}" name="Nama Akun"/>
    <tableColumn id="3" xr3:uid="{6897AA4A-8925-4AEA-A540-B0416724E4BF}" name="Kategori"/>
    <tableColumn id="4" xr3:uid="{9980495E-D311-433A-8E0D-1D0B8718BC2D}" name="Saldo Normal" dataDxfId="4"/>
    <tableColumn id="5" xr3:uid="{7EBD2C2D-8158-449C-8BAB-3B4E11D5E968}" name="Debit (Rp)" dataDxfId="3">
      <calculatedColumnFormula>SUMIF(buku_besar[Nama Akun],Table15[[#This Row],[Nama Akun]],buku_besar[Saldo Debit Akhir])</calculatedColumnFormula>
    </tableColumn>
    <tableColumn id="6" xr3:uid="{8D919BBB-DFF9-4766-9A5C-FDA7E8B0D656}" name="Kredit (Rp)" dataDxfId="2">
      <calculatedColumnFormula>SUMIF(buku_besar[Nama Akun],Table15[[#This Row],[Nama Akun]],buku_besar[Saldo Kredit Akhir])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embar1"/>
  <dimension ref="A1:E14"/>
  <sheetViews>
    <sheetView workbookViewId="0">
      <selection activeCell="A19" sqref="A19"/>
    </sheetView>
  </sheetViews>
  <sheetFormatPr defaultRowHeight="14.4" x14ac:dyDescent="0.3"/>
  <cols>
    <col min="1" max="1" width="79.5546875" customWidth="1"/>
    <col min="2" max="2" width="80" customWidth="1"/>
    <col min="3" max="3" width="18" customWidth="1"/>
  </cols>
  <sheetData>
    <row r="1" spans="1:5" ht="24" customHeight="1" x14ac:dyDescent="0.3">
      <c r="A1" s="80" t="s">
        <v>0</v>
      </c>
      <c r="B1" s="81"/>
      <c r="C1" s="81"/>
      <c r="D1" s="81"/>
      <c r="E1" s="81"/>
    </row>
    <row r="3" spans="1:5" x14ac:dyDescent="0.3">
      <c r="A3" s="33" t="s">
        <v>1</v>
      </c>
      <c r="B3" s="33" t="s">
        <v>2</v>
      </c>
      <c r="C3" s="33" t="s">
        <v>3</v>
      </c>
    </row>
    <row r="4" spans="1:5" x14ac:dyDescent="0.3">
      <c r="A4" s="34" t="s">
        <v>4</v>
      </c>
      <c r="B4" s="34" t="s">
        <v>5</v>
      </c>
      <c r="C4" s="34" t="s">
        <v>6</v>
      </c>
    </row>
    <row r="5" spans="1:5" x14ac:dyDescent="0.3">
      <c r="A5" s="35" t="s">
        <v>7</v>
      </c>
      <c r="B5" s="34" t="s">
        <v>8</v>
      </c>
      <c r="C5" s="34" t="s">
        <v>9</v>
      </c>
    </row>
    <row r="6" spans="1:5" ht="28.8" x14ac:dyDescent="0.3">
      <c r="A6" s="35" t="s">
        <v>10</v>
      </c>
      <c r="B6" s="34" t="s">
        <v>11</v>
      </c>
      <c r="C6" s="34" t="s">
        <v>12</v>
      </c>
    </row>
    <row r="7" spans="1:5" ht="28.8" x14ac:dyDescent="0.3">
      <c r="A7" s="35" t="s">
        <v>13</v>
      </c>
      <c r="B7" s="34" t="s">
        <v>14</v>
      </c>
      <c r="C7" s="34" t="s">
        <v>15</v>
      </c>
    </row>
    <row r="8" spans="1:5" ht="28.8" x14ac:dyDescent="0.3">
      <c r="A8" s="35" t="s">
        <v>16</v>
      </c>
      <c r="B8" s="34" t="s">
        <v>17</v>
      </c>
      <c r="C8" s="34" t="s">
        <v>18</v>
      </c>
    </row>
    <row r="9" spans="1:5" ht="28.8" x14ac:dyDescent="0.3">
      <c r="A9" s="35" t="s">
        <v>19</v>
      </c>
      <c r="B9" s="34" t="s">
        <v>20</v>
      </c>
      <c r="C9" s="34" t="s">
        <v>18</v>
      </c>
    </row>
    <row r="10" spans="1:5" x14ac:dyDescent="0.3">
      <c r="A10" s="35" t="s">
        <v>21</v>
      </c>
      <c r="B10" s="34" t="s">
        <v>22</v>
      </c>
      <c r="C10" s="34" t="s">
        <v>18</v>
      </c>
    </row>
    <row r="11" spans="1:5" x14ac:dyDescent="0.3">
      <c r="A11" s="34" t="s">
        <v>23</v>
      </c>
      <c r="B11" s="34" t="s">
        <v>24</v>
      </c>
      <c r="C11" s="34" t="s">
        <v>18</v>
      </c>
    </row>
    <row r="12" spans="1:5" x14ac:dyDescent="0.3">
      <c r="A12" s="34" t="s">
        <v>25</v>
      </c>
      <c r="B12" s="34" t="s">
        <v>26</v>
      </c>
      <c r="C12" s="34" t="s">
        <v>18</v>
      </c>
    </row>
    <row r="13" spans="1:5" x14ac:dyDescent="0.3">
      <c r="A13" s="34" t="s">
        <v>27</v>
      </c>
      <c r="B13" s="34" t="s">
        <v>28</v>
      </c>
      <c r="C13" s="34" t="s">
        <v>18</v>
      </c>
    </row>
    <row r="14" spans="1:5" ht="28.8" x14ac:dyDescent="0.3">
      <c r="A14" s="34" t="s">
        <v>29</v>
      </c>
      <c r="B14" s="34" t="s">
        <v>30</v>
      </c>
      <c r="C14" s="34" t="s">
        <v>31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embar2"/>
  <dimension ref="A1:H67"/>
  <sheetViews>
    <sheetView workbookViewId="0">
      <selection activeCell="K10" sqref="K10"/>
    </sheetView>
  </sheetViews>
  <sheetFormatPr defaultRowHeight="14.4" x14ac:dyDescent="0.3"/>
  <cols>
    <col min="1" max="1" width="10.21875" bestFit="1" customWidth="1"/>
    <col min="2" max="2" width="28.5546875" bestFit="1" customWidth="1"/>
    <col min="3" max="3" width="18.5546875" bestFit="1" customWidth="1"/>
    <col min="4" max="4" width="7.21875" bestFit="1" customWidth="1"/>
    <col min="5" max="5" width="20.21875" bestFit="1" customWidth="1"/>
    <col min="6" max="6" width="22.44140625" bestFit="1" customWidth="1"/>
    <col min="8" max="8" width="20.44140625" bestFit="1" customWidth="1"/>
  </cols>
  <sheetData>
    <row r="1" spans="1:8" ht="24" customHeight="1" x14ac:dyDescent="0.3">
      <c r="A1" s="80" t="s">
        <v>32</v>
      </c>
      <c r="B1" s="81"/>
      <c r="C1" s="81"/>
      <c r="D1" s="81"/>
      <c r="E1" s="81"/>
      <c r="F1" s="81"/>
    </row>
    <row r="3" spans="1:8" ht="28.8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</row>
    <row r="4" spans="1: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H4" s="30" t="s">
        <v>571</v>
      </c>
    </row>
    <row r="5" spans="1:8" x14ac:dyDescent="0.3">
      <c r="A5" s="2" t="s">
        <v>45</v>
      </c>
      <c r="B5" s="2" t="s">
        <v>46</v>
      </c>
      <c r="C5" s="2" t="s">
        <v>41</v>
      </c>
      <c r="D5" s="2" t="s">
        <v>42</v>
      </c>
      <c r="E5" s="2" t="s">
        <v>43</v>
      </c>
      <c r="F5" s="2" t="s">
        <v>44</v>
      </c>
      <c r="H5" s="30" t="s">
        <v>572</v>
      </c>
    </row>
    <row r="6" spans="1:8" x14ac:dyDescent="0.3">
      <c r="A6" s="2" t="s">
        <v>47</v>
      </c>
      <c r="B6" s="2" t="s">
        <v>48</v>
      </c>
      <c r="C6" s="2" t="s">
        <v>41</v>
      </c>
      <c r="D6" s="2" t="s">
        <v>42</v>
      </c>
      <c r="E6" s="2" t="s">
        <v>43</v>
      </c>
      <c r="F6" s="2" t="s">
        <v>44</v>
      </c>
      <c r="H6" s="30" t="s">
        <v>573</v>
      </c>
    </row>
    <row r="7" spans="1:8" x14ac:dyDescent="0.3">
      <c r="A7" s="2" t="s">
        <v>49</v>
      </c>
      <c r="B7" s="2" t="s">
        <v>50</v>
      </c>
      <c r="C7" s="2" t="s">
        <v>41</v>
      </c>
      <c r="D7" s="2" t="s">
        <v>42</v>
      </c>
      <c r="E7" s="2" t="s">
        <v>43</v>
      </c>
      <c r="F7" s="2" t="s">
        <v>44</v>
      </c>
      <c r="H7" s="30" t="s">
        <v>574</v>
      </c>
    </row>
    <row r="8" spans="1:8" x14ac:dyDescent="0.3">
      <c r="A8" s="2" t="s">
        <v>51</v>
      </c>
      <c r="B8" s="2" t="s">
        <v>52</v>
      </c>
      <c r="C8" s="2" t="s">
        <v>41</v>
      </c>
      <c r="D8" s="2" t="s">
        <v>42</v>
      </c>
      <c r="E8" s="2" t="s">
        <v>43</v>
      </c>
      <c r="F8" s="2" t="s">
        <v>44</v>
      </c>
      <c r="H8" s="30" t="s">
        <v>572</v>
      </c>
    </row>
    <row r="9" spans="1:8" x14ac:dyDescent="0.3">
      <c r="A9" s="2" t="s">
        <v>53</v>
      </c>
      <c r="B9" s="2" t="s">
        <v>54</v>
      </c>
      <c r="C9" s="2" t="s">
        <v>41</v>
      </c>
      <c r="D9" s="2" t="s">
        <v>42</v>
      </c>
      <c r="E9" s="2" t="s">
        <v>43</v>
      </c>
      <c r="F9" s="2" t="s">
        <v>44</v>
      </c>
      <c r="H9" s="30" t="s">
        <v>575</v>
      </c>
    </row>
    <row r="10" spans="1:8" x14ac:dyDescent="0.3">
      <c r="A10" s="2" t="s">
        <v>55</v>
      </c>
      <c r="B10" s="2" t="s">
        <v>56</v>
      </c>
      <c r="C10" s="2" t="s">
        <v>41</v>
      </c>
      <c r="D10" s="2" t="s">
        <v>42</v>
      </c>
      <c r="E10" s="2" t="s">
        <v>43</v>
      </c>
      <c r="F10" s="2" t="s">
        <v>44</v>
      </c>
      <c r="H10" s="30" t="s">
        <v>576</v>
      </c>
    </row>
    <row r="11" spans="1:8" x14ac:dyDescent="0.3">
      <c r="A11" s="2" t="s">
        <v>57</v>
      </c>
      <c r="B11" s="2" t="s">
        <v>58</v>
      </c>
      <c r="C11" s="2" t="s">
        <v>41</v>
      </c>
      <c r="D11" s="2" t="s">
        <v>42</v>
      </c>
      <c r="E11" s="2" t="s">
        <v>43</v>
      </c>
      <c r="F11" s="2" t="s">
        <v>44</v>
      </c>
      <c r="H11" s="30" t="s">
        <v>572</v>
      </c>
    </row>
    <row r="12" spans="1:8" x14ac:dyDescent="0.3">
      <c r="A12" s="2" t="s">
        <v>59</v>
      </c>
      <c r="B12" s="2" t="s">
        <v>60</v>
      </c>
      <c r="C12" s="2" t="s">
        <v>41</v>
      </c>
      <c r="D12" s="2" t="s">
        <v>42</v>
      </c>
      <c r="E12" s="2" t="s">
        <v>43</v>
      </c>
      <c r="F12" s="2" t="s">
        <v>44</v>
      </c>
      <c r="H12" s="30" t="s">
        <v>577</v>
      </c>
    </row>
    <row r="13" spans="1:8" x14ac:dyDescent="0.3">
      <c r="A13" s="2" t="s">
        <v>61</v>
      </c>
      <c r="B13" s="2" t="s">
        <v>62</v>
      </c>
      <c r="C13" s="2" t="s">
        <v>41</v>
      </c>
      <c r="D13" s="2" t="s">
        <v>42</v>
      </c>
      <c r="E13" s="2" t="s">
        <v>43</v>
      </c>
      <c r="F13" s="2" t="s">
        <v>44</v>
      </c>
      <c r="H13" s="30" t="s">
        <v>578</v>
      </c>
    </row>
    <row r="14" spans="1:8" x14ac:dyDescent="0.3">
      <c r="A14" s="2" t="s">
        <v>63</v>
      </c>
      <c r="B14" s="2" t="s">
        <v>64</v>
      </c>
      <c r="C14" s="2" t="s">
        <v>41</v>
      </c>
      <c r="D14" s="2" t="s">
        <v>42</v>
      </c>
      <c r="E14" s="2" t="s">
        <v>43</v>
      </c>
      <c r="F14" s="2" t="s">
        <v>44</v>
      </c>
      <c r="H14" s="30" t="s">
        <v>572</v>
      </c>
    </row>
    <row r="15" spans="1:8" x14ac:dyDescent="0.3">
      <c r="A15" s="2" t="s">
        <v>65</v>
      </c>
      <c r="B15" s="2" t="s">
        <v>66</v>
      </c>
      <c r="C15" s="2" t="s">
        <v>41</v>
      </c>
      <c r="D15" s="2" t="s">
        <v>42</v>
      </c>
      <c r="E15" s="2" t="s">
        <v>43</v>
      </c>
      <c r="F15" s="2" t="s">
        <v>44</v>
      </c>
      <c r="H15" s="30" t="s">
        <v>579</v>
      </c>
    </row>
    <row r="16" spans="1:8" x14ac:dyDescent="0.3">
      <c r="A16" s="2" t="s">
        <v>67</v>
      </c>
      <c r="B16" s="2" t="s">
        <v>68</v>
      </c>
      <c r="C16" s="2" t="s">
        <v>41</v>
      </c>
      <c r="D16" s="2" t="s">
        <v>42</v>
      </c>
      <c r="E16" s="2" t="s">
        <v>43</v>
      </c>
      <c r="F16" s="2" t="s">
        <v>44</v>
      </c>
      <c r="H16" s="30" t="s">
        <v>580</v>
      </c>
    </row>
    <row r="17" spans="1:8" x14ac:dyDescent="0.3">
      <c r="A17" s="2" t="s">
        <v>69</v>
      </c>
      <c r="B17" s="2" t="s">
        <v>70</v>
      </c>
      <c r="C17" s="2" t="s">
        <v>41</v>
      </c>
      <c r="D17" s="2" t="s">
        <v>42</v>
      </c>
      <c r="E17" s="2" t="s">
        <v>43</v>
      </c>
      <c r="F17" s="2" t="s">
        <v>44</v>
      </c>
      <c r="H17" s="30" t="s">
        <v>572</v>
      </c>
    </row>
    <row r="18" spans="1:8" x14ac:dyDescent="0.3">
      <c r="A18" s="2" t="s">
        <v>71</v>
      </c>
      <c r="B18" s="2" t="s">
        <v>72</v>
      </c>
      <c r="C18" s="2" t="s">
        <v>41</v>
      </c>
      <c r="D18" s="2" t="s">
        <v>42</v>
      </c>
      <c r="E18" s="2" t="s">
        <v>43</v>
      </c>
      <c r="F18" s="2" t="s">
        <v>44</v>
      </c>
      <c r="H18" s="30" t="s">
        <v>581</v>
      </c>
    </row>
    <row r="19" spans="1:8" x14ac:dyDescent="0.3">
      <c r="A19" s="2" t="s">
        <v>73</v>
      </c>
      <c r="B19" s="2" t="s">
        <v>74</v>
      </c>
      <c r="C19" s="2" t="s">
        <v>41</v>
      </c>
      <c r="D19" s="2" t="s">
        <v>42</v>
      </c>
      <c r="E19" s="2" t="s">
        <v>43</v>
      </c>
      <c r="F19" s="2" t="s">
        <v>44</v>
      </c>
      <c r="H19" s="30" t="s">
        <v>582</v>
      </c>
    </row>
    <row r="20" spans="1:8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43</v>
      </c>
      <c r="F20" s="2" t="s">
        <v>44</v>
      </c>
      <c r="H20" s="30" t="s">
        <v>572</v>
      </c>
    </row>
    <row r="21" spans="1:8" x14ac:dyDescent="0.3">
      <c r="A21" s="2" t="s">
        <v>79</v>
      </c>
      <c r="B21" s="2" t="s">
        <v>80</v>
      </c>
      <c r="C21" s="2" t="s">
        <v>77</v>
      </c>
      <c r="D21" s="2" t="s">
        <v>78</v>
      </c>
      <c r="E21" s="2" t="s">
        <v>43</v>
      </c>
      <c r="F21" s="2" t="s">
        <v>44</v>
      </c>
      <c r="H21" s="30" t="s">
        <v>583</v>
      </c>
    </row>
    <row r="22" spans="1:8" x14ac:dyDescent="0.3">
      <c r="A22" s="2" t="s">
        <v>81</v>
      </c>
      <c r="B22" s="2" t="s">
        <v>82</v>
      </c>
      <c r="C22" s="2" t="s">
        <v>77</v>
      </c>
      <c r="D22" s="2" t="s">
        <v>78</v>
      </c>
      <c r="E22" s="2" t="s">
        <v>43</v>
      </c>
      <c r="F22" s="2" t="s">
        <v>44</v>
      </c>
      <c r="H22" s="30" t="s">
        <v>584</v>
      </c>
    </row>
    <row r="23" spans="1:8" x14ac:dyDescent="0.3">
      <c r="A23" s="2" t="s">
        <v>83</v>
      </c>
      <c r="B23" s="2" t="s">
        <v>84</v>
      </c>
      <c r="C23" s="2" t="s">
        <v>85</v>
      </c>
      <c r="D23" s="2" t="s">
        <v>78</v>
      </c>
      <c r="E23" s="2" t="s">
        <v>86</v>
      </c>
      <c r="F23" s="2" t="s">
        <v>44</v>
      </c>
      <c r="H23" s="30" t="s">
        <v>572</v>
      </c>
    </row>
    <row r="24" spans="1:8" x14ac:dyDescent="0.3">
      <c r="A24" s="2" t="s">
        <v>87</v>
      </c>
      <c r="B24" s="2" t="s">
        <v>88</v>
      </c>
      <c r="C24" s="2" t="s">
        <v>85</v>
      </c>
      <c r="D24" s="2" t="s">
        <v>78</v>
      </c>
      <c r="E24" s="2" t="s">
        <v>86</v>
      </c>
      <c r="F24" s="2" t="s">
        <v>44</v>
      </c>
      <c r="H24" s="30" t="s">
        <v>554</v>
      </c>
    </row>
    <row r="25" spans="1:8" x14ac:dyDescent="0.3">
      <c r="A25" s="2" t="s">
        <v>89</v>
      </c>
      <c r="B25" s="2" t="s">
        <v>90</v>
      </c>
      <c r="C25" s="2" t="s">
        <v>85</v>
      </c>
      <c r="D25" s="2" t="s">
        <v>78</v>
      </c>
      <c r="E25" s="2" t="s">
        <v>86</v>
      </c>
      <c r="F25" s="2" t="s">
        <v>44</v>
      </c>
      <c r="H25" s="30" t="s">
        <v>585</v>
      </c>
    </row>
    <row r="26" spans="1:8" x14ac:dyDescent="0.3">
      <c r="A26" s="2" t="s">
        <v>91</v>
      </c>
      <c r="B26" s="2" t="s">
        <v>92</v>
      </c>
      <c r="C26" s="2" t="s">
        <v>85</v>
      </c>
      <c r="D26" s="2" t="s">
        <v>78</v>
      </c>
      <c r="E26" s="2" t="s">
        <v>86</v>
      </c>
      <c r="F26" s="2" t="s">
        <v>44</v>
      </c>
      <c r="H26" s="30" t="s">
        <v>572</v>
      </c>
    </row>
    <row r="27" spans="1:8" x14ac:dyDescent="0.3">
      <c r="A27" s="2" t="s">
        <v>93</v>
      </c>
      <c r="B27" s="2" t="s">
        <v>94</v>
      </c>
      <c r="C27" s="2" t="s">
        <v>85</v>
      </c>
      <c r="D27" s="2" t="s">
        <v>78</v>
      </c>
      <c r="E27" s="2" t="s">
        <v>86</v>
      </c>
      <c r="F27" s="2" t="s">
        <v>44</v>
      </c>
      <c r="H27" s="30" t="s">
        <v>586</v>
      </c>
    </row>
    <row r="28" spans="1:8" x14ac:dyDescent="0.3">
      <c r="A28" s="2" t="s">
        <v>95</v>
      </c>
      <c r="B28" s="2" t="s">
        <v>96</v>
      </c>
      <c r="C28" s="2" t="s">
        <v>85</v>
      </c>
      <c r="D28" s="2" t="s">
        <v>78</v>
      </c>
      <c r="E28" s="2" t="s">
        <v>86</v>
      </c>
      <c r="F28" s="2" t="s">
        <v>44</v>
      </c>
      <c r="H28" s="30" t="s">
        <v>587</v>
      </c>
    </row>
    <row r="29" spans="1:8" x14ac:dyDescent="0.3">
      <c r="A29" s="2" t="s">
        <v>97</v>
      </c>
      <c r="B29" s="2" t="s">
        <v>98</v>
      </c>
      <c r="C29" s="2" t="s">
        <v>85</v>
      </c>
      <c r="D29" s="2" t="s">
        <v>78</v>
      </c>
      <c r="E29" s="2" t="s">
        <v>86</v>
      </c>
      <c r="F29" s="2" t="s">
        <v>44</v>
      </c>
    </row>
    <row r="30" spans="1:8" x14ac:dyDescent="0.3">
      <c r="A30" s="2" t="s">
        <v>99</v>
      </c>
      <c r="B30" s="2" t="s">
        <v>100</v>
      </c>
      <c r="C30" s="2" t="s">
        <v>85</v>
      </c>
      <c r="D30" s="2" t="s">
        <v>78</v>
      </c>
      <c r="E30" s="2" t="s">
        <v>86</v>
      </c>
      <c r="F30" s="2" t="s">
        <v>44</v>
      </c>
    </row>
    <row r="31" spans="1:8" x14ac:dyDescent="0.3">
      <c r="A31" s="2" t="s">
        <v>101</v>
      </c>
      <c r="B31" s="2" t="s">
        <v>102</v>
      </c>
      <c r="C31" s="2" t="s">
        <v>85</v>
      </c>
      <c r="D31" s="2" t="s">
        <v>78</v>
      </c>
      <c r="E31" s="2" t="s">
        <v>86</v>
      </c>
      <c r="F31" s="2" t="s">
        <v>44</v>
      </c>
    </row>
    <row r="32" spans="1:8" x14ac:dyDescent="0.3">
      <c r="A32" s="2" t="s">
        <v>103</v>
      </c>
      <c r="B32" s="2" t="s">
        <v>104</v>
      </c>
      <c r="C32" s="2" t="s">
        <v>85</v>
      </c>
      <c r="D32" s="2" t="s">
        <v>78</v>
      </c>
      <c r="E32" s="2" t="s">
        <v>86</v>
      </c>
      <c r="F32" s="2" t="s">
        <v>44</v>
      </c>
    </row>
    <row r="33" spans="1:6" x14ac:dyDescent="0.3">
      <c r="A33" s="2" t="s">
        <v>105</v>
      </c>
      <c r="B33" s="2" t="s">
        <v>106</v>
      </c>
      <c r="C33" s="2" t="s">
        <v>85</v>
      </c>
      <c r="D33" s="2" t="s">
        <v>78</v>
      </c>
      <c r="E33" s="2" t="s">
        <v>86</v>
      </c>
      <c r="F33" s="2" t="s">
        <v>44</v>
      </c>
    </row>
    <row r="34" spans="1:6" x14ac:dyDescent="0.3">
      <c r="A34" s="2" t="s">
        <v>107</v>
      </c>
      <c r="B34" s="2" t="s">
        <v>108</v>
      </c>
      <c r="C34" s="2" t="s">
        <v>85</v>
      </c>
      <c r="D34" s="2" t="s">
        <v>78</v>
      </c>
      <c r="E34" s="2" t="s">
        <v>86</v>
      </c>
      <c r="F34" s="2" t="s">
        <v>44</v>
      </c>
    </row>
    <row r="35" spans="1:6" x14ac:dyDescent="0.3">
      <c r="A35" s="2" t="s">
        <v>109</v>
      </c>
      <c r="B35" s="2" t="s">
        <v>110</v>
      </c>
      <c r="C35" s="2" t="s">
        <v>111</v>
      </c>
      <c r="D35" s="2" t="s">
        <v>78</v>
      </c>
      <c r="E35" s="2" t="s">
        <v>112</v>
      </c>
      <c r="F35" s="2" t="s">
        <v>44</v>
      </c>
    </row>
    <row r="36" spans="1:6" x14ac:dyDescent="0.3">
      <c r="A36" s="2" t="s">
        <v>113</v>
      </c>
      <c r="B36" s="2" t="s">
        <v>114</v>
      </c>
      <c r="C36" s="2" t="s">
        <v>111</v>
      </c>
      <c r="D36" s="2" t="s">
        <v>78</v>
      </c>
      <c r="E36" s="2" t="s">
        <v>112</v>
      </c>
      <c r="F36" s="2" t="s">
        <v>44</v>
      </c>
    </row>
    <row r="37" spans="1:6" x14ac:dyDescent="0.3">
      <c r="A37" s="2" t="s">
        <v>115</v>
      </c>
      <c r="B37" s="2" t="s">
        <v>116</v>
      </c>
      <c r="C37" s="2" t="s">
        <v>111</v>
      </c>
      <c r="D37" s="2" t="s">
        <v>78</v>
      </c>
      <c r="E37" s="2" t="s">
        <v>112</v>
      </c>
      <c r="F37" s="2" t="s">
        <v>44</v>
      </c>
    </row>
    <row r="38" spans="1:6" x14ac:dyDescent="0.3">
      <c r="A38" s="2" t="s">
        <v>117</v>
      </c>
      <c r="B38" s="2" t="s">
        <v>118</v>
      </c>
      <c r="C38" s="2" t="s">
        <v>111</v>
      </c>
      <c r="D38" s="2" t="s">
        <v>78</v>
      </c>
      <c r="E38" s="2" t="s">
        <v>112</v>
      </c>
      <c r="F38" s="2" t="s">
        <v>44</v>
      </c>
    </row>
    <row r="39" spans="1:6" x14ac:dyDescent="0.3">
      <c r="A39" s="2" t="s">
        <v>119</v>
      </c>
      <c r="B39" s="2" t="s">
        <v>120</v>
      </c>
      <c r="C39" s="2" t="s">
        <v>121</v>
      </c>
      <c r="D39" s="2" t="s">
        <v>42</v>
      </c>
      <c r="E39" s="2" t="s">
        <v>112</v>
      </c>
      <c r="F39" s="2" t="s">
        <v>44</v>
      </c>
    </row>
    <row r="40" spans="1:6" x14ac:dyDescent="0.3">
      <c r="A40" s="2" t="s">
        <v>122</v>
      </c>
      <c r="B40" s="2" t="s">
        <v>123</v>
      </c>
      <c r="C40" s="2" t="s">
        <v>111</v>
      </c>
      <c r="D40" s="2" t="s">
        <v>78</v>
      </c>
      <c r="E40" s="2" t="s">
        <v>112</v>
      </c>
      <c r="F40" s="2" t="s">
        <v>44</v>
      </c>
    </row>
    <row r="41" spans="1:6" x14ac:dyDescent="0.3">
      <c r="A41" s="2" t="s">
        <v>124</v>
      </c>
      <c r="B41" s="2" t="s">
        <v>125</v>
      </c>
      <c r="C41" s="2" t="s">
        <v>126</v>
      </c>
      <c r="D41" s="2" t="s">
        <v>78</v>
      </c>
      <c r="E41" s="2" t="s">
        <v>127</v>
      </c>
      <c r="F41" s="2" t="s">
        <v>44</v>
      </c>
    </row>
    <row r="42" spans="1:6" x14ac:dyDescent="0.3">
      <c r="A42" s="2" t="s">
        <v>128</v>
      </c>
      <c r="B42" s="2" t="s">
        <v>129</v>
      </c>
      <c r="C42" s="2" t="s">
        <v>126</v>
      </c>
      <c r="D42" s="2" t="s">
        <v>78</v>
      </c>
      <c r="E42" s="2" t="s">
        <v>127</v>
      </c>
      <c r="F42" s="2" t="s">
        <v>44</v>
      </c>
    </row>
    <row r="43" spans="1:6" x14ac:dyDescent="0.3">
      <c r="A43" s="2" t="s">
        <v>130</v>
      </c>
      <c r="B43" s="2" t="s">
        <v>131</v>
      </c>
      <c r="C43" s="2" t="s">
        <v>126</v>
      </c>
      <c r="D43" s="2" t="s">
        <v>78</v>
      </c>
      <c r="E43" s="2" t="s">
        <v>127</v>
      </c>
      <c r="F43" s="2" t="s">
        <v>44</v>
      </c>
    </row>
    <row r="44" spans="1:6" x14ac:dyDescent="0.3">
      <c r="A44" s="2" t="s">
        <v>132</v>
      </c>
      <c r="B44" s="2" t="s">
        <v>133</v>
      </c>
      <c r="C44" s="2" t="s">
        <v>126</v>
      </c>
      <c r="D44" s="2" t="s">
        <v>78</v>
      </c>
      <c r="E44" s="2" t="s">
        <v>127</v>
      </c>
      <c r="F44" s="2" t="s">
        <v>44</v>
      </c>
    </row>
    <row r="45" spans="1:6" x14ac:dyDescent="0.3">
      <c r="A45" s="2" t="s">
        <v>134</v>
      </c>
      <c r="B45" s="2" t="s">
        <v>135</v>
      </c>
      <c r="C45" s="2" t="s">
        <v>126</v>
      </c>
      <c r="D45" s="2" t="s">
        <v>78</v>
      </c>
      <c r="E45" s="2" t="s">
        <v>127</v>
      </c>
      <c r="F45" s="2" t="s">
        <v>44</v>
      </c>
    </row>
    <row r="46" spans="1:6" x14ac:dyDescent="0.3">
      <c r="A46" s="2" t="s">
        <v>136</v>
      </c>
      <c r="B46" s="2" t="s">
        <v>137</v>
      </c>
      <c r="C46" s="2" t="s">
        <v>126</v>
      </c>
      <c r="D46" s="2" t="s">
        <v>78</v>
      </c>
      <c r="E46" s="2" t="s">
        <v>127</v>
      </c>
      <c r="F46" s="2" t="s">
        <v>44</v>
      </c>
    </row>
    <row r="47" spans="1:6" x14ac:dyDescent="0.3">
      <c r="A47" s="2" t="s">
        <v>138</v>
      </c>
      <c r="B47" s="2" t="s">
        <v>139</v>
      </c>
      <c r="C47" s="2" t="s">
        <v>126</v>
      </c>
      <c r="D47" s="2" t="s">
        <v>78</v>
      </c>
      <c r="E47" s="2" t="s">
        <v>127</v>
      </c>
      <c r="F47" s="2" t="s">
        <v>44</v>
      </c>
    </row>
    <row r="48" spans="1:6" x14ac:dyDescent="0.3">
      <c r="A48" s="2" t="s">
        <v>140</v>
      </c>
      <c r="B48" s="2" t="s">
        <v>141</v>
      </c>
      <c r="C48" s="2" t="s">
        <v>142</v>
      </c>
      <c r="D48" s="2" t="s">
        <v>42</v>
      </c>
      <c r="E48" s="2" t="s">
        <v>143</v>
      </c>
      <c r="F48" s="2" t="s">
        <v>44</v>
      </c>
    </row>
    <row r="49" spans="1:6" x14ac:dyDescent="0.3">
      <c r="A49" s="2" t="s">
        <v>144</v>
      </c>
      <c r="B49" s="2" t="s">
        <v>145</v>
      </c>
      <c r="C49" s="2" t="s">
        <v>142</v>
      </c>
      <c r="D49" s="2" t="s">
        <v>42</v>
      </c>
      <c r="E49" s="2" t="s">
        <v>143</v>
      </c>
      <c r="F49" s="2" t="s">
        <v>44</v>
      </c>
    </row>
    <row r="50" spans="1:6" x14ac:dyDescent="0.3">
      <c r="A50" s="2" t="s">
        <v>146</v>
      </c>
      <c r="B50" s="2" t="s">
        <v>147</v>
      </c>
      <c r="C50" s="2" t="s">
        <v>142</v>
      </c>
      <c r="D50" s="2" t="s">
        <v>42</v>
      </c>
      <c r="E50" s="2" t="s">
        <v>143</v>
      </c>
      <c r="F50" s="2" t="s">
        <v>44</v>
      </c>
    </row>
    <row r="51" spans="1:6" x14ac:dyDescent="0.3">
      <c r="A51" s="2" t="s">
        <v>148</v>
      </c>
      <c r="B51" s="2" t="s">
        <v>149</v>
      </c>
      <c r="C51" s="2" t="s">
        <v>142</v>
      </c>
      <c r="D51" s="2" t="s">
        <v>42</v>
      </c>
      <c r="E51" s="2" t="s">
        <v>143</v>
      </c>
      <c r="F51" s="2" t="s">
        <v>44</v>
      </c>
    </row>
    <row r="52" spans="1:6" x14ac:dyDescent="0.3">
      <c r="A52" s="2" t="s">
        <v>150</v>
      </c>
      <c r="B52" s="2" t="s">
        <v>151</v>
      </c>
      <c r="C52" s="2" t="s">
        <v>142</v>
      </c>
      <c r="D52" s="2" t="s">
        <v>42</v>
      </c>
      <c r="E52" s="2" t="s">
        <v>143</v>
      </c>
      <c r="F52" s="2" t="s">
        <v>44</v>
      </c>
    </row>
    <row r="53" spans="1:6" x14ac:dyDescent="0.3">
      <c r="A53" s="2" t="s">
        <v>152</v>
      </c>
      <c r="B53" s="2" t="s">
        <v>153</v>
      </c>
      <c r="C53" s="2" t="s">
        <v>142</v>
      </c>
      <c r="D53" s="2" t="s">
        <v>42</v>
      </c>
      <c r="E53" s="2" t="s">
        <v>143</v>
      </c>
      <c r="F53" s="2" t="s">
        <v>44</v>
      </c>
    </row>
    <row r="54" spans="1:6" x14ac:dyDescent="0.3">
      <c r="A54" s="2" t="s">
        <v>154</v>
      </c>
      <c r="B54" s="2" t="s">
        <v>155</v>
      </c>
      <c r="C54" s="2" t="s">
        <v>142</v>
      </c>
      <c r="D54" s="2" t="s">
        <v>42</v>
      </c>
      <c r="E54" s="2" t="s">
        <v>143</v>
      </c>
      <c r="F54" s="2" t="s">
        <v>44</v>
      </c>
    </row>
    <row r="55" spans="1:6" x14ac:dyDescent="0.3">
      <c r="A55" s="2" t="s">
        <v>156</v>
      </c>
      <c r="B55" s="2" t="s">
        <v>157</v>
      </c>
      <c r="C55" s="2" t="s">
        <v>142</v>
      </c>
      <c r="D55" s="2" t="s">
        <v>42</v>
      </c>
      <c r="E55" s="2" t="s">
        <v>143</v>
      </c>
      <c r="F55" s="2" t="s">
        <v>44</v>
      </c>
    </row>
    <row r="56" spans="1:6" x14ac:dyDescent="0.3">
      <c r="A56" s="2" t="s">
        <v>158</v>
      </c>
      <c r="B56" s="2" t="s">
        <v>159</v>
      </c>
      <c r="C56" s="2" t="s">
        <v>142</v>
      </c>
      <c r="D56" s="2" t="s">
        <v>42</v>
      </c>
      <c r="E56" s="2" t="s">
        <v>143</v>
      </c>
      <c r="F56" s="2" t="s">
        <v>44</v>
      </c>
    </row>
    <row r="57" spans="1:6" x14ac:dyDescent="0.3">
      <c r="A57" s="2" t="s">
        <v>160</v>
      </c>
      <c r="B57" s="2" t="s">
        <v>161</v>
      </c>
      <c r="C57" s="2" t="s">
        <v>142</v>
      </c>
      <c r="D57" s="2" t="s">
        <v>42</v>
      </c>
      <c r="E57" s="2" t="s">
        <v>143</v>
      </c>
      <c r="F57" s="2" t="s">
        <v>44</v>
      </c>
    </row>
    <row r="58" spans="1:6" x14ac:dyDescent="0.3">
      <c r="A58" s="2" t="s">
        <v>162</v>
      </c>
      <c r="B58" s="2" t="s">
        <v>163</v>
      </c>
      <c r="C58" s="2" t="s">
        <v>142</v>
      </c>
      <c r="D58" s="2" t="s">
        <v>42</v>
      </c>
      <c r="E58" s="2" t="s">
        <v>143</v>
      </c>
      <c r="F58" s="2" t="s">
        <v>44</v>
      </c>
    </row>
    <row r="59" spans="1:6" x14ac:dyDescent="0.3">
      <c r="A59" s="2" t="s">
        <v>164</v>
      </c>
      <c r="B59" s="2" t="s">
        <v>165</v>
      </c>
      <c r="C59" s="2" t="s">
        <v>142</v>
      </c>
      <c r="D59" s="2" t="s">
        <v>42</v>
      </c>
      <c r="E59" s="2" t="s">
        <v>143</v>
      </c>
      <c r="F59" s="2" t="s">
        <v>44</v>
      </c>
    </row>
    <row r="60" spans="1:6" x14ac:dyDescent="0.3">
      <c r="A60" s="2" t="s">
        <v>166</v>
      </c>
      <c r="B60" s="2" t="s">
        <v>167</v>
      </c>
      <c r="C60" s="2" t="s">
        <v>142</v>
      </c>
      <c r="D60" s="2" t="s">
        <v>42</v>
      </c>
      <c r="E60" s="2" t="s">
        <v>143</v>
      </c>
      <c r="F60" s="2" t="s">
        <v>44</v>
      </c>
    </row>
    <row r="61" spans="1:6" x14ac:dyDescent="0.3">
      <c r="A61" s="2" t="s">
        <v>168</v>
      </c>
      <c r="B61" s="2" t="s">
        <v>169</v>
      </c>
      <c r="C61" s="2" t="s">
        <v>142</v>
      </c>
      <c r="D61" s="2" t="s">
        <v>42</v>
      </c>
      <c r="E61" s="2" t="s">
        <v>143</v>
      </c>
      <c r="F61" s="2" t="s">
        <v>44</v>
      </c>
    </row>
    <row r="62" spans="1:6" x14ac:dyDescent="0.3">
      <c r="A62" s="2" t="s">
        <v>170</v>
      </c>
      <c r="B62" s="2" t="s">
        <v>171</v>
      </c>
      <c r="C62" s="2" t="s">
        <v>142</v>
      </c>
      <c r="D62" s="2" t="s">
        <v>42</v>
      </c>
      <c r="E62" s="2" t="s">
        <v>143</v>
      </c>
      <c r="F62" s="2" t="s">
        <v>44</v>
      </c>
    </row>
    <row r="63" spans="1:6" x14ac:dyDescent="0.3">
      <c r="A63" s="2" t="s">
        <v>172</v>
      </c>
      <c r="B63" s="2" t="s">
        <v>173</v>
      </c>
      <c r="C63" s="2" t="s">
        <v>142</v>
      </c>
      <c r="D63" s="2" t="s">
        <v>42</v>
      </c>
      <c r="E63" s="2" t="s">
        <v>143</v>
      </c>
      <c r="F63" s="2" t="s">
        <v>44</v>
      </c>
    </row>
    <row r="64" spans="1:6" x14ac:dyDescent="0.3">
      <c r="A64" s="2" t="s">
        <v>174</v>
      </c>
      <c r="B64" s="2" t="s">
        <v>175</v>
      </c>
      <c r="C64" s="2" t="s">
        <v>142</v>
      </c>
      <c r="D64" s="2" t="s">
        <v>42</v>
      </c>
      <c r="E64" s="2" t="s">
        <v>143</v>
      </c>
      <c r="F64" s="2" t="s">
        <v>44</v>
      </c>
    </row>
    <row r="65" spans="1:6" x14ac:dyDescent="0.3">
      <c r="A65" s="2" t="s">
        <v>176</v>
      </c>
      <c r="B65" s="2" t="s">
        <v>177</v>
      </c>
      <c r="C65" s="2" t="s">
        <v>142</v>
      </c>
      <c r="D65" s="2" t="s">
        <v>42</v>
      </c>
      <c r="E65" s="2" t="s">
        <v>143</v>
      </c>
      <c r="F65" s="2" t="s">
        <v>44</v>
      </c>
    </row>
    <row r="66" spans="1:6" x14ac:dyDescent="0.3">
      <c r="A66" s="2" t="s">
        <v>178</v>
      </c>
      <c r="B66" s="2" t="s">
        <v>179</v>
      </c>
      <c r="C66" s="2" t="s">
        <v>142</v>
      </c>
      <c r="D66" s="2" t="s">
        <v>42</v>
      </c>
      <c r="E66" s="2" t="s">
        <v>143</v>
      </c>
      <c r="F66" s="2" t="s">
        <v>44</v>
      </c>
    </row>
    <row r="67" spans="1:6" x14ac:dyDescent="0.3">
      <c r="A67" s="2" t="s">
        <v>180</v>
      </c>
      <c r="B67" s="2" t="s">
        <v>181</v>
      </c>
      <c r="C67" s="2" t="s">
        <v>142</v>
      </c>
      <c r="D67" s="2" t="s">
        <v>42</v>
      </c>
      <c r="E67" s="2" t="s">
        <v>143</v>
      </c>
      <c r="F67" s="2" t="s">
        <v>44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embar3">
    <tabColor rgb="FF00B0F0"/>
  </sheetPr>
  <dimension ref="A1:N103"/>
  <sheetViews>
    <sheetView topLeftCell="E1" zoomScaleNormal="100" workbookViewId="0">
      <selection activeCell="Q9" sqref="Q9"/>
    </sheetView>
  </sheetViews>
  <sheetFormatPr defaultRowHeight="14.4" x14ac:dyDescent="0.3"/>
  <cols>
    <col min="1" max="1" width="7.88671875" style="43" bestFit="1" customWidth="1"/>
    <col min="2" max="2" width="12" style="43" bestFit="1" customWidth="1"/>
    <col min="3" max="3" width="37.77734375" style="43" bestFit="1" customWidth="1"/>
    <col min="4" max="4" width="85.88671875" style="43" bestFit="1" customWidth="1"/>
    <col min="5" max="5" width="14.44140625" style="43" bestFit="1" customWidth="1"/>
    <col min="6" max="6" width="16.5546875" style="43" bestFit="1" customWidth="1"/>
    <col min="7" max="7" width="2.33203125" style="43" customWidth="1"/>
    <col min="8" max="8" width="1.6640625" style="43" customWidth="1"/>
    <col min="9" max="9" width="7.88671875" style="43" bestFit="1" customWidth="1"/>
    <col min="10" max="10" width="12" style="43" bestFit="1" customWidth="1"/>
    <col min="11" max="11" width="32.109375" style="43" customWidth="1"/>
    <col min="12" max="12" width="13.88671875" style="43" bestFit="1" customWidth="1"/>
    <col min="13" max="13" width="19.88671875" style="53" customWidth="1"/>
    <col min="14" max="14" width="8.5546875" style="43" customWidth="1"/>
  </cols>
  <sheetData>
    <row r="1" spans="1:14" ht="18" x14ac:dyDescent="0.3">
      <c r="A1" s="83" t="s">
        <v>562</v>
      </c>
      <c r="B1" s="82"/>
      <c r="C1" s="82"/>
      <c r="D1" s="82"/>
      <c r="E1" s="82"/>
      <c r="F1" s="82"/>
      <c r="G1" s="82"/>
      <c r="I1" s="80" t="s">
        <v>182</v>
      </c>
      <c r="J1" s="82"/>
      <c r="K1" s="82"/>
      <c r="L1" s="82"/>
      <c r="M1" s="82"/>
      <c r="N1" s="82"/>
    </row>
    <row r="2" spans="1:14" x14ac:dyDescent="0.3">
      <c r="A2" s="84" t="s">
        <v>183</v>
      </c>
      <c r="B2" s="84"/>
      <c r="C2" s="84"/>
      <c r="D2" s="84"/>
      <c r="E2" s="44"/>
      <c r="F2" s="44"/>
      <c r="G2" s="44"/>
      <c r="I2" s="84" t="s">
        <v>184</v>
      </c>
      <c r="J2" s="84"/>
      <c r="K2" s="84"/>
      <c r="L2" s="84"/>
      <c r="M2" s="84"/>
      <c r="N2" s="84"/>
    </row>
    <row r="3" spans="1:14" x14ac:dyDescent="0.3">
      <c r="A3" s="37" t="s">
        <v>185</v>
      </c>
      <c r="B3" s="38" t="s">
        <v>186</v>
      </c>
      <c r="C3" s="38" t="s">
        <v>187</v>
      </c>
      <c r="D3" s="38" t="s">
        <v>188</v>
      </c>
      <c r="E3" s="38" t="s">
        <v>189</v>
      </c>
      <c r="F3" s="38" t="s">
        <v>190</v>
      </c>
      <c r="G3" s="52" t="s">
        <v>191</v>
      </c>
      <c r="I3" s="45" t="s">
        <v>185</v>
      </c>
      <c r="J3" s="45" t="s">
        <v>186</v>
      </c>
      <c r="K3" s="45" t="s">
        <v>192</v>
      </c>
      <c r="L3" s="45" t="s">
        <v>193</v>
      </c>
      <c r="M3" s="56" t="s">
        <v>194</v>
      </c>
      <c r="N3" s="45" t="s">
        <v>195</v>
      </c>
    </row>
    <row r="4" spans="1:14" x14ac:dyDescent="0.3">
      <c r="A4" s="39">
        <v>1</v>
      </c>
      <c r="B4" s="40">
        <v>46600</v>
      </c>
      <c r="C4" s="39" t="s">
        <v>196</v>
      </c>
      <c r="D4" s="39" t="s">
        <v>197</v>
      </c>
      <c r="E4" s="39">
        <v>1</v>
      </c>
      <c r="F4" s="41">
        <v>80000000</v>
      </c>
      <c r="G4" s="39" t="s">
        <v>198</v>
      </c>
      <c r="I4" s="43">
        <v>1</v>
      </c>
      <c r="J4" s="46">
        <v>46600</v>
      </c>
      <c r="K4" s="43" t="s">
        <v>40</v>
      </c>
      <c r="L4" s="55">
        <f>Tabel2[[#This Row],[Nominal (Rp)]]</f>
        <v>80000000</v>
      </c>
      <c r="M4" s="54"/>
      <c r="N4" s="78" t="str">
        <f>IF($K4="","",IF(AND($K4=Kunci_Jurnal!$C4,IF($L4="",0,$L4)=IF(Kunci_Jurnal!$D4="",0,Kunci_Jurnal!$D4),IF($M4="",0,$M4)=IF(Kunci_Jurnal!$E4="",0,Kunci_Jurnal!$E4)),"Benar","Cek lagi"))</f>
        <v>Benar</v>
      </c>
    </row>
    <row r="5" spans="1:14" x14ac:dyDescent="0.3">
      <c r="A5" s="39"/>
      <c r="B5" s="39"/>
      <c r="C5" s="39"/>
      <c r="D5" s="39"/>
      <c r="E5" s="39"/>
      <c r="F5" s="39"/>
      <c r="G5" s="39"/>
      <c r="I5" s="43">
        <v>1</v>
      </c>
      <c r="J5" s="46">
        <v>46600</v>
      </c>
      <c r="K5" s="43" t="s">
        <v>110</v>
      </c>
      <c r="L5" s="55">
        <f>Tabel2[[#This Row],[Nominal (Rp)]]</f>
        <v>0</v>
      </c>
      <c r="M5" s="54">
        <f>L4</f>
        <v>80000000</v>
      </c>
      <c r="N5" s="79" t="str">
        <f>IF($K5="","",IF(AND($K5=Kunci_Jurnal!$C5,IF($L5="",0,$L5)=IF(Kunci_Jurnal!$D5="",0,Kunci_Jurnal!$D5),IF($M5="",0,$M5)=IF(Kunci_Jurnal!$E5="",0,Kunci_Jurnal!$E5)),"Benar","Cek lagi"))</f>
        <v>Benar</v>
      </c>
    </row>
    <row r="6" spans="1:14" x14ac:dyDescent="0.3">
      <c r="A6" s="39">
        <v>2</v>
      </c>
      <c r="B6" s="40">
        <v>46601</v>
      </c>
      <c r="C6" s="39" t="s">
        <v>199</v>
      </c>
      <c r="D6" s="39" t="s">
        <v>200</v>
      </c>
      <c r="E6" s="39">
        <v>2</v>
      </c>
      <c r="F6" s="41">
        <v>50000000</v>
      </c>
      <c r="G6" s="39" t="s">
        <v>201</v>
      </c>
      <c r="I6" s="43">
        <v>2</v>
      </c>
      <c r="J6" s="46">
        <v>46601</v>
      </c>
      <c r="K6" s="43" t="s">
        <v>46</v>
      </c>
      <c r="L6" s="47">
        <f>Tabel2[[#This Row],[Nominal (Rp)]]</f>
        <v>50000000</v>
      </c>
      <c r="M6" s="54"/>
      <c r="N6" s="79" t="str">
        <f>IF($K6="","",IF(AND($K6=Kunci_Jurnal!$C6,IF($L6="",0,$L6)=IF(Kunci_Jurnal!$D6="",0,Kunci_Jurnal!$D6),IF($M6="",0,$M6)=IF(Kunci_Jurnal!$E6="",0,Kunci_Jurnal!$E6)),"Benar","Cek lagi"))</f>
        <v>Benar</v>
      </c>
    </row>
    <row r="7" spans="1:14" x14ac:dyDescent="0.3">
      <c r="A7" s="39"/>
      <c r="B7" s="39"/>
      <c r="C7" s="39"/>
      <c r="D7" s="48"/>
      <c r="E7" s="39"/>
      <c r="F7" s="39"/>
      <c r="G7" s="39"/>
      <c r="I7" s="43">
        <v>2</v>
      </c>
      <c r="J7" s="46">
        <v>46601</v>
      </c>
      <c r="K7" s="43" t="s">
        <v>40</v>
      </c>
      <c r="L7" s="47">
        <f>Tabel2[[#This Row],[Nominal (Rp)]]</f>
        <v>0</v>
      </c>
      <c r="M7" s="54">
        <f>L6</f>
        <v>50000000</v>
      </c>
      <c r="N7" s="43" t="str">
        <f>IF($K7="","",IF(AND($K7=Kunci_Jurnal!$C7,IF($L7="",0,$L7)=IF(Kunci_Jurnal!$D7="",0,Kunci_Jurnal!$D7),IF($M7="",0,$M7)=IF(Kunci_Jurnal!$E7="",0,Kunci_Jurnal!$E7)),"Benar","Cek lagi"))</f>
        <v>Benar</v>
      </c>
    </row>
    <row r="8" spans="1:14" x14ac:dyDescent="0.3">
      <c r="A8" s="39">
        <v>3</v>
      </c>
      <c r="B8" s="40">
        <v>46602</v>
      </c>
      <c r="C8" s="39" t="s">
        <v>202</v>
      </c>
      <c r="D8" s="39" t="s">
        <v>203</v>
      </c>
      <c r="E8" s="39">
        <v>3</v>
      </c>
      <c r="F8" s="41">
        <v>120000000</v>
      </c>
      <c r="G8" s="39" t="s">
        <v>204</v>
      </c>
      <c r="I8" s="43">
        <v>3</v>
      </c>
      <c r="J8" s="46">
        <v>46602</v>
      </c>
      <c r="K8" s="43" t="s">
        <v>46</v>
      </c>
      <c r="L8" s="47">
        <f>Tabel2[[#This Row],[Nominal (Rp)]]</f>
        <v>120000000</v>
      </c>
      <c r="M8" s="54"/>
      <c r="N8" s="43" t="str">
        <f>IF($K8="","",IF(AND($K8=Kunci_Jurnal!$C8,IF($L8="",0,$L8)=IF(Kunci_Jurnal!$D8="",0,Kunci_Jurnal!$D8),IF($M8="",0,$M8)=IF(Kunci_Jurnal!$E8="",0,Kunci_Jurnal!$E8)),"Benar","Cek lagi"))</f>
        <v>Benar</v>
      </c>
    </row>
    <row r="9" spans="1:14" x14ac:dyDescent="0.3">
      <c r="A9" s="39"/>
      <c r="B9" s="39"/>
      <c r="C9" s="39"/>
      <c r="D9" s="39"/>
      <c r="E9" s="39"/>
      <c r="F9" s="39"/>
      <c r="G9" s="39"/>
      <c r="I9" s="43">
        <v>3</v>
      </c>
      <c r="J9" s="46">
        <v>46602</v>
      </c>
      <c r="K9" s="43" t="s">
        <v>114</v>
      </c>
      <c r="L9" s="47">
        <f>Tabel2[[#This Row],[Nominal (Rp)]]</f>
        <v>0</v>
      </c>
      <c r="M9" s="54">
        <f>L8</f>
        <v>120000000</v>
      </c>
      <c r="N9" s="43" t="str">
        <f>IF($K9="","",IF(AND($K9=Kunci_Jurnal!$C9,IF($L9="",0,$L9)=IF(Kunci_Jurnal!$D9="",0,Kunci_Jurnal!$D9),IF($M9="",0,$M9)=IF(Kunci_Jurnal!$E9="",0,Kunci_Jurnal!$E9)),"Benar","Cek lagi"))</f>
        <v>Benar</v>
      </c>
    </row>
    <row r="10" spans="1:14" x14ac:dyDescent="0.3">
      <c r="A10" s="39">
        <v>4</v>
      </c>
      <c r="B10" s="40">
        <v>46603</v>
      </c>
      <c r="C10" s="39" t="s">
        <v>205</v>
      </c>
      <c r="D10" s="39" t="s">
        <v>206</v>
      </c>
      <c r="E10" s="39">
        <v>4</v>
      </c>
      <c r="F10" s="41">
        <v>25000000</v>
      </c>
      <c r="G10" s="39" t="s">
        <v>207</v>
      </c>
      <c r="I10" s="43">
        <v>4</v>
      </c>
      <c r="J10" s="46">
        <v>46603</v>
      </c>
      <c r="K10" s="43" t="s">
        <v>46</v>
      </c>
      <c r="L10" s="47">
        <f>Tabel2[[#This Row],[Nominal (Rp)]]</f>
        <v>25000000</v>
      </c>
      <c r="M10" s="54"/>
      <c r="N10" s="43" t="str">
        <f>IF($K10="","",IF(AND($K10=Kunci_Jurnal!$C10,IF($L10="",0,$L10)=IF(Kunci_Jurnal!$D10="",0,Kunci_Jurnal!$D10),IF($M10="",0,$M10)=IF(Kunci_Jurnal!$E10="",0,Kunci_Jurnal!$E10)),"Benar","Cek lagi"))</f>
        <v>Benar</v>
      </c>
    </row>
    <row r="11" spans="1:14" x14ac:dyDescent="0.3">
      <c r="A11" s="39"/>
      <c r="B11" s="39"/>
      <c r="C11" s="39"/>
      <c r="D11" s="39"/>
      <c r="E11" s="39"/>
      <c r="F11" s="39"/>
      <c r="G11" s="39"/>
      <c r="I11" s="43">
        <v>4</v>
      </c>
      <c r="J11" s="46">
        <v>46603</v>
      </c>
      <c r="K11" s="43" t="s">
        <v>116</v>
      </c>
      <c r="L11" s="47">
        <f>Tabel2[[#This Row],[Nominal (Rp)]]</f>
        <v>0</v>
      </c>
      <c r="M11" s="54">
        <f>L10</f>
        <v>25000000</v>
      </c>
      <c r="N11" s="43" t="str">
        <f>IF($K11="","",IF(AND($K11=Kunci_Jurnal!$C11,IF($L11="",0,$L11)=IF(Kunci_Jurnal!$D11="",0,Kunci_Jurnal!$D11),IF($M11="",0,$M11)=IF(Kunci_Jurnal!$E11="",0,Kunci_Jurnal!$E11)),"Benar","Cek lagi"))</f>
        <v>Benar</v>
      </c>
    </row>
    <row r="12" spans="1:14" x14ac:dyDescent="0.3">
      <c r="A12" s="39">
        <v>5</v>
      </c>
      <c r="B12" s="40">
        <v>46604</v>
      </c>
      <c r="C12" s="39" t="s">
        <v>208</v>
      </c>
      <c r="D12" s="39" t="s">
        <v>209</v>
      </c>
      <c r="E12" s="39">
        <v>5</v>
      </c>
      <c r="F12" s="41">
        <v>18000000</v>
      </c>
      <c r="G12" s="39" t="s">
        <v>210</v>
      </c>
      <c r="I12" s="43">
        <v>5</v>
      </c>
      <c r="J12" s="46">
        <v>46604</v>
      </c>
      <c r="K12" s="43" t="s">
        <v>123</v>
      </c>
      <c r="L12" s="47">
        <f>Tabel2[[#This Row],[Nominal (Rp)]]</f>
        <v>18000000</v>
      </c>
      <c r="M12" s="54"/>
      <c r="N12" s="43" t="str">
        <f>IF($K12="","",IF(AND($K12=Kunci_Jurnal!$C12,IF($L12="",0,$L12)=IF(Kunci_Jurnal!$D12="",0,Kunci_Jurnal!$D12),IF($M12="",0,$M12)=IF(Kunci_Jurnal!$E12="",0,Kunci_Jurnal!$E12)),"Benar","Cek lagi"))</f>
        <v>Benar</v>
      </c>
    </row>
    <row r="13" spans="1:14" x14ac:dyDescent="0.3">
      <c r="A13" s="39"/>
      <c r="B13" s="39"/>
      <c r="C13" s="39"/>
      <c r="D13" s="39"/>
      <c r="E13" s="39"/>
      <c r="F13" s="39"/>
      <c r="G13" s="39"/>
      <c r="I13" s="43">
        <v>5</v>
      </c>
      <c r="J13" s="46">
        <v>46604</v>
      </c>
      <c r="K13" s="43" t="s">
        <v>118</v>
      </c>
      <c r="L13" s="47">
        <f>Tabel2[[#This Row],[Nominal (Rp)]]</f>
        <v>0</v>
      </c>
      <c r="M13" s="54">
        <f>L12</f>
        <v>18000000</v>
      </c>
      <c r="N13" s="43" t="str">
        <f>IF($K13="","",IF(AND($K13=Kunci_Jurnal!$C13,IF($L13="",0,$L13)=IF(Kunci_Jurnal!$D13="",0,Kunci_Jurnal!$D13),IF($M13="",0,$M13)=IF(Kunci_Jurnal!$E13="",0,Kunci_Jurnal!$E13)),"Benar","Cek lagi"))</f>
        <v>Benar</v>
      </c>
    </row>
    <row r="14" spans="1:14" x14ac:dyDescent="0.3">
      <c r="A14" s="39">
        <v>6</v>
      </c>
      <c r="B14" s="40">
        <v>46605</v>
      </c>
      <c r="C14" s="39" t="s">
        <v>211</v>
      </c>
      <c r="D14" s="39" t="s">
        <v>212</v>
      </c>
      <c r="E14" s="39">
        <v>6</v>
      </c>
      <c r="F14" s="41">
        <v>3000000</v>
      </c>
      <c r="G14" s="39" t="s">
        <v>213</v>
      </c>
      <c r="I14" s="43">
        <v>6</v>
      </c>
      <c r="J14" s="46">
        <v>46605</v>
      </c>
      <c r="K14" s="43" t="s">
        <v>120</v>
      </c>
      <c r="L14" s="47">
        <f>Tabel2[[#This Row],[Nominal (Rp)]]</f>
        <v>3000000</v>
      </c>
      <c r="M14" s="54"/>
      <c r="N14" s="43" t="str">
        <f>IF($K14="","",IF(AND($K14=Kunci_Jurnal!$C14,IF($L14="",0,$L14)=IF(Kunci_Jurnal!$D14="",0,Kunci_Jurnal!$D14),IF($M14="",0,$M14)=IF(Kunci_Jurnal!$E14="",0,Kunci_Jurnal!$E14)),"Benar","Cek lagi"))</f>
        <v>Benar</v>
      </c>
    </row>
    <row r="15" spans="1:14" x14ac:dyDescent="0.3">
      <c r="A15" s="39"/>
      <c r="B15" s="39"/>
      <c r="C15" s="39"/>
      <c r="D15" s="39"/>
      <c r="E15" s="39"/>
      <c r="F15" s="39"/>
      <c r="G15" s="39"/>
      <c r="I15" s="43">
        <v>6</v>
      </c>
      <c r="J15" s="46">
        <v>46605</v>
      </c>
      <c r="K15" s="43" t="s">
        <v>40</v>
      </c>
      <c r="L15" s="47">
        <f>Tabel2[[#This Row],[Nominal (Rp)]]</f>
        <v>0</v>
      </c>
      <c r="M15" s="54">
        <f>L14</f>
        <v>3000000</v>
      </c>
      <c r="N15" s="43" t="str">
        <f>IF($K15="","",IF(AND($K15=Kunci_Jurnal!$C15,IF($L15="",0,$L15)=IF(Kunci_Jurnal!$D15="",0,Kunci_Jurnal!$D15),IF($M15="",0,$M15)=IF(Kunci_Jurnal!$E15="",0,Kunci_Jurnal!$E15)),"Benar","Cek lagi"))</f>
        <v>Benar</v>
      </c>
    </row>
    <row r="16" spans="1:14" x14ac:dyDescent="0.3">
      <c r="A16" s="39">
        <v>7</v>
      </c>
      <c r="B16" s="40">
        <v>46606</v>
      </c>
      <c r="C16" s="39" t="s">
        <v>214</v>
      </c>
      <c r="D16" s="39" t="s">
        <v>215</v>
      </c>
      <c r="E16" s="39">
        <v>7</v>
      </c>
      <c r="F16" s="41">
        <v>35000000</v>
      </c>
      <c r="G16" s="39" t="s">
        <v>216</v>
      </c>
      <c r="I16" s="43">
        <v>7</v>
      </c>
      <c r="J16" s="46">
        <v>46606</v>
      </c>
      <c r="K16" s="43" t="s">
        <v>54</v>
      </c>
      <c r="L16" s="47">
        <f>Tabel2[[#This Row],[Nominal (Rp)]]</f>
        <v>35000000</v>
      </c>
      <c r="M16" s="54"/>
      <c r="N16" s="43" t="str">
        <f>IF($K16="","",IF(AND($K16=Kunci_Jurnal!$C16,IF($L16="",0,$L16)=IF(Kunci_Jurnal!$D16="",0,Kunci_Jurnal!$D16),IF($M16="",0,$M16)=IF(Kunci_Jurnal!$E16="",0,Kunci_Jurnal!$E16)),"Benar","Cek lagi"))</f>
        <v>Benar</v>
      </c>
    </row>
    <row r="17" spans="1:14" x14ac:dyDescent="0.3">
      <c r="A17" s="39"/>
      <c r="B17" s="39"/>
      <c r="C17" s="39"/>
      <c r="D17" s="39"/>
      <c r="E17" s="39"/>
      <c r="F17" s="39"/>
      <c r="G17" s="39"/>
      <c r="I17" s="43">
        <v>7</v>
      </c>
      <c r="J17" s="46">
        <v>46606</v>
      </c>
      <c r="K17" s="43" t="s">
        <v>84</v>
      </c>
      <c r="L17" s="47">
        <f>Tabel2[[#This Row],[Nominal (Rp)]]</f>
        <v>0</v>
      </c>
      <c r="M17" s="54">
        <f>L16</f>
        <v>35000000</v>
      </c>
      <c r="N17" s="43" t="str">
        <f>IF($K17="","",IF(AND($K17=Kunci_Jurnal!$C17,IF($L17="",0,$L17)=IF(Kunci_Jurnal!$D17="",0,Kunci_Jurnal!$D17),IF($M17="",0,$M17)=IF(Kunci_Jurnal!$E17="",0,Kunci_Jurnal!$E17)),"Benar","Cek lagi"))</f>
        <v>Benar</v>
      </c>
    </row>
    <row r="18" spans="1:14" x14ac:dyDescent="0.3">
      <c r="A18" s="39">
        <v>8</v>
      </c>
      <c r="B18" s="40">
        <v>46607</v>
      </c>
      <c r="C18" s="39" t="s">
        <v>217</v>
      </c>
      <c r="D18" s="39" t="s">
        <v>218</v>
      </c>
      <c r="E18" s="39">
        <v>8</v>
      </c>
      <c r="F18" s="41">
        <v>4500000</v>
      </c>
      <c r="G18" s="39" t="s">
        <v>219</v>
      </c>
      <c r="I18" s="43">
        <v>8</v>
      </c>
      <c r="J18" s="46">
        <v>46607</v>
      </c>
      <c r="K18" s="43" t="s">
        <v>56</v>
      </c>
      <c r="L18" s="47">
        <f>Tabel2[[#This Row],[Nominal (Rp)]]</f>
        <v>4500000</v>
      </c>
      <c r="M18" s="54"/>
      <c r="N18" s="43" t="str">
        <f>IF($K18="","",IF(AND($K18=Kunci_Jurnal!$C18,IF($L18="",0,$L18)=IF(Kunci_Jurnal!$D18="",0,Kunci_Jurnal!$D18),IF($M18="",0,$M18)=IF(Kunci_Jurnal!$E18="",0,Kunci_Jurnal!$E18)),"Benar","Cek lagi"))</f>
        <v>Benar</v>
      </c>
    </row>
    <row r="19" spans="1:14" x14ac:dyDescent="0.3">
      <c r="A19" s="39"/>
      <c r="B19" s="39"/>
      <c r="C19" s="39"/>
      <c r="D19" s="39"/>
      <c r="E19" s="39"/>
      <c r="F19" s="39"/>
      <c r="G19" s="39"/>
      <c r="I19" s="43">
        <v>8</v>
      </c>
      <c r="J19" s="46">
        <v>46607</v>
      </c>
      <c r="K19" s="43" t="s">
        <v>40</v>
      </c>
      <c r="L19" s="47">
        <f>Tabel2[[#This Row],[Nominal (Rp)]]</f>
        <v>0</v>
      </c>
      <c r="M19" s="54">
        <f>L18</f>
        <v>4500000</v>
      </c>
      <c r="N19" s="43" t="str">
        <f>IF($K19="","",IF(AND($K19=Kunci_Jurnal!$C19,IF($L19="",0,$L19)=IF(Kunci_Jurnal!$D19="",0,Kunci_Jurnal!$D19),IF($M19="",0,$M19)=IF(Kunci_Jurnal!$E19="",0,Kunci_Jurnal!$E19)),"Benar","Cek lagi"))</f>
        <v>Benar</v>
      </c>
    </row>
    <row r="20" spans="1:14" x14ac:dyDescent="0.3">
      <c r="A20" s="39">
        <v>9</v>
      </c>
      <c r="B20" s="40">
        <v>46608</v>
      </c>
      <c r="C20" s="39" t="s">
        <v>220</v>
      </c>
      <c r="D20" s="39" t="s">
        <v>221</v>
      </c>
      <c r="E20" s="39">
        <v>9</v>
      </c>
      <c r="F20" s="41">
        <v>12000000</v>
      </c>
      <c r="G20" s="39" t="s">
        <v>222</v>
      </c>
      <c r="I20" s="43">
        <v>9</v>
      </c>
      <c r="J20" s="46">
        <v>46608</v>
      </c>
      <c r="K20" s="43" t="s">
        <v>58</v>
      </c>
      <c r="L20" s="47">
        <f>Tabel2[[#This Row],[Nominal (Rp)]]</f>
        <v>12000000</v>
      </c>
      <c r="M20" s="54"/>
      <c r="N20" s="43" t="str">
        <f>IF($K20="","",IF(AND($K20=Kunci_Jurnal!$C20,IF($L20="",0,$L20)=IF(Kunci_Jurnal!$D20="",0,Kunci_Jurnal!$D20),IF($M20="",0,$M20)=IF(Kunci_Jurnal!$E20="",0,Kunci_Jurnal!$E20)),"Benar","Cek lagi"))</f>
        <v>Benar</v>
      </c>
    </row>
    <row r="21" spans="1:14" x14ac:dyDescent="0.3">
      <c r="A21" s="39"/>
      <c r="B21" s="39"/>
      <c r="C21" s="39"/>
      <c r="D21" s="39"/>
      <c r="E21" s="39"/>
      <c r="F21" s="39"/>
      <c r="G21" s="39"/>
      <c r="I21" s="43">
        <v>9</v>
      </c>
      <c r="J21" s="46">
        <v>46608</v>
      </c>
      <c r="K21" s="43" t="s">
        <v>46</v>
      </c>
      <c r="L21" s="47">
        <f>Tabel2[[#This Row],[Nominal (Rp)]]</f>
        <v>0</v>
      </c>
      <c r="M21" s="54">
        <f>L20</f>
        <v>12000000</v>
      </c>
      <c r="N21" s="43" t="str">
        <f>IF($K21="","",IF(AND($K21=Kunci_Jurnal!$C21,IF($L21="",0,$L21)=IF(Kunci_Jurnal!$D21="",0,Kunci_Jurnal!$D21),IF($M21="",0,$M21)=IF(Kunci_Jurnal!$E21="",0,Kunci_Jurnal!$E21)),"Benar","Cek lagi"))</f>
        <v>Benar</v>
      </c>
    </row>
    <row r="22" spans="1:14" x14ac:dyDescent="0.3">
      <c r="A22" s="39">
        <v>10</v>
      </c>
      <c r="B22" s="40">
        <v>46609</v>
      </c>
      <c r="C22" s="39" t="s">
        <v>223</v>
      </c>
      <c r="D22" s="39" t="s">
        <v>224</v>
      </c>
      <c r="E22" s="39">
        <v>10</v>
      </c>
      <c r="F22" s="41">
        <v>6000000</v>
      </c>
      <c r="G22" s="39" t="s">
        <v>225</v>
      </c>
      <c r="I22" s="43">
        <v>10</v>
      </c>
      <c r="J22" s="46">
        <v>46609</v>
      </c>
      <c r="K22" s="43" t="s">
        <v>60</v>
      </c>
      <c r="L22" s="47">
        <f>Tabel2[[#This Row],[Nominal (Rp)]]</f>
        <v>6000000</v>
      </c>
      <c r="M22" s="54"/>
      <c r="N22" s="43" t="str">
        <f>IF($K22="","",IF(AND($K22=Kunci_Jurnal!$C22,IF($L22="",0,$L22)=IF(Kunci_Jurnal!$D22="",0,Kunci_Jurnal!$D22),IF($M22="",0,$M22)=IF(Kunci_Jurnal!$E22="",0,Kunci_Jurnal!$E22)),"Benar","Cek lagi"))</f>
        <v>Benar</v>
      </c>
    </row>
    <row r="23" spans="1:14" x14ac:dyDescent="0.3">
      <c r="A23" s="39"/>
      <c r="B23" s="39"/>
      <c r="C23" s="39"/>
      <c r="D23" s="39"/>
      <c r="E23" s="39"/>
      <c r="F23" s="39"/>
      <c r="G23" s="39"/>
      <c r="I23" s="43">
        <v>10</v>
      </c>
      <c r="J23" s="46">
        <v>46609</v>
      </c>
      <c r="K23" s="43" t="s">
        <v>46</v>
      </c>
      <c r="L23" s="47">
        <f>Tabel2[[#This Row],[Nominal (Rp)]]</f>
        <v>0</v>
      </c>
      <c r="M23" s="54">
        <f t="shared" ref="M23" si="0">L22</f>
        <v>6000000</v>
      </c>
      <c r="N23" s="43" t="str">
        <f>IF($K23="","",IF(AND($K23=Kunci_Jurnal!$C23,IF($L23="",0,$L23)=IF(Kunci_Jurnal!$D23="",0,Kunci_Jurnal!$D23),IF($M23="",0,$M23)=IF(Kunci_Jurnal!$E23="",0,Kunci_Jurnal!$E23)),"Benar","Cek lagi"))</f>
        <v>Benar</v>
      </c>
    </row>
    <row r="24" spans="1:14" x14ac:dyDescent="0.3">
      <c r="A24" s="39">
        <v>11</v>
      </c>
      <c r="B24" s="40">
        <v>46610</v>
      </c>
      <c r="C24" s="39" t="s">
        <v>226</v>
      </c>
      <c r="D24" s="39" t="s">
        <v>227</v>
      </c>
      <c r="E24" s="39">
        <v>11</v>
      </c>
      <c r="F24" s="41">
        <v>7500000</v>
      </c>
      <c r="G24" s="39" t="s">
        <v>228</v>
      </c>
      <c r="I24" s="43">
        <v>11</v>
      </c>
      <c r="J24" s="46">
        <v>46610</v>
      </c>
      <c r="K24" s="43" t="s">
        <v>62</v>
      </c>
      <c r="L24" s="47">
        <f>Tabel2[[#This Row],[Nominal (Rp)]]</f>
        <v>7500000</v>
      </c>
      <c r="M24" s="54"/>
      <c r="N24" s="43" t="str">
        <f>IF($K24="","",IF(AND($K24=Kunci_Jurnal!$C24,IF($L24="",0,$L24)=IF(Kunci_Jurnal!$D24="",0,Kunci_Jurnal!$D24),IF($M24="",0,$M24)=IF(Kunci_Jurnal!$E24="",0,Kunci_Jurnal!$E24)),"Benar","Cek lagi"))</f>
        <v>Benar</v>
      </c>
    </row>
    <row r="25" spans="1:14" x14ac:dyDescent="0.3">
      <c r="A25" s="39"/>
      <c r="B25" s="39"/>
      <c r="C25" s="39"/>
      <c r="D25" s="39"/>
      <c r="E25" s="39"/>
      <c r="F25" s="39"/>
      <c r="G25" s="39"/>
      <c r="I25" s="43">
        <v>11</v>
      </c>
      <c r="J25" s="46">
        <v>46610</v>
      </c>
      <c r="K25" s="43" t="s">
        <v>46</v>
      </c>
      <c r="L25" s="47">
        <f>Tabel2[[#This Row],[Nominal (Rp)]]</f>
        <v>0</v>
      </c>
      <c r="M25" s="54">
        <f t="shared" ref="M25" si="1">L24</f>
        <v>7500000</v>
      </c>
      <c r="N25" s="43" t="str">
        <f>IF($K25="","",IF(AND($K25=Kunci_Jurnal!$C25,IF($L25="",0,$L25)=IF(Kunci_Jurnal!$D25="",0,Kunci_Jurnal!$D25),IF($M25="",0,$M25)=IF(Kunci_Jurnal!$E25="",0,Kunci_Jurnal!$E25)),"Benar","Cek lagi"))</f>
        <v>Benar</v>
      </c>
    </row>
    <row r="26" spans="1:14" x14ac:dyDescent="0.3">
      <c r="A26" s="39">
        <v>12</v>
      </c>
      <c r="B26" s="40">
        <v>46611</v>
      </c>
      <c r="C26" s="39" t="s">
        <v>229</v>
      </c>
      <c r="D26" s="39" t="s">
        <v>230</v>
      </c>
      <c r="E26" s="39">
        <v>12</v>
      </c>
      <c r="F26" s="41">
        <v>10000000</v>
      </c>
      <c r="G26" s="39" t="s">
        <v>231</v>
      </c>
      <c r="I26" s="43">
        <v>12</v>
      </c>
      <c r="J26" s="46">
        <v>46611</v>
      </c>
      <c r="K26" s="43" t="s">
        <v>64</v>
      </c>
      <c r="L26" s="47">
        <f>Tabel2[[#This Row],[Nominal (Rp)]]</f>
        <v>10000000</v>
      </c>
      <c r="M26" s="54"/>
      <c r="N26" s="43" t="str">
        <f>IF($K26="","",IF(AND($K26=Kunci_Jurnal!$C26,IF($L26="",0,$L26)=IF(Kunci_Jurnal!$D26="",0,Kunci_Jurnal!$D26),IF($M26="",0,$M26)=IF(Kunci_Jurnal!$E26="",0,Kunci_Jurnal!$E26)),"Benar","Cek lagi"))</f>
        <v>Benar</v>
      </c>
    </row>
    <row r="27" spans="1:14" x14ac:dyDescent="0.3">
      <c r="A27" s="39"/>
      <c r="B27" s="39"/>
      <c r="C27" s="39"/>
      <c r="D27" s="39"/>
      <c r="E27" s="39"/>
      <c r="F27" s="39"/>
      <c r="G27" s="39"/>
      <c r="I27" s="43">
        <v>12</v>
      </c>
      <c r="J27" s="46">
        <v>46611</v>
      </c>
      <c r="K27" s="43" t="s">
        <v>46</v>
      </c>
      <c r="L27" s="47">
        <f>Tabel2[[#This Row],[Nominal (Rp)]]</f>
        <v>0</v>
      </c>
      <c r="M27" s="54">
        <f t="shared" ref="M27" si="2">L26</f>
        <v>10000000</v>
      </c>
      <c r="N27" s="43" t="str">
        <f>IF($K27="","",IF(AND($K27=Kunci_Jurnal!$C27,IF($L27="",0,$L27)=IF(Kunci_Jurnal!$D27="",0,Kunci_Jurnal!$D27),IF($M27="",0,$M27)=IF(Kunci_Jurnal!$E27="",0,Kunci_Jurnal!$E27)),"Benar","Cek lagi"))</f>
        <v>Benar</v>
      </c>
    </row>
    <row r="28" spans="1:14" x14ac:dyDescent="0.3">
      <c r="A28" s="39">
        <v>13</v>
      </c>
      <c r="B28" s="40">
        <v>46612</v>
      </c>
      <c r="C28" s="39" t="s">
        <v>232</v>
      </c>
      <c r="D28" s="39" t="s">
        <v>233</v>
      </c>
      <c r="E28" s="39">
        <v>13</v>
      </c>
      <c r="F28" s="41">
        <v>22000000</v>
      </c>
      <c r="G28" s="39" t="s">
        <v>234</v>
      </c>
      <c r="I28" s="43">
        <v>13</v>
      </c>
      <c r="J28" s="46">
        <v>46612</v>
      </c>
      <c r="K28" s="43" t="s">
        <v>66</v>
      </c>
      <c r="L28" s="47">
        <f>Tabel2[[#This Row],[Nominal (Rp)]]</f>
        <v>22000000</v>
      </c>
      <c r="M28" s="54"/>
      <c r="N28" s="43" t="str">
        <f>IF($K28="","",IF(AND($K28=Kunci_Jurnal!$C28,IF($L28="",0,$L28)=IF(Kunci_Jurnal!$D28="",0,Kunci_Jurnal!$D28),IF($M28="",0,$M28)=IF(Kunci_Jurnal!$E28="",0,Kunci_Jurnal!$E28)),"Benar","Cek lagi"))</f>
        <v>Benar</v>
      </c>
    </row>
    <row r="29" spans="1:14" x14ac:dyDescent="0.3">
      <c r="A29" s="39"/>
      <c r="B29" s="39"/>
      <c r="C29" s="39"/>
      <c r="D29" s="39"/>
      <c r="E29" s="39"/>
      <c r="F29" s="39"/>
      <c r="G29" s="39"/>
      <c r="I29" s="43">
        <v>13</v>
      </c>
      <c r="J29" s="46">
        <v>46612</v>
      </c>
      <c r="K29" s="43" t="s">
        <v>104</v>
      </c>
      <c r="L29" s="47">
        <f>Tabel2[[#This Row],[Nominal (Rp)]]</f>
        <v>0</v>
      </c>
      <c r="M29" s="54">
        <f t="shared" ref="M29" si="3">L28</f>
        <v>22000000</v>
      </c>
      <c r="N29" s="43" t="str">
        <f>IF($K29="","",IF(AND($K29=Kunci_Jurnal!$C29,IF($L29="",0,$L29)=IF(Kunci_Jurnal!$D29="",0,Kunci_Jurnal!$D29),IF($M29="",0,$M29)=IF(Kunci_Jurnal!$E29="",0,Kunci_Jurnal!$E29)),"Benar","Cek lagi"))</f>
        <v>Benar</v>
      </c>
    </row>
    <row r="30" spans="1:14" x14ac:dyDescent="0.3">
      <c r="A30" s="39">
        <v>14</v>
      </c>
      <c r="B30" s="40">
        <v>46613</v>
      </c>
      <c r="C30" s="39" t="s">
        <v>235</v>
      </c>
      <c r="D30" s="39" t="s">
        <v>236</v>
      </c>
      <c r="E30" s="39">
        <v>14</v>
      </c>
      <c r="F30" s="41">
        <v>15000000</v>
      </c>
      <c r="G30" s="39" t="s">
        <v>237</v>
      </c>
      <c r="I30" s="43">
        <v>14</v>
      </c>
      <c r="J30" s="46">
        <v>46613</v>
      </c>
      <c r="K30" s="43" t="s">
        <v>68</v>
      </c>
      <c r="L30" s="47">
        <f>Tabel2[[#This Row],[Nominal (Rp)]]</f>
        <v>15000000</v>
      </c>
      <c r="M30" s="54"/>
      <c r="N30" s="43" t="str">
        <f>IF($K30="","",IF(AND($K30=Kunci_Jurnal!$C30,IF($L30="",0,$L30)=IF(Kunci_Jurnal!$D30="",0,Kunci_Jurnal!$D30),IF($M30="",0,$M30)=IF(Kunci_Jurnal!$E30="",0,Kunci_Jurnal!$E30)),"Benar","Cek lagi"))</f>
        <v>Benar</v>
      </c>
    </row>
    <row r="31" spans="1:14" x14ac:dyDescent="0.3">
      <c r="A31" s="39"/>
      <c r="B31" s="39"/>
      <c r="C31" s="39"/>
      <c r="D31" s="39"/>
      <c r="E31" s="39"/>
      <c r="F31" s="39"/>
      <c r="G31" s="39"/>
      <c r="I31" s="43">
        <v>14</v>
      </c>
      <c r="J31" s="46">
        <v>46613</v>
      </c>
      <c r="K31" s="43" t="s">
        <v>84</v>
      </c>
      <c r="L31" s="47">
        <f>Tabel2[[#This Row],[Nominal (Rp)]]</f>
        <v>0</v>
      </c>
      <c r="M31" s="54">
        <f t="shared" ref="M31" si="4">L30</f>
        <v>15000000</v>
      </c>
      <c r="N31" s="43" t="str">
        <f>IF($K31="","",IF(AND($K31=Kunci_Jurnal!$C31,IF($L31="",0,$L31)=IF(Kunci_Jurnal!$D31="",0,Kunci_Jurnal!$D31),IF($M31="",0,$M31)=IF(Kunci_Jurnal!$E31="",0,Kunci_Jurnal!$E31)),"Benar","Cek lagi"))</f>
        <v>Benar</v>
      </c>
    </row>
    <row r="32" spans="1:14" x14ac:dyDescent="0.3">
      <c r="A32" s="39">
        <v>15</v>
      </c>
      <c r="B32" s="40">
        <v>46614</v>
      </c>
      <c r="C32" s="39" t="s">
        <v>238</v>
      </c>
      <c r="D32" s="39" t="s">
        <v>239</v>
      </c>
      <c r="E32" s="39">
        <v>15</v>
      </c>
      <c r="F32" s="41">
        <v>180000000</v>
      </c>
      <c r="G32" s="39" t="s">
        <v>240</v>
      </c>
      <c r="I32" s="43">
        <v>15</v>
      </c>
      <c r="J32" s="46">
        <v>46614</v>
      </c>
      <c r="K32" s="43" t="s">
        <v>70</v>
      </c>
      <c r="L32" s="47">
        <f>Tabel2[[#This Row],[Nominal (Rp)]]</f>
        <v>180000000</v>
      </c>
      <c r="M32" s="54"/>
      <c r="N32" s="43" t="str">
        <f>IF($K32="","",IF(AND($K32=Kunci_Jurnal!$C32,IF($L32="",0,$L32)=IF(Kunci_Jurnal!$D32="",0,Kunci_Jurnal!$D32),IF($M32="",0,$M32)=IF(Kunci_Jurnal!$E32="",0,Kunci_Jurnal!$E32)),"Benar","Cek lagi"))</f>
        <v>Benar</v>
      </c>
    </row>
    <row r="33" spans="1:14" x14ac:dyDescent="0.3">
      <c r="A33" s="39"/>
      <c r="B33" s="39"/>
      <c r="C33" s="39"/>
      <c r="D33" s="39"/>
      <c r="E33" s="39"/>
      <c r="F33" s="39"/>
      <c r="G33" s="39"/>
      <c r="I33" s="43">
        <v>15</v>
      </c>
      <c r="J33" s="46">
        <v>46614</v>
      </c>
      <c r="K33" s="43" t="s">
        <v>102</v>
      </c>
      <c r="L33" s="47">
        <f>Tabel2[[#This Row],[Nominal (Rp)]]</f>
        <v>0</v>
      </c>
      <c r="M33" s="54">
        <f t="shared" ref="M33" si="5">L32</f>
        <v>180000000</v>
      </c>
      <c r="N33" s="43" t="str">
        <f>IF($K33="","",IF(AND($K33=Kunci_Jurnal!$C33,IF($L33="",0,$L33)=IF(Kunci_Jurnal!$D33="",0,Kunci_Jurnal!$D33),IF($M33="",0,$M33)=IF(Kunci_Jurnal!$E33="",0,Kunci_Jurnal!$E33)),"Benar","Cek lagi"))</f>
        <v>Benar</v>
      </c>
    </row>
    <row r="34" spans="1:14" x14ac:dyDescent="0.3">
      <c r="A34" s="39">
        <v>16</v>
      </c>
      <c r="B34" s="40">
        <v>46615</v>
      </c>
      <c r="C34" s="39" t="s">
        <v>241</v>
      </c>
      <c r="D34" s="39" t="s">
        <v>242</v>
      </c>
      <c r="E34" s="39">
        <v>16</v>
      </c>
      <c r="F34" s="41">
        <v>350000000</v>
      </c>
      <c r="G34" s="39" t="s">
        <v>243</v>
      </c>
      <c r="I34" s="43">
        <v>16</v>
      </c>
      <c r="J34" s="46">
        <v>46615</v>
      </c>
      <c r="K34" s="43" t="s">
        <v>72</v>
      </c>
      <c r="L34" s="47">
        <f>Tabel2[[#This Row],[Nominal (Rp)]]</f>
        <v>350000000</v>
      </c>
      <c r="M34" s="54"/>
      <c r="N34" s="43" t="str">
        <f>IF($K34="","",IF(AND($K34=Kunci_Jurnal!$C34,IF($L34="",0,$L34)=IF(Kunci_Jurnal!$D34="",0,Kunci_Jurnal!$D34),IF($M34="",0,$M34)=IF(Kunci_Jurnal!$E34="",0,Kunci_Jurnal!$E34)),"Benar","Cek lagi"))</f>
        <v>Benar</v>
      </c>
    </row>
    <row r="35" spans="1:14" x14ac:dyDescent="0.3">
      <c r="A35" s="39"/>
      <c r="B35" s="39"/>
      <c r="C35" s="39"/>
      <c r="D35" s="39"/>
      <c r="E35" s="39"/>
      <c r="F35" s="39"/>
      <c r="G35" s="39"/>
      <c r="I35" s="43">
        <v>16</v>
      </c>
      <c r="J35" s="46">
        <v>46615</v>
      </c>
      <c r="K35" s="43" t="s">
        <v>106</v>
      </c>
      <c r="L35" s="47">
        <f>Tabel2[[#This Row],[Nominal (Rp)]]</f>
        <v>0</v>
      </c>
      <c r="M35" s="54">
        <f t="shared" ref="M35" si="6">L34</f>
        <v>350000000</v>
      </c>
      <c r="N35" s="43" t="str">
        <f>IF($K35="","",IF(AND($K35=Kunci_Jurnal!$C35,IF($L35="",0,$L35)=IF(Kunci_Jurnal!$D35="",0,Kunci_Jurnal!$D35),IF($M35="",0,$M35)=IF(Kunci_Jurnal!$E35="",0,Kunci_Jurnal!$E35)),"Benar","Cek lagi"))</f>
        <v>Benar</v>
      </c>
    </row>
    <row r="36" spans="1:14" x14ac:dyDescent="0.3">
      <c r="A36" s="39">
        <v>17</v>
      </c>
      <c r="B36" s="40">
        <v>46616</v>
      </c>
      <c r="C36" s="39" t="s">
        <v>244</v>
      </c>
      <c r="D36" s="39" t="s">
        <v>245</v>
      </c>
      <c r="E36" s="39">
        <v>17</v>
      </c>
      <c r="F36" s="41">
        <v>220000000</v>
      </c>
      <c r="G36" s="39" t="s">
        <v>246</v>
      </c>
      <c r="I36" s="43">
        <v>17</v>
      </c>
      <c r="J36" s="46">
        <v>46616</v>
      </c>
      <c r="K36" s="43" t="s">
        <v>74</v>
      </c>
      <c r="L36" s="47">
        <f>Tabel2[[#This Row],[Nominal (Rp)]]</f>
        <v>220000000</v>
      </c>
      <c r="M36" s="54"/>
      <c r="N36" s="43" t="str">
        <f>IF($K36="","",IF(AND($K36=Kunci_Jurnal!$C36,IF($L36="",0,$L36)=IF(Kunci_Jurnal!$D36="",0,Kunci_Jurnal!$D36),IF($M36="",0,$M36)=IF(Kunci_Jurnal!$E36="",0,Kunci_Jurnal!$E36)),"Benar","Cek lagi"))</f>
        <v>Benar</v>
      </c>
    </row>
    <row r="37" spans="1:14" x14ac:dyDescent="0.3">
      <c r="A37" s="39"/>
      <c r="B37" s="39"/>
      <c r="C37" s="39"/>
      <c r="D37" s="39"/>
      <c r="E37" s="39"/>
      <c r="F37" s="39"/>
      <c r="G37" s="39"/>
      <c r="I37" s="43">
        <v>17</v>
      </c>
      <c r="J37" s="46">
        <v>46616</v>
      </c>
      <c r="K37" s="43" t="s">
        <v>102</v>
      </c>
      <c r="L37" s="47">
        <f>Tabel2[[#This Row],[Nominal (Rp)]]</f>
        <v>0</v>
      </c>
      <c r="M37" s="54">
        <f t="shared" ref="M37" si="7">L36</f>
        <v>220000000</v>
      </c>
      <c r="N37" s="43" t="str">
        <f>IF($K37="","",IF(AND($K37=Kunci_Jurnal!$C37,IF($L37="",0,$L37)=IF(Kunci_Jurnal!$D37="",0,Kunci_Jurnal!$D37),IF($M37="",0,$M37)=IF(Kunci_Jurnal!$E37="",0,Kunci_Jurnal!$E37)),"Benar","Cek lagi"))</f>
        <v>Benar</v>
      </c>
    </row>
    <row r="38" spans="1:14" x14ac:dyDescent="0.3">
      <c r="A38" s="39">
        <v>18</v>
      </c>
      <c r="B38" s="40">
        <v>46617</v>
      </c>
      <c r="C38" s="39" t="s">
        <v>247</v>
      </c>
      <c r="D38" s="39" t="s">
        <v>248</v>
      </c>
      <c r="E38" s="39">
        <v>18</v>
      </c>
      <c r="F38" s="41">
        <v>14000000</v>
      </c>
      <c r="G38" s="39" t="s">
        <v>249</v>
      </c>
      <c r="I38" s="43">
        <v>18</v>
      </c>
      <c r="J38" s="46">
        <v>46617</v>
      </c>
      <c r="K38" s="43" t="s">
        <v>40</v>
      </c>
      <c r="L38" s="47">
        <f>Tabel2[[#This Row],[Nominal (Rp)]]</f>
        <v>14000000</v>
      </c>
      <c r="M38" s="54"/>
      <c r="N38" s="43" t="str">
        <f>IF($K38="","",IF(AND($K38=Kunci_Jurnal!$C38,IF($L38="",0,$L38)=IF(Kunci_Jurnal!$D38="",0,Kunci_Jurnal!$D38),IF($M38="",0,$M38)=IF(Kunci_Jurnal!$E38="",0,Kunci_Jurnal!$E38)),"Benar","Cek lagi"))</f>
        <v>Benar</v>
      </c>
    </row>
    <row r="39" spans="1:14" x14ac:dyDescent="0.3">
      <c r="A39" s="39"/>
      <c r="B39" s="39"/>
      <c r="C39" s="39"/>
      <c r="D39" s="39"/>
      <c r="E39" s="39"/>
      <c r="F39" s="39"/>
      <c r="G39" s="39"/>
      <c r="I39" s="43">
        <v>18</v>
      </c>
      <c r="J39" s="46">
        <v>46617</v>
      </c>
      <c r="K39" s="43" t="s">
        <v>125</v>
      </c>
      <c r="L39" s="47">
        <f>Tabel2[[#This Row],[Nominal (Rp)]]</f>
        <v>0</v>
      </c>
      <c r="M39" s="54">
        <f t="shared" ref="M39" si="8">L38</f>
        <v>14000000</v>
      </c>
      <c r="N39" s="43" t="str">
        <f>IF($K39="","",IF(AND($K39=Kunci_Jurnal!$C39,IF($L39="",0,$L39)=IF(Kunci_Jurnal!$D39="",0,Kunci_Jurnal!$D39),IF($M39="",0,$M39)=IF(Kunci_Jurnal!$E39="",0,Kunci_Jurnal!$E39)),"Benar","Cek lagi"))</f>
        <v>Benar</v>
      </c>
    </row>
    <row r="40" spans="1:14" x14ac:dyDescent="0.3">
      <c r="A40" s="39">
        <v>19</v>
      </c>
      <c r="B40" s="40">
        <v>46618</v>
      </c>
      <c r="C40" s="39" t="s">
        <v>250</v>
      </c>
      <c r="D40" s="39" t="s">
        <v>251</v>
      </c>
      <c r="E40" s="39">
        <v>19</v>
      </c>
      <c r="F40" s="41">
        <v>28000000</v>
      </c>
      <c r="G40" s="39" t="s">
        <v>252</v>
      </c>
      <c r="I40" s="43">
        <v>19</v>
      </c>
      <c r="J40" s="46">
        <v>46618</v>
      </c>
      <c r="K40" s="43" t="s">
        <v>48</v>
      </c>
      <c r="L40" s="47">
        <f>Tabel2[[#This Row],[Nominal (Rp)]]</f>
        <v>28000000</v>
      </c>
      <c r="M40" s="54"/>
      <c r="N40" s="43" t="str">
        <f>IF($K40="","",IF(AND($K40=Kunci_Jurnal!$C40,IF($L40="",0,$L40)=IF(Kunci_Jurnal!$D40="",0,Kunci_Jurnal!$D40),IF($M40="",0,$M40)=IF(Kunci_Jurnal!$E40="",0,Kunci_Jurnal!$E40)),"Benar","Cek lagi"))</f>
        <v>Benar</v>
      </c>
    </row>
    <row r="41" spans="1:14" x14ac:dyDescent="0.3">
      <c r="A41" s="39"/>
      <c r="B41" s="39"/>
      <c r="C41" s="39"/>
      <c r="D41" s="39"/>
      <c r="E41" s="39"/>
      <c r="F41" s="39"/>
      <c r="G41" s="39"/>
      <c r="I41" s="43">
        <v>19</v>
      </c>
      <c r="J41" s="46">
        <v>46618</v>
      </c>
      <c r="K41" s="43" t="s">
        <v>129</v>
      </c>
      <c r="L41" s="47">
        <f>Tabel2[[#This Row],[Nominal (Rp)]]</f>
        <v>0</v>
      </c>
      <c r="M41" s="54">
        <f t="shared" ref="M41" si="9">L40</f>
        <v>28000000</v>
      </c>
      <c r="N41" s="43" t="str">
        <f>IF($K41="","",IF(AND($K41=Kunci_Jurnal!$C41,IF($L41="",0,$L41)=IF(Kunci_Jurnal!$D41="",0,Kunci_Jurnal!$D41),IF($M41="",0,$M41)=IF(Kunci_Jurnal!$E41="",0,Kunci_Jurnal!$E41)),"Benar","Cek lagi"))</f>
        <v>Benar</v>
      </c>
    </row>
    <row r="42" spans="1:14" x14ac:dyDescent="0.3">
      <c r="A42" s="39">
        <v>20</v>
      </c>
      <c r="B42" s="40">
        <v>46619</v>
      </c>
      <c r="C42" s="39" t="s">
        <v>253</v>
      </c>
      <c r="D42" s="39" t="s">
        <v>254</v>
      </c>
      <c r="E42" s="39">
        <v>20</v>
      </c>
      <c r="F42" s="41">
        <v>16000000</v>
      </c>
      <c r="G42" s="39" t="s">
        <v>255</v>
      </c>
      <c r="I42" s="43">
        <v>20</v>
      </c>
      <c r="J42" s="46">
        <v>46619</v>
      </c>
      <c r="K42" s="43" t="s">
        <v>46</v>
      </c>
      <c r="L42" s="47">
        <f>Tabel2[[#This Row],[Nominal (Rp)]]</f>
        <v>16000000</v>
      </c>
      <c r="M42" s="54"/>
      <c r="N42" s="43" t="str">
        <f>IF($K42="","",IF(AND($K42=Kunci_Jurnal!$C42,IF($L42="",0,$L42)=IF(Kunci_Jurnal!$D42="",0,Kunci_Jurnal!$D42),IF($M42="",0,$M42)=IF(Kunci_Jurnal!$E42="",0,Kunci_Jurnal!$E42)),"Benar","Cek lagi"))</f>
        <v>Benar</v>
      </c>
    </row>
    <row r="43" spans="1:14" x14ac:dyDescent="0.3">
      <c r="A43" s="39"/>
      <c r="B43" s="39"/>
      <c r="C43" s="39"/>
      <c r="D43" s="39"/>
      <c r="E43" s="39"/>
      <c r="F43" s="39"/>
      <c r="G43" s="39"/>
      <c r="I43" s="43">
        <v>20</v>
      </c>
      <c r="J43" s="46">
        <v>46619</v>
      </c>
      <c r="K43" s="43" t="s">
        <v>108</v>
      </c>
      <c r="L43" s="47">
        <f>Tabel2[[#This Row],[Nominal (Rp)]]</f>
        <v>0</v>
      </c>
      <c r="M43" s="54">
        <f t="shared" ref="M43" si="10">L42</f>
        <v>16000000</v>
      </c>
      <c r="N43" s="43" t="str">
        <f>IF($K43="","",IF(AND($K43=Kunci_Jurnal!$C43,IF($L43="",0,$L43)=IF(Kunci_Jurnal!$D43="",0,Kunci_Jurnal!$D43),IF($M43="",0,$M43)=IF(Kunci_Jurnal!$E43="",0,Kunci_Jurnal!$E43)),"Benar","Cek lagi"))</f>
        <v>Benar</v>
      </c>
    </row>
    <row r="44" spans="1:14" x14ac:dyDescent="0.3">
      <c r="A44" s="39">
        <v>21</v>
      </c>
      <c r="B44" s="40">
        <v>46620</v>
      </c>
      <c r="C44" s="39" t="s">
        <v>256</v>
      </c>
      <c r="D44" s="39" t="s">
        <v>257</v>
      </c>
      <c r="E44" s="39">
        <v>21</v>
      </c>
      <c r="F44" s="41">
        <v>5500000</v>
      </c>
      <c r="G44" s="39" t="s">
        <v>258</v>
      </c>
      <c r="I44" s="43">
        <v>21</v>
      </c>
      <c r="J44" s="46">
        <v>46620</v>
      </c>
      <c r="K44" s="43" t="s">
        <v>40</v>
      </c>
      <c r="L44" s="47">
        <f>Tabel2[[#This Row],[Nominal (Rp)]]</f>
        <v>5500000</v>
      </c>
      <c r="M44" s="54"/>
      <c r="N44" s="43" t="str">
        <f>IF($K44="","",IF(AND($K44=Kunci_Jurnal!$C44,IF($L44="",0,$L44)=IF(Kunci_Jurnal!$D44="",0,Kunci_Jurnal!$D44),IF($M44="",0,$M44)=IF(Kunci_Jurnal!$E44="",0,Kunci_Jurnal!$E44)),"Benar","Cek lagi"))</f>
        <v>Benar</v>
      </c>
    </row>
    <row r="45" spans="1:14" x14ac:dyDescent="0.3">
      <c r="A45" s="39"/>
      <c r="B45" s="39"/>
      <c r="C45" s="39"/>
      <c r="D45" s="39"/>
      <c r="E45" s="39"/>
      <c r="F45" s="39"/>
      <c r="G45" s="39"/>
      <c r="I45" s="43">
        <v>21</v>
      </c>
      <c r="J45" s="46">
        <v>46620</v>
      </c>
      <c r="K45" s="43" t="s">
        <v>137</v>
      </c>
      <c r="L45" s="47">
        <f>Tabel2[[#This Row],[Nominal (Rp)]]</f>
        <v>0</v>
      </c>
      <c r="M45" s="54">
        <f t="shared" ref="M45:M89" si="11">L44</f>
        <v>5500000</v>
      </c>
      <c r="N45" s="43" t="str">
        <f>IF($K45="","",IF(AND($K45=Kunci_Jurnal!$C45,IF($L45="",0,$L45)=IF(Kunci_Jurnal!$D45="",0,Kunci_Jurnal!$D45),IF($M45="",0,$M45)=IF(Kunci_Jurnal!$E45="",0,Kunci_Jurnal!$E45)),"Benar","Cek lagi"))</f>
        <v>Benar</v>
      </c>
    </row>
    <row r="46" spans="1:14" x14ac:dyDescent="0.3">
      <c r="A46" s="39">
        <v>22</v>
      </c>
      <c r="B46" s="40">
        <v>46621</v>
      </c>
      <c r="C46" s="39" t="s">
        <v>259</v>
      </c>
      <c r="D46" s="39" t="s">
        <v>260</v>
      </c>
      <c r="E46" s="39">
        <v>22</v>
      </c>
      <c r="F46" s="41">
        <v>9000000</v>
      </c>
      <c r="G46" s="39" t="s">
        <v>261</v>
      </c>
      <c r="I46" s="43">
        <v>22</v>
      </c>
      <c r="J46" s="46">
        <v>46621</v>
      </c>
      <c r="K46" s="43" t="s">
        <v>46</v>
      </c>
      <c r="L46" s="47">
        <f>Tabel2[[#This Row],[Nominal (Rp)]]</f>
        <v>9000000</v>
      </c>
      <c r="M46" s="54"/>
      <c r="N46" s="43" t="str">
        <f>IF($K46="","",IF(AND($K46=Kunci_Jurnal!$C46,IF($L46="",0,$L46)=IF(Kunci_Jurnal!$D46="",0,Kunci_Jurnal!$D46),IF($M46="",0,$M46)=IF(Kunci_Jurnal!$E46="",0,Kunci_Jurnal!$E46)),"Benar","Cek lagi"))</f>
        <v>Benar</v>
      </c>
    </row>
    <row r="47" spans="1:14" x14ac:dyDescent="0.3">
      <c r="A47" s="39"/>
      <c r="B47" s="39"/>
      <c r="C47" s="39"/>
      <c r="D47" s="39"/>
      <c r="E47" s="39"/>
      <c r="F47" s="39"/>
      <c r="G47" s="39"/>
      <c r="I47" s="43">
        <v>22</v>
      </c>
      <c r="J47" s="46">
        <v>46621</v>
      </c>
      <c r="K47" s="43" t="s">
        <v>135</v>
      </c>
      <c r="L47" s="47">
        <f>Tabel2[[#This Row],[Nominal (Rp)]]</f>
        <v>0</v>
      </c>
      <c r="M47" s="54">
        <f t="shared" ref="M47:M91" si="12">L46</f>
        <v>9000000</v>
      </c>
      <c r="N47" s="43" t="str">
        <f>IF($K47="","",IF(AND($K47=Kunci_Jurnal!$C47,IF($L47="",0,$L47)=IF(Kunci_Jurnal!$D47="",0,Kunci_Jurnal!$D47),IF($M47="",0,$M47)=IF(Kunci_Jurnal!$E47="",0,Kunci_Jurnal!$E47)),"Benar","Cek lagi"))</f>
        <v>Benar</v>
      </c>
    </row>
    <row r="48" spans="1:14" x14ac:dyDescent="0.3">
      <c r="A48" s="39">
        <v>23</v>
      </c>
      <c r="B48" s="40">
        <v>46622</v>
      </c>
      <c r="C48" s="39" t="s">
        <v>262</v>
      </c>
      <c r="D48" s="39" t="s">
        <v>263</v>
      </c>
      <c r="E48" s="39">
        <v>23</v>
      </c>
      <c r="F48" s="41">
        <v>1200000</v>
      </c>
      <c r="G48" s="39" t="s">
        <v>264</v>
      </c>
      <c r="I48" s="43">
        <v>23</v>
      </c>
      <c r="J48" s="46">
        <v>46622</v>
      </c>
      <c r="K48" s="43" t="s">
        <v>46</v>
      </c>
      <c r="L48" s="47">
        <f>Tabel2[[#This Row],[Nominal (Rp)]]</f>
        <v>1200000</v>
      </c>
      <c r="M48" s="54"/>
      <c r="N48" s="43" t="str">
        <f>IF($K48="","",IF(AND($K48=Kunci_Jurnal!$C48,IF($L48="",0,$L48)=IF(Kunci_Jurnal!$D48="",0,Kunci_Jurnal!$D48),IF($M48="",0,$M48)=IF(Kunci_Jurnal!$E48="",0,Kunci_Jurnal!$E48)),"Benar","Cek lagi"))</f>
        <v>Benar</v>
      </c>
    </row>
    <row r="49" spans="1:14" x14ac:dyDescent="0.3">
      <c r="A49" s="39"/>
      <c r="B49" s="39"/>
      <c r="C49" s="39"/>
      <c r="D49" s="39"/>
      <c r="E49" s="39"/>
      <c r="F49" s="39"/>
      <c r="G49" s="39"/>
      <c r="I49" s="43">
        <v>23</v>
      </c>
      <c r="J49" s="46">
        <v>46622</v>
      </c>
      <c r="K49" s="43" t="s">
        <v>133</v>
      </c>
      <c r="L49" s="47">
        <f>Tabel2[[#This Row],[Nominal (Rp)]]</f>
        <v>0</v>
      </c>
      <c r="M49" s="54">
        <f t="shared" ref="M49:M93" si="13">L48</f>
        <v>1200000</v>
      </c>
      <c r="N49" s="43" t="str">
        <f>IF($K49="","",IF(AND($K49=Kunci_Jurnal!$C49,IF($L49="",0,$L49)=IF(Kunci_Jurnal!$D49="",0,Kunci_Jurnal!$D49),IF($M49="",0,$M49)=IF(Kunci_Jurnal!$E49="",0,Kunci_Jurnal!$E49)),"Benar","Cek lagi"))</f>
        <v>Benar</v>
      </c>
    </row>
    <row r="50" spans="1:14" x14ac:dyDescent="0.3">
      <c r="A50" s="39">
        <v>24</v>
      </c>
      <c r="B50" s="40">
        <v>46623</v>
      </c>
      <c r="C50" s="39" t="s">
        <v>265</v>
      </c>
      <c r="D50" s="39" t="s">
        <v>266</v>
      </c>
      <c r="E50" s="39">
        <v>24</v>
      </c>
      <c r="F50" s="41">
        <v>2750000</v>
      </c>
      <c r="G50" s="39" t="s">
        <v>267</v>
      </c>
      <c r="I50" s="43">
        <v>24</v>
      </c>
      <c r="J50" s="46">
        <v>46623</v>
      </c>
      <c r="K50" s="43" t="s">
        <v>40</v>
      </c>
      <c r="L50" s="47">
        <f>Tabel2[[#This Row],[Nominal (Rp)]]</f>
        <v>2750000</v>
      </c>
      <c r="M50" s="54"/>
      <c r="N50" s="43" t="str">
        <f>IF($K50="","",IF(AND($K50=Kunci_Jurnal!$C50,IF($L50="",0,$L50)=IF(Kunci_Jurnal!$D50="",0,Kunci_Jurnal!$D50),IF($M50="",0,$M50)=IF(Kunci_Jurnal!$E50="",0,Kunci_Jurnal!$E50)),"Benar","Cek lagi"))</f>
        <v>Benar</v>
      </c>
    </row>
    <row r="51" spans="1:14" x14ac:dyDescent="0.3">
      <c r="A51" s="39"/>
      <c r="B51" s="39"/>
      <c r="C51" s="39"/>
      <c r="D51" s="39"/>
      <c r="E51" s="39"/>
      <c r="F51" s="39"/>
      <c r="G51" s="39"/>
      <c r="I51" s="43">
        <v>24</v>
      </c>
      <c r="J51" s="46">
        <v>46623</v>
      </c>
      <c r="K51" s="43" t="s">
        <v>139</v>
      </c>
      <c r="L51" s="47">
        <f>Tabel2[[#This Row],[Nominal (Rp)]]</f>
        <v>0</v>
      </c>
      <c r="M51" s="54">
        <f t="shared" ref="M51:M95" si="14">L50</f>
        <v>2750000</v>
      </c>
      <c r="N51" s="43" t="str">
        <f>IF($K51="","",IF(AND($K51=Kunci_Jurnal!$C51,IF($L51="",0,$L51)=IF(Kunci_Jurnal!$D51="",0,Kunci_Jurnal!$D51),IF($M51="",0,$M51)=IF(Kunci_Jurnal!$E51="",0,Kunci_Jurnal!$E51)),"Benar","Cek lagi"))</f>
        <v>Benar</v>
      </c>
    </row>
    <row r="52" spans="1:14" x14ac:dyDescent="0.3">
      <c r="A52" s="39">
        <v>25</v>
      </c>
      <c r="B52" s="40">
        <v>46624</v>
      </c>
      <c r="C52" s="39" t="s">
        <v>268</v>
      </c>
      <c r="D52" s="51" t="s">
        <v>269</v>
      </c>
      <c r="E52" s="39">
        <v>25</v>
      </c>
      <c r="F52" s="41">
        <v>3400000</v>
      </c>
      <c r="G52" s="39" t="s">
        <v>270</v>
      </c>
      <c r="I52" s="43">
        <v>25</v>
      </c>
      <c r="J52" s="46">
        <v>46624</v>
      </c>
      <c r="K52" s="43" t="s">
        <v>52</v>
      </c>
      <c r="L52" s="47">
        <f>Tabel2[[#This Row],[Nominal (Rp)]]</f>
        <v>3400000</v>
      </c>
      <c r="M52" s="54"/>
      <c r="N52" s="43" t="str">
        <f>IF($K52="","",IF(AND($K52=Kunci_Jurnal!$C52,IF($L52="",0,$L52)=IF(Kunci_Jurnal!$D52="",0,Kunci_Jurnal!$D52),IF($M52="",0,$M52)=IF(Kunci_Jurnal!$E52="",0,Kunci_Jurnal!$E52)),"Benar","Cek lagi"))</f>
        <v>Benar</v>
      </c>
    </row>
    <row r="53" spans="1:14" x14ac:dyDescent="0.3">
      <c r="A53" s="39"/>
      <c r="B53" s="39"/>
      <c r="C53" s="39"/>
      <c r="D53" s="39"/>
      <c r="E53" s="39"/>
      <c r="F53" s="39"/>
      <c r="G53" s="39"/>
      <c r="I53" s="43">
        <v>25</v>
      </c>
      <c r="J53" s="46">
        <v>46624</v>
      </c>
      <c r="K53" s="43" t="s">
        <v>131</v>
      </c>
      <c r="L53" s="47">
        <f>Tabel2[[#This Row],[Nominal (Rp)]]</f>
        <v>0</v>
      </c>
      <c r="M53" s="54">
        <f t="shared" ref="M53:M97" si="15">L52</f>
        <v>3400000</v>
      </c>
      <c r="N53" s="43" t="str">
        <f>IF($K53="","",IF(AND($K53=Kunci_Jurnal!$C53,IF($L53="",0,$L53)=IF(Kunci_Jurnal!$D53="",0,Kunci_Jurnal!$D53),IF($M53="",0,$M53)=IF(Kunci_Jurnal!$E53="",0,Kunci_Jurnal!$E53)),"Benar","Cek lagi"))</f>
        <v>Benar</v>
      </c>
    </row>
    <row r="54" spans="1:14" x14ac:dyDescent="0.3">
      <c r="A54" s="39">
        <v>26</v>
      </c>
      <c r="B54" s="40">
        <v>46625</v>
      </c>
      <c r="C54" s="39" t="s">
        <v>271</v>
      </c>
      <c r="D54" s="39" t="s">
        <v>272</v>
      </c>
      <c r="E54" s="39">
        <v>26</v>
      </c>
      <c r="F54" s="41">
        <v>4200000</v>
      </c>
      <c r="G54" s="39" t="s">
        <v>273</v>
      </c>
      <c r="I54" s="43">
        <v>26</v>
      </c>
      <c r="J54" s="46">
        <v>46625</v>
      </c>
      <c r="K54" s="43" t="s">
        <v>145</v>
      </c>
      <c r="L54" s="47">
        <f>Tabel2[[#This Row],[Nominal (Rp)]]</f>
        <v>4200000</v>
      </c>
      <c r="M54" s="54"/>
      <c r="N54" s="43" t="str">
        <f>IF($K54="","",IF(AND($K54=Kunci_Jurnal!$C54,IF($L54="",0,$L54)=IF(Kunci_Jurnal!$D54="",0,Kunci_Jurnal!$D54),IF($M54="",0,$M54)=IF(Kunci_Jurnal!$E54="",0,Kunci_Jurnal!$E54)),"Benar","Cek lagi"))</f>
        <v>Benar</v>
      </c>
    </row>
    <row r="55" spans="1:14" x14ac:dyDescent="0.3">
      <c r="A55" s="39"/>
      <c r="B55" s="39"/>
      <c r="C55" s="39"/>
      <c r="D55" s="39"/>
      <c r="E55" s="39"/>
      <c r="F55" s="39"/>
      <c r="G55" s="39"/>
      <c r="I55" s="43">
        <v>26</v>
      </c>
      <c r="J55" s="46">
        <v>46625</v>
      </c>
      <c r="K55" s="43" t="s">
        <v>40</v>
      </c>
      <c r="L55" s="47">
        <f>Tabel2[[#This Row],[Nominal (Rp)]]</f>
        <v>0</v>
      </c>
      <c r="M55" s="54">
        <f t="shared" ref="M55:M99" si="16">L54</f>
        <v>4200000</v>
      </c>
      <c r="N55" s="43" t="str">
        <f>IF($K55="","",IF(AND($K55=Kunci_Jurnal!$C55,IF($L55="",0,$L55)=IF(Kunci_Jurnal!$D55="",0,Kunci_Jurnal!$D55),IF($M55="",0,$M55)=IF(Kunci_Jurnal!$E55="",0,Kunci_Jurnal!$E55)),"Benar","Cek lagi"))</f>
        <v>Benar</v>
      </c>
    </row>
    <row r="56" spans="1:14" x14ac:dyDescent="0.3">
      <c r="A56" s="39">
        <v>27</v>
      </c>
      <c r="B56" s="40">
        <v>46626</v>
      </c>
      <c r="C56" s="39" t="s">
        <v>274</v>
      </c>
      <c r="D56" s="39" t="s">
        <v>275</v>
      </c>
      <c r="E56" s="39">
        <v>27</v>
      </c>
      <c r="F56" s="41">
        <v>2500000</v>
      </c>
      <c r="G56" s="39" t="s">
        <v>276</v>
      </c>
      <c r="I56" s="43">
        <v>27</v>
      </c>
      <c r="J56" s="46">
        <v>46626</v>
      </c>
      <c r="K56" s="43" t="s">
        <v>50</v>
      </c>
      <c r="L56" s="47">
        <f>Tabel2[[#This Row],[Nominal (Rp)]]</f>
        <v>2500000</v>
      </c>
      <c r="M56" s="54"/>
      <c r="N56" s="43" t="str">
        <f>IF($K56="","",IF(AND($K56=Kunci_Jurnal!$C56,IF($L56="",0,$L56)=IF(Kunci_Jurnal!$D56="",0,Kunci_Jurnal!$D56),IF($M56="",0,$M56)=IF(Kunci_Jurnal!$E56="",0,Kunci_Jurnal!$E56)),"Benar","Cek lagi"))</f>
        <v>Benar</v>
      </c>
    </row>
    <row r="57" spans="1:14" x14ac:dyDescent="0.3">
      <c r="A57" s="39"/>
      <c r="B57" s="39"/>
      <c r="C57" s="39"/>
      <c r="D57" s="39"/>
      <c r="E57" s="39"/>
      <c r="F57" s="39"/>
      <c r="G57" s="39"/>
      <c r="I57" s="43">
        <v>27</v>
      </c>
      <c r="J57" s="46">
        <v>46626</v>
      </c>
      <c r="K57" s="43" t="s">
        <v>40</v>
      </c>
      <c r="L57" s="47">
        <f>Tabel2[[#This Row],[Nominal (Rp)]]</f>
        <v>0</v>
      </c>
      <c r="M57" s="54">
        <f t="shared" ref="M57:M101" si="17">L56</f>
        <v>2500000</v>
      </c>
      <c r="N57" s="43" t="str">
        <f>IF($K57="","",IF(AND($K57=Kunci_Jurnal!$C57,IF($L57="",0,$L57)=IF(Kunci_Jurnal!$D57="",0,Kunci_Jurnal!$D57),IF($M57="",0,$M57)=IF(Kunci_Jurnal!$E57="",0,Kunci_Jurnal!$E57)),"Benar","Cek lagi"))</f>
        <v>Benar</v>
      </c>
    </row>
    <row r="58" spans="1:14" x14ac:dyDescent="0.3">
      <c r="A58" s="39">
        <v>28</v>
      </c>
      <c r="B58" s="40">
        <v>46627</v>
      </c>
      <c r="C58" s="39" t="s">
        <v>277</v>
      </c>
      <c r="D58" s="39" t="s">
        <v>278</v>
      </c>
      <c r="E58" s="39">
        <v>28</v>
      </c>
      <c r="F58" s="41">
        <v>12000000</v>
      </c>
      <c r="G58" s="39" t="s">
        <v>279</v>
      </c>
      <c r="I58" s="43">
        <v>28</v>
      </c>
      <c r="J58" s="46">
        <v>46627</v>
      </c>
      <c r="K58" s="43" t="s">
        <v>141</v>
      </c>
      <c r="L58" s="47">
        <f>Tabel2[[#This Row],[Nominal (Rp)]]</f>
        <v>12000000</v>
      </c>
      <c r="M58" s="54"/>
      <c r="N58" s="43" t="str">
        <f>IF($K58="","",IF(AND($K58=Kunci_Jurnal!$C58,IF($L58="",0,$L58)=IF(Kunci_Jurnal!$D58="",0,Kunci_Jurnal!$D58),IF($M58="",0,$M58)=IF(Kunci_Jurnal!$E58="",0,Kunci_Jurnal!$E58)),"Benar","Cek lagi"))</f>
        <v>Benar</v>
      </c>
    </row>
    <row r="59" spans="1:14" x14ac:dyDescent="0.3">
      <c r="A59" s="39"/>
      <c r="B59" s="39"/>
      <c r="C59" s="39"/>
      <c r="D59" s="39"/>
      <c r="E59" s="39"/>
      <c r="F59" s="39"/>
      <c r="G59" s="39"/>
      <c r="I59" s="43">
        <v>28</v>
      </c>
      <c r="J59" s="46">
        <v>46627</v>
      </c>
      <c r="K59" s="43" t="s">
        <v>88</v>
      </c>
      <c r="L59" s="47">
        <f>Tabel2[[#This Row],[Nominal (Rp)]]</f>
        <v>0</v>
      </c>
      <c r="M59" s="54">
        <f t="shared" ref="M59" si="18">L58</f>
        <v>12000000</v>
      </c>
      <c r="N59" s="43" t="str">
        <f>IF($K59="","",IF(AND($K59=Kunci_Jurnal!$C59,IF($L59="",0,$L59)=IF(Kunci_Jurnal!$D59="",0,Kunci_Jurnal!$D59),IF($M59="",0,$M59)=IF(Kunci_Jurnal!$E59="",0,Kunci_Jurnal!$E59)),"Benar","Cek lagi"))</f>
        <v>Benar</v>
      </c>
    </row>
    <row r="60" spans="1:14" x14ac:dyDescent="0.3">
      <c r="A60" s="39">
        <v>29</v>
      </c>
      <c r="B60" s="40">
        <v>46628</v>
      </c>
      <c r="C60" s="39" t="s">
        <v>280</v>
      </c>
      <c r="D60" s="39" t="s">
        <v>281</v>
      </c>
      <c r="E60" s="39">
        <v>29</v>
      </c>
      <c r="F60" s="41">
        <v>1100000</v>
      </c>
      <c r="G60" s="39" t="s">
        <v>282</v>
      </c>
      <c r="I60" s="43">
        <v>29</v>
      </c>
      <c r="J60" s="46">
        <v>46628</v>
      </c>
      <c r="K60" s="43" t="s">
        <v>88</v>
      </c>
      <c r="L60" s="47">
        <f>Tabel2[[#This Row],[Nominal (Rp)]]</f>
        <v>1100000</v>
      </c>
      <c r="M60" s="54"/>
      <c r="N60" s="43" t="str">
        <f>IF($K60="","",IF(AND($K60=Kunci_Jurnal!$C60,IF($L60="",0,$L60)=IF(Kunci_Jurnal!$D60="",0,Kunci_Jurnal!$D60),IF($M60="",0,$M60)=IF(Kunci_Jurnal!$E60="",0,Kunci_Jurnal!$E60)),"Benar","Cek lagi"))</f>
        <v>Benar</v>
      </c>
    </row>
    <row r="61" spans="1:14" x14ac:dyDescent="0.3">
      <c r="A61" s="39"/>
      <c r="B61" s="39"/>
      <c r="C61" s="39"/>
      <c r="D61" s="39"/>
      <c r="E61" s="39"/>
      <c r="F61" s="39"/>
      <c r="G61" s="39"/>
      <c r="I61" s="43">
        <v>29</v>
      </c>
      <c r="J61" s="46">
        <v>46628</v>
      </c>
      <c r="K61" s="43" t="s">
        <v>92</v>
      </c>
      <c r="L61" s="47">
        <f>Tabel2[[#This Row],[Nominal (Rp)]]</f>
        <v>0</v>
      </c>
      <c r="M61" s="54">
        <f t="shared" ref="M61" si="19">L60</f>
        <v>1100000</v>
      </c>
      <c r="N61" s="43" t="str">
        <f>IF($K61="","",IF(AND($K61=Kunci_Jurnal!$C61,IF($L61="",0,$L61)=IF(Kunci_Jurnal!$D61="",0,Kunci_Jurnal!$D61),IF($M61="",0,$M61)=IF(Kunci_Jurnal!$E61="",0,Kunci_Jurnal!$E61)),"Benar","Cek lagi"))</f>
        <v>Benar</v>
      </c>
    </row>
    <row r="62" spans="1:14" x14ac:dyDescent="0.3">
      <c r="A62" s="39">
        <v>30</v>
      </c>
      <c r="B62" s="40">
        <v>46629</v>
      </c>
      <c r="C62" s="39" t="s">
        <v>283</v>
      </c>
      <c r="D62" s="39" t="s">
        <v>284</v>
      </c>
      <c r="E62" s="39">
        <v>30</v>
      </c>
      <c r="F62" s="41">
        <v>800000</v>
      </c>
      <c r="G62" s="39" t="s">
        <v>285</v>
      </c>
      <c r="I62" s="43">
        <v>30</v>
      </c>
      <c r="J62" s="46">
        <v>46629</v>
      </c>
      <c r="K62" s="43" t="s">
        <v>88</v>
      </c>
      <c r="L62" s="47">
        <f>Tabel2[[#This Row],[Nominal (Rp)]]</f>
        <v>800000</v>
      </c>
      <c r="M62" s="54"/>
      <c r="N62" s="43" t="str">
        <f>IF($K62="","",IF(AND($K62=Kunci_Jurnal!$C62,IF($L62="",0,$L62)=IF(Kunci_Jurnal!$D62="",0,Kunci_Jurnal!$D62),IF($M62="",0,$M62)=IF(Kunci_Jurnal!$E62="",0,Kunci_Jurnal!$E62)),"Benar","Cek lagi"))</f>
        <v>Benar</v>
      </c>
    </row>
    <row r="63" spans="1:14" x14ac:dyDescent="0.3">
      <c r="A63" s="39"/>
      <c r="B63" s="39"/>
      <c r="C63" s="39"/>
      <c r="D63" s="39"/>
      <c r="E63" s="39"/>
      <c r="F63" s="39"/>
      <c r="G63" s="39"/>
      <c r="I63" s="43">
        <v>30</v>
      </c>
      <c r="J63" s="46">
        <v>46629</v>
      </c>
      <c r="K63" s="43" t="s">
        <v>96</v>
      </c>
      <c r="L63" s="47">
        <f>Tabel2[[#This Row],[Nominal (Rp)]]</f>
        <v>0</v>
      </c>
      <c r="M63" s="54">
        <f t="shared" ref="M63" si="20">L62</f>
        <v>800000</v>
      </c>
      <c r="N63" s="43" t="str">
        <f>IF($K63="","",IF(AND($K63=Kunci_Jurnal!$C63,IF($L63="",0,$L63)=IF(Kunci_Jurnal!$D63="",0,Kunci_Jurnal!$D63),IF($M63="",0,$M63)=IF(Kunci_Jurnal!$E63="",0,Kunci_Jurnal!$E63)),"Benar","Cek lagi"))</f>
        <v>Benar</v>
      </c>
    </row>
    <row r="64" spans="1:14" x14ac:dyDescent="0.3">
      <c r="A64" s="39">
        <v>31</v>
      </c>
      <c r="B64" s="40">
        <v>46630</v>
      </c>
      <c r="C64" s="39" t="s">
        <v>286</v>
      </c>
      <c r="D64" s="39" t="s">
        <v>287</v>
      </c>
      <c r="E64" s="39">
        <v>31</v>
      </c>
      <c r="F64" s="41">
        <v>2000000</v>
      </c>
      <c r="G64" s="39" t="s">
        <v>288</v>
      </c>
      <c r="I64" s="43">
        <v>31</v>
      </c>
      <c r="J64" s="46">
        <v>46630</v>
      </c>
      <c r="K64" s="43" t="s">
        <v>175</v>
      </c>
      <c r="L64" s="47">
        <f>Tabel2[[#This Row],[Nominal (Rp)]]</f>
        <v>2000000</v>
      </c>
      <c r="M64" s="54"/>
      <c r="N64" s="43" t="str">
        <f>IF($K64="","",IF(AND($K64=Kunci_Jurnal!$C64,IF($L64="",0,$L64)=IF(Kunci_Jurnal!$D64="",0,Kunci_Jurnal!$D64),IF($M64="",0,$M64)=IF(Kunci_Jurnal!$E64="",0,Kunci_Jurnal!$E64)),"Benar","Cek lagi"))</f>
        <v>Benar</v>
      </c>
    </row>
    <row r="65" spans="1:14" x14ac:dyDescent="0.3">
      <c r="A65" s="39"/>
      <c r="B65" s="39"/>
      <c r="C65" s="39"/>
      <c r="D65" s="39"/>
      <c r="E65" s="39"/>
      <c r="F65" s="39"/>
      <c r="G65" s="39"/>
      <c r="I65" s="43">
        <v>31</v>
      </c>
      <c r="J65" s="46">
        <v>46630</v>
      </c>
      <c r="K65" s="43" t="s">
        <v>90</v>
      </c>
      <c r="L65" s="47">
        <f>Tabel2[[#This Row],[Nominal (Rp)]]</f>
        <v>0</v>
      </c>
      <c r="M65" s="54">
        <f t="shared" ref="M65" si="21">L64</f>
        <v>2000000</v>
      </c>
      <c r="N65" s="43" t="str">
        <f>IF($K65="","",IF(AND($K65=Kunci_Jurnal!$C65,IF($L65="",0,$L65)=IF(Kunci_Jurnal!$D65="",0,Kunci_Jurnal!$D65),IF($M65="",0,$M65)=IF(Kunci_Jurnal!$E65="",0,Kunci_Jurnal!$E65)),"Benar","Cek lagi"))</f>
        <v>Benar</v>
      </c>
    </row>
    <row r="66" spans="1:14" x14ac:dyDescent="0.3">
      <c r="A66" s="39">
        <v>32</v>
      </c>
      <c r="B66" s="40">
        <v>46631</v>
      </c>
      <c r="C66" s="39" t="s">
        <v>289</v>
      </c>
      <c r="D66" s="39" t="s">
        <v>290</v>
      </c>
      <c r="E66" s="39">
        <v>32</v>
      </c>
      <c r="F66" s="41">
        <v>3080000</v>
      </c>
      <c r="G66" s="39" t="s">
        <v>291</v>
      </c>
      <c r="I66" s="43">
        <v>32</v>
      </c>
      <c r="J66" s="46">
        <v>46631</v>
      </c>
      <c r="K66" s="43" t="s">
        <v>48</v>
      </c>
      <c r="L66" s="47">
        <f>Tabel2[[#This Row],[Nominal (Rp)]]</f>
        <v>3080000</v>
      </c>
      <c r="M66" s="54"/>
      <c r="N66" s="43" t="str">
        <f>IF($K66="","",IF(AND($K66=Kunci_Jurnal!$C66,IF($L66="",0,$L66)=IF(Kunci_Jurnal!$D66="",0,Kunci_Jurnal!$D66),IF($M66="",0,$M66)=IF(Kunci_Jurnal!$E66="",0,Kunci_Jurnal!$E66)),"Benar","Cek lagi"))</f>
        <v>Benar</v>
      </c>
    </row>
    <row r="67" spans="1:14" x14ac:dyDescent="0.3">
      <c r="A67" s="39"/>
      <c r="B67" s="39"/>
      <c r="C67" s="39"/>
      <c r="D67" s="39"/>
      <c r="E67" s="39"/>
      <c r="F67" s="39"/>
      <c r="G67" s="39"/>
      <c r="I67" s="43">
        <v>32</v>
      </c>
      <c r="J67" s="46">
        <v>46631</v>
      </c>
      <c r="K67" s="43" t="s">
        <v>94</v>
      </c>
      <c r="L67" s="47">
        <f>Tabel2[[#This Row],[Nominal (Rp)]]</f>
        <v>0</v>
      </c>
      <c r="M67" s="54">
        <f t="shared" si="11"/>
        <v>3080000</v>
      </c>
      <c r="N67" s="43" t="str">
        <f>IF($K67="","",IF(AND($K67=Kunci_Jurnal!$C67,IF($L67="",0,$L67)=IF(Kunci_Jurnal!$D67="",0,Kunci_Jurnal!$D67),IF($M67="",0,$M67)=IF(Kunci_Jurnal!$E67="",0,Kunci_Jurnal!$E67)),"Benar","Cek lagi"))</f>
        <v>Benar</v>
      </c>
    </row>
    <row r="68" spans="1:14" x14ac:dyDescent="0.3">
      <c r="A68" s="39">
        <v>33</v>
      </c>
      <c r="B68" s="40">
        <v>46632</v>
      </c>
      <c r="C68" s="39" t="s">
        <v>292</v>
      </c>
      <c r="D68" s="39" t="s">
        <v>293</v>
      </c>
      <c r="E68" s="39">
        <v>33</v>
      </c>
      <c r="F68" s="41">
        <v>4000000</v>
      </c>
      <c r="G68" s="39" t="s">
        <v>294</v>
      </c>
      <c r="I68" s="43">
        <v>33</v>
      </c>
      <c r="J68" s="46">
        <v>46632</v>
      </c>
      <c r="K68" s="43" t="s">
        <v>147</v>
      </c>
      <c r="L68" s="47">
        <f>Tabel2[[#This Row],[Nominal (Rp)]]</f>
        <v>4000000</v>
      </c>
      <c r="M68" s="54"/>
      <c r="N68" s="43" t="str">
        <f>IF($K68="","",IF(AND($K68=Kunci_Jurnal!$C68,IF($L68="",0,$L68)=IF(Kunci_Jurnal!$D68="",0,Kunci_Jurnal!$D68),IF($M68="",0,$M68)=IF(Kunci_Jurnal!$E68="",0,Kunci_Jurnal!$E68)),"Benar","Cek lagi"))</f>
        <v>Benar</v>
      </c>
    </row>
    <row r="69" spans="1:14" x14ac:dyDescent="0.3">
      <c r="A69" s="39"/>
      <c r="B69" s="39"/>
      <c r="C69" s="39"/>
      <c r="D69" s="39"/>
      <c r="E69" s="39"/>
      <c r="F69" s="39"/>
      <c r="G69" s="39"/>
      <c r="I69" s="43">
        <v>33</v>
      </c>
      <c r="J69" s="46">
        <v>46632</v>
      </c>
      <c r="K69" s="43" t="s">
        <v>98</v>
      </c>
      <c r="L69" s="47">
        <f>Tabel2[[#This Row],[Nominal (Rp)]]</f>
        <v>0</v>
      </c>
      <c r="M69" s="54">
        <f t="shared" si="12"/>
        <v>4000000</v>
      </c>
      <c r="N69" s="43" t="str">
        <f>IF($K69="","",IF(AND($K69=Kunci_Jurnal!$C69,IF($L69="",0,$L69)=IF(Kunci_Jurnal!$D69="",0,Kunci_Jurnal!$D69),IF($M69="",0,$M69)=IF(Kunci_Jurnal!$E69="",0,Kunci_Jurnal!$E69)),"Benar","Cek lagi"))</f>
        <v>Benar</v>
      </c>
    </row>
    <row r="70" spans="1:14" x14ac:dyDescent="0.3">
      <c r="A70" s="39">
        <v>34</v>
      </c>
      <c r="B70" s="42">
        <v>46633</v>
      </c>
      <c r="C70" s="39" t="s">
        <v>295</v>
      </c>
      <c r="D70" s="39" t="s">
        <v>296</v>
      </c>
      <c r="E70" s="39">
        <v>34</v>
      </c>
      <c r="F70" s="41">
        <v>8000000</v>
      </c>
      <c r="G70" s="39" t="s">
        <v>297</v>
      </c>
      <c r="I70" s="43">
        <v>34</v>
      </c>
      <c r="J70" s="46">
        <v>46633</v>
      </c>
      <c r="K70" s="43" t="s">
        <v>46</v>
      </c>
      <c r="L70" s="47">
        <f>Tabel2[[#This Row],[Nominal (Rp)]]</f>
        <v>8000000</v>
      </c>
      <c r="M70" s="54"/>
      <c r="N70" s="43" t="str">
        <f>IF($K70="","",IF(AND($K70=Kunci_Jurnal!$C70,IF($L70="",0,$L70)=IF(Kunci_Jurnal!$D70="",0,Kunci_Jurnal!$D70),IF($M70="",0,$M70)=IF(Kunci_Jurnal!$E70="",0,Kunci_Jurnal!$E70)),"Benar","Cek lagi"))</f>
        <v>Benar</v>
      </c>
    </row>
    <row r="71" spans="1:14" x14ac:dyDescent="0.3">
      <c r="A71" s="39"/>
      <c r="B71" s="39"/>
      <c r="C71" s="39"/>
      <c r="D71" s="39"/>
      <c r="E71" s="39"/>
      <c r="F71" s="39"/>
      <c r="G71" s="39"/>
      <c r="I71" s="43">
        <v>34</v>
      </c>
      <c r="J71" s="46">
        <v>46633</v>
      </c>
      <c r="K71" s="43" t="s">
        <v>48</v>
      </c>
      <c r="L71" s="47">
        <f>Tabel2[[#This Row],[Nominal (Rp)]]</f>
        <v>0</v>
      </c>
      <c r="M71" s="54">
        <f t="shared" si="13"/>
        <v>8000000</v>
      </c>
      <c r="N71" s="43" t="str">
        <f>IF($K71="","",IF(AND($K71=Kunci_Jurnal!$C71,IF($L71="",0,$L71)=IF(Kunci_Jurnal!$D71="",0,Kunci_Jurnal!$D71),IF($M71="",0,$M71)=IF(Kunci_Jurnal!$E71="",0,Kunci_Jurnal!$E71)),"Benar","Cek lagi"))</f>
        <v>Benar</v>
      </c>
    </row>
    <row r="72" spans="1:14" x14ac:dyDescent="0.3">
      <c r="A72" s="39">
        <v>35</v>
      </c>
      <c r="B72" s="42">
        <v>46634</v>
      </c>
      <c r="C72" s="39" t="s">
        <v>298</v>
      </c>
      <c r="D72" s="39" t="s">
        <v>299</v>
      </c>
      <c r="E72" s="39">
        <v>35</v>
      </c>
      <c r="F72" s="41">
        <v>7000000</v>
      </c>
      <c r="G72" s="39" t="s">
        <v>300</v>
      </c>
      <c r="I72" s="43">
        <v>35</v>
      </c>
      <c r="J72" s="46">
        <v>46634</v>
      </c>
      <c r="K72" s="43" t="s">
        <v>84</v>
      </c>
      <c r="L72" s="47">
        <f>Tabel2[[#This Row],[Nominal (Rp)]]</f>
        <v>7000000</v>
      </c>
      <c r="M72" s="54"/>
      <c r="N72" s="43" t="str">
        <f>IF($K72="","",IF(AND($K72=Kunci_Jurnal!$C72,IF($L72="",0,$L72)=IF(Kunci_Jurnal!$D72="",0,Kunci_Jurnal!$D72),IF($M72="",0,$M72)=IF(Kunci_Jurnal!$E72="",0,Kunci_Jurnal!$E72)),"Benar","Cek lagi"))</f>
        <v>Benar</v>
      </c>
    </row>
    <row r="73" spans="1:14" x14ac:dyDescent="0.3">
      <c r="A73" s="39"/>
      <c r="B73" s="39"/>
      <c r="C73" s="39"/>
      <c r="D73" s="39"/>
      <c r="E73" s="39"/>
      <c r="F73" s="39"/>
      <c r="G73" s="39"/>
      <c r="I73" s="43">
        <v>35</v>
      </c>
      <c r="J73" s="46">
        <v>46634</v>
      </c>
      <c r="K73" s="43" t="s">
        <v>46</v>
      </c>
      <c r="L73" s="47">
        <f>Tabel2[[#This Row],[Nominal (Rp)]]</f>
        <v>0</v>
      </c>
      <c r="M73" s="54">
        <f t="shared" si="14"/>
        <v>7000000</v>
      </c>
      <c r="N73" s="43" t="str">
        <f>IF($K73="","",IF(AND($K73=Kunci_Jurnal!$C73,IF($L73="",0,$L73)=IF(Kunci_Jurnal!$D73="",0,Kunci_Jurnal!$D73),IF($M73="",0,$M73)=IF(Kunci_Jurnal!$E73="",0,Kunci_Jurnal!$E73)),"Benar","Cek lagi"))</f>
        <v>Benar</v>
      </c>
    </row>
    <row r="74" spans="1:14" x14ac:dyDescent="0.3">
      <c r="A74" s="39">
        <v>36</v>
      </c>
      <c r="B74" s="42">
        <v>46635</v>
      </c>
      <c r="C74" s="39" t="s">
        <v>301</v>
      </c>
      <c r="D74" s="39" t="s">
        <v>302</v>
      </c>
      <c r="E74" s="39">
        <v>36</v>
      </c>
      <c r="F74" s="41">
        <v>1000000</v>
      </c>
      <c r="G74" s="39" t="s">
        <v>303</v>
      </c>
      <c r="I74" s="43">
        <v>36</v>
      </c>
      <c r="J74" s="46">
        <v>46635</v>
      </c>
      <c r="K74" s="43" t="s">
        <v>40</v>
      </c>
      <c r="L74" s="47">
        <f>Tabel2[[#This Row],[Nominal (Rp)]]</f>
        <v>1000000</v>
      </c>
      <c r="M74" s="54"/>
      <c r="N74" s="43" t="str">
        <f>IF($K74="","",IF(AND($K74=Kunci_Jurnal!$C74,IF($L74="",0,$L74)=IF(Kunci_Jurnal!$D74="",0,Kunci_Jurnal!$D74),IF($M74="",0,$M74)=IF(Kunci_Jurnal!$E74="",0,Kunci_Jurnal!$E74)),"Benar","Cek lagi"))</f>
        <v>Benar</v>
      </c>
    </row>
    <row r="75" spans="1:14" x14ac:dyDescent="0.3">
      <c r="A75" s="39"/>
      <c r="B75" s="39"/>
      <c r="C75" s="39"/>
      <c r="D75" s="39"/>
      <c r="E75" s="39"/>
      <c r="F75" s="39"/>
      <c r="G75" s="39"/>
      <c r="I75" s="43">
        <v>36</v>
      </c>
      <c r="J75" s="46">
        <v>46635</v>
      </c>
      <c r="K75" s="43" t="s">
        <v>52</v>
      </c>
      <c r="L75" s="47">
        <f>Tabel2[[#This Row],[Nominal (Rp)]]</f>
        <v>0</v>
      </c>
      <c r="M75" s="54">
        <f t="shared" si="15"/>
        <v>1000000</v>
      </c>
      <c r="N75" s="43" t="str">
        <f>IF($K75="","",IF(AND($K75=Kunci_Jurnal!$C75,IF($L75="",0,$L75)=IF(Kunci_Jurnal!$D75="",0,Kunci_Jurnal!$D75),IF($M75="",0,$M75)=IF(Kunci_Jurnal!$E75="",0,Kunci_Jurnal!$E75)),"Benar","Cek lagi"))</f>
        <v>Benar</v>
      </c>
    </row>
    <row r="76" spans="1:14" x14ac:dyDescent="0.3">
      <c r="A76" s="39">
        <v>37</v>
      </c>
      <c r="B76" s="42">
        <v>46636</v>
      </c>
      <c r="C76" s="39" t="s">
        <v>304</v>
      </c>
      <c r="D76" s="39" t="s">
        <v>305</v>
      </c>
      <c r="E76" s="39">
        <v>37</v>
      </c>
      <c r="F76" s="41">
        <v>2000000</v>
      </c>
      <c r="G76" s="39" t="s">
        <v>306</v>
      </c>
      <c r="I76" s="43">
        <v>37</v>
      </c>
      <c r="J76" s="46">
        <v>46636</v>
      </c>
      <c r="K76" s="43" t="s">
        <v>46</v>
      </c>
      <c r="L76" s="47">
        <f>Tabel2[[#This Row],[Nominal (Rp)]]</f>
        <v>2000000</v>
      </c>
      <c r="M76" s="54"/>
      <c r="N76" s="43" t="str">
        <f>IF($K76="","",IF(AND($K76=Kunci_Jurnal!$C76,IF($L76="",0,$L76)=IF(Kunci_Jurnal!$D76="",0,Kunci_Jurnal!$D76),IF($M76="",0,$M76)=IF(Kunci_Jurnal!$E76="",0,Kunci_Jurnal!$E76)),"Benar","Cek lagi"))</f>
        <v>Benar</v>
      </c>
    </row>
    <row r="77" spans="1:14" x14ac:dyDescent="0.3">
      <c r="A77" s="39"/>
      <c r="B77" s="39"/>
      <c r="C77" s="39"/>
      <c r="D77" s="39"/>
      <c r="E77" s="39"/>
      <c r="F77" s="39"/>
      <c r="G77" s="39"/>
      <c r="I77" s="43">
        <v>37</v>
      </c>
      <c r="J77" s="46">
        <v>46636</v>
      </c>
      <c r="K77" s="43" t="s">
        <v>64</v>
      </c>
      <c r="L77" s="47">
        <f>Tabel2[[#This Row],[Nominal (Rp)]]</f>
        <v>0</v>
      </c>
      <c r="M77" s="54">
        <f t="shared" si="16"/>
        <v>2000000</v>
      </c>
      <c r="N77" s="43" t="str">
        <f>IF($K77="","",IF(AND($K77=Kunci_Jurnal!$C77,IF($L77="",0,$L77)=IF(Kunci_Jurnal!$D77="",0,Kunci_Jurnal!$D77),IF($M77="",0,$M77)=IF(Kunci_Jurnal!$E77="",0,Kunci_Jurnal!$E77)),"Benar","Cek lagi"))</f>
        <v>Benar</v>
      </c>
    </row>
    <row r="78" spans="1:14" x14ac:dyDescent="0.3">
      <c r="A78" s="39">
        <v>38</v>
      </c>
      <c r="B78" s="42">
        <v>46637</v>
      </c>
      <c r="C78" s="39" t="s">
        <v>307</v>
      </c>
      <c r="D78" s="39" t="s">
        <v>308</v>
      </c>
      <c r="E78" s="39">
        <v>38</v>
      </c>
      <c r="F78" s="41">
        <v>5000000</v>
      </c>
      <c r="G78" s="39" t="s">
        <v>309</v>
      </c>
      <c r="I78" s="43">
        <v>38</v>
      </c>
      <c r="J78" s="46">
        <v>46637</v>
      </c>
      <c r="K78" s="43" t="s">
        <v>104</v>
      </c>
      <c r="L78" s="47">
        <f>Tabel2[[#This Row],[Nominal (Rp)]]</f>
        <v>5000000</v>
      </c>
      <c r="M78" s="54"/>
      <c r="N78" s="43" t="str">
        <f>IF($K78="","",IF(AND($K78=Kunci_Jurnal!$C78,IF($L78="",0,$L78)=IF(Kunci_Jurnal!$D78="",0,Kunci_Jurnal!$D78),IF($M78="",0,$M78)=IF(Kunci_Jurnal!$E78="",0,Kunci_Jurnal!$E78)),"Benar","Cek lagi"))</f>
        <v>Benar</v>
      </c>
    </row>
    <row r="79" spans="1:14" x14ac:dyDescent="0.3">
      <c r="A79" s="39"/>
      <c r="B79" s="39"/>
      <c r="C79" s="39"/>
      <c r="D79" s="39"/>
      <c r="E79" s="39"/>
      <c r="F79" s="39"/>
      <c r="G79" s="39"/>
      <c r="I79" s="43">
        <v>38</v>
      </c>
      <c r="J79" s="46">
        <v>46637</v>
      </c>
      <c r="K79" s="43" t="s">
        <v>46</v>
      </c>
      <c r="L79" s="47">
        <f>Tabel2[[#This Row],[Nominal (Rp)]]</f>
        <v>0</v>
      </c>
      <c r="M79" s="54">
        <f t="shared" si="17"/>
        <v>5000000</v>
      </c>
      <c r="N79" s="43" t="str">
        <f>IF($K79="","",IF(AND($K79=Kunci_Jurnal!$C79,IF($L79="",0,$L79)=IF(Kunci_Jurnal!$D79="",0,Kunci_Jurnal!$D79),IF($M79="",0,$M79)=IF(Kunci_Jurnal!$E79="",0,Kunci_Jurnal!$E79)),"Benar","Cek lagi"))</f>
        <v>Benar</v>
      </c>
    </row>
    <row r="80" spans="1:14" x14ac:dyDescent="0.3">
      <c r="A80" s="39">
        <v>39</v>
      </c>
      <c r="B80" s="42">
        <v>46638</v>
      </c>
      <c r="C80" s="39" t="s">
        <v>310</v>
      </c>
      <c r="D80" s="39" t="s">
        <v>311</v>
      </c>
      <c r="E80" s="39">
        <v>39</v>
      </c>
      <c r="F80" s="41">
        <v>6000000</v>
      </c>
      <c r="G80" s="39" t="s">
        <v>312</v>
      </c>
      <c r="I80" s="43">
        <v>39</v>
      </c>
      <c r="J80" s="46">
        <v>46638</v>
      </c>
      <c r="K80" s="43" t="s">
        <v>102</v>
      </c>
      <c r="L80" s="47">
        <f>Tabel2[[#This Row],[Nominal (Rp)]]</f>
        <v>6000000</v>
      </c>
      <c r="M80" s="54"/>
      <c r="N80" s="43" t="str">
        <f>IF($K80="","",IF(AND($K80=Kunci_Jurnal!$C80,IF($L80="",0,$L80)=IF(Kunci_Jurnal!$D80="",0,Kunci_Jurnal!$D80),IF($M80="",0,$M80)=IF(Kunci_Jurnal!$E80="",0,Kunci_Jurnal!$E80)),"Benar","Cek lagi"))</f>
        <v>Benar</v>
      </c>
    </row>
    <row r="81" spans="1:14" x14ac:dyDescent="0.3">
      <c r="A81" s="39"/>
      <c r="B81" s="39"/>
      <c r="C81" s="39"/>
      <c r="D81" s="39"/>
      <c r="E81" s="39"/>
      <c r="F81" s="39"/>
      <c r="G81" s="39"/>
      <c r="I81" s="43">
        <v>39</v>
      </c>
      <c r="J81" s="46">
        <v>46638</v>
      </c>
      <c r="K81" s="43" t="s">
        <v>46</v>
      </c>
      <c r="L81" s="47">
        <f>Tabel2[[#This Row],[Nominal (Rp)]]</f>
        <v>0</v>
      </c>
      <c r="M81" s="54">
        <f t="shared" ref="M81" si="22">L80</f>
        <v>6000000</v>
      </c>
      <c r="N81" s="43" t="str">
        <f>IF($K81="","",IF(AND($K81=Kunci_Jurnal!$C81,IF($L81="",0,$L81)=IF(Kunci_Jurnal!$D81="",0,Kunci_Jurnal!$D81),IF($M81="",0,$M81)=IF(Kunci_Jurnal!$E81="",0,Kunci_Jurnal!$E81)),"Benar","Cek lagi"))</f>
        <v>Benar</v>
      </c>
    </row>
    <row r="82" spans="1:14" x14ac:dyDescent="0.3">
      <c r="A82" s="39">
        <v>40</v>
      </c>
      <c r="B82" s="40">
        <v>46639</v>
      </c>
      <c r="C82" s="39" t="s">
        <v>313</v>
      </c>
      <c r="D82" s="39" t="s">
        <v>314</v>
      </c>
      <c r="E82" s="39">
        <v>40</v>
      </c>
      <c r="F82" s="41">
        <v>1750000</v>
      </c>
      <c r="G82" s="39" t="s">
        <v>315</v>
      </c>
      <c r="I82" s="43">
        <v>40</v>
      </c>
      <c r="J82" s="46">
        <v>46639</v>
      </c>
      <c r="K82" s="43" t="s">
        <v>149</v>
      </c>
      <c r="L82" s="47">
        <f>Tabel2[[#This Row],[Nominal (Rp)]]</f>
        <v>1750000</v>
      </c>
      <c r="M82" s="54"/>
      <c r="N82" s="43" t="str">
        <f>IF($K82="","",IF(AND($K82=Kunci_Jurnal!$C82,IF($L82="",0,$L82)=IF(Kunci_Jurnal!$D82="",0,Kunci_Jurnal!$D82),IF($M82="",0,$M82)=IF(Kunci_Jurnal!$E82="",0,Kunci_Jurnal!$E82)),"Benar","Cek lagi"))</f>
        <v>Benar</v>
      </c>
    </row>
    <row r="83" spans="1:14" x14ac:dyDescent="0.3">
      <c r="A83" s="39"/>
      <c r="B83" s="39"/>
      <c r="C83" s="39"/>
      <c r="D83" s="39"/>
      <c r="E83" s="39"/>
      <c r="F83" s="39"/>
      <c r="G83" s="39"/>
      <c r="I83" s="43">
        <v>40</v>
      </c>
      <c r="J83" s="46">
        <v>46639</v>
      </c>
      <c r="K83" s="43" t="s">
        <v>84</v>
      </c>
      <c r="L83" s="47">
        <f>Tabel2[[#This Row],[Nominal (Rp)]]</f>
        <v>0</v>
      </c>
      <c r="M83" s="54">
        <f t="shared" ref="M83" si="23">L82</f>
        <v>1750000</v>
      </c>
      <c r="N83" s="43" t="str">
        <f>IF($K83="","",IF(AND($K83=Kunci_Jurnal!$C83,IF($L83="",0,$L83)=IF(Kunci_Jurnal!$D83="",0,Kunci_Jurnal!$D83),IF($M83="",0,$M83)=IF(Kunci_Jurnal!$E83="",0,Kunci_Jurnal!$E83)),"Benar","Cek lagi"))</f>
        <v>Benar</v>
      </c>
    </row>
    <row r="84" spans="1:14" x14ac:dyDescent="0.3">
      <c r="A84" s="39">
        <v>41</v>
      </c>
      <c r="B84" s="40">
        <v>46640</v>
      </c>
      <c r="C84" s="39" t="s">
        <v>316</v>
      </c>
      <c r="D84" s="39" t="s">
        <v>317</v>
      </c>
      <c r="E84" s="39">
        <v>41</v>
      </c>
      <c r="F84" s="41">
        <v>450000</v>
      </c>
      <c r="G84" s="39" t="s">
        <v>318</v>
      </c>
      <c r="I84" s="43">
        <v>41</v>
      </c>
      <c r="J84" s="46">
        <v>46640</v>
      </c>
      <c r="K84" s="43" t="s">
        <v>151</v>
      </c>
      <c r="L84" s="47">
        <f>Tabel2[[#This Row],[Nominal (Rp)]]</f>
        <v>450000</v>
      </c>
      <c r="M84" s="54"/>
      <c r="N84" s="43" t="str">
        <f>IF($K84="","",IF(AND($K84=Kunci_Jurnal!$C84,IF($L84="",0,$L84)=IF(Kunci_Jurnal!$D84="",0,Kunci_Jurnal!$D84),IF($M84="",0,$M84)=IF(Kunci_Jurnal!$E84="",0,Kunci_Jurnal!$E84)),"Benar","Cek lagi"))</f>
        <v>Benar</v>
      </c>
    </row>
    <row r="85" spans="1:14" x14ac:dyDescent="0.3">
      <c r="A85" s="39"/>
      <c r="B85" s="39"/>
      <c r="C85" s="39"/>
      <c r="D85" s="39"/>
      <c r="E85" s="39"/>
      <c r="F85" s="39"/>
      <c r="G85" s="39"/>
      <c r="I85" s="43">
        <v>41</v>
      </c>
      <c r="J85" s="46">
        <v>46640</v>
      </c>
      <c r="K85" s="43" t="s">
        <v>40</v>
      </c>
      <c r="L85" s="47">
        <f>Tabel2[[#This Row],[Nominal (Rp)]]</f>
        <v>0</v>
      </c>
      <c r="M85" s="54">
        <f t="shared" ref="M85" si="24">L84</f>
        <v>450000</v>
      </c>
      <c r="N85" s="43" t="str">
        <f>IF($K85="","",IF(AND($K85=Kunci_Jurnal!$C85,IF($L85="",0,$L85)=IF(Kunci_Jurnal!$D85="",0,Kunci_Jurnal!$D85),IF($M85="",0,$M85)=IF(Kunci_Jurnal!$E85="",0,Kunci_Jurnal!$E85)),"Benar","Cek lagi"))</f>
        <v>Benar</v>
      </c>
    </row>
    <row r="86" spans="1:14" x14ac:dyDescent="0.3">
      <c r="A86" s="39">
        <v>42</v>
      </c>
      <c r="B86" s="40">
        <v>46641</v>
      </c>
      <c r="C86" s="39" t="s">
        <v>319</v>
      </c>
      <c r="D86" s="39" t="s">
        <v>320</v>
      </c>
      <c r="E86" s="39">
        <v>42</v>
      </c>
      <c r="F86" s="41">
        <v>650000</v>
      </c>
      <c r="G86" s="39" t="s">
        <v>321</v>
      </c>
      <c r="I86" s="43">
        <v>42</v>
      </c>
      <c r="J86" s="46">
        <v>46641</v>
      </c>
      <c r="K86" s="43" t="s">
        <v>153</v>
      </c>
      <c r="L86" s="47">
        <f>Tabel2[[#This Row],[Nominal (Rp)]]</f>
        <v>650000</v>
      </c>
      <c r="M86" s="54"/>
      <c r="N86" s="43" t="str">
        <f>IF($K86="","",IF(AND($K86=Kunci_Jurnal!$C86,IF($L86="",0,$L86)=IF(Kunci_Jurnal!$D86="",0,Kunci_Jurnal!$D86),IF($M86="",0,$M86)=IF(Kunci_Jurnal!$E86="",0,Kunci_Jurnal!$E86)),"Benar","Cek lagi"))</f>
        <v>Benar</v>
      </c>
    </row>
    <row r="87" spans="1:14" x14ac:dyDescent="0.3">
      <c r="A87" s="39"/>
      <c r="B87" s="39"/>
      <c r="C87" s="39"/>
      <c r="D87" s="39"/>
      <c r="E87" s="39"/>
      <c r="F87" s="39"/>
      <c r="G87" s="39"/>
      <c r="I87" s="43">
        <v>42</v>
      </c>
      <c r="J87" s="46">
        <v>46641</v>
      </c>
      <c r="K87" s="43" t="s">
        <v>46</v>
      </c>
      <c r="L87" s="47">
        <f>Tabel2[[#This Row],[Nominal (Rp)]]</f>
        <v>0</v>
      </c>
      <c r="M87" s="54">
        <f t="shared" ref="M87" si="25">L86</f>
        <v>650000</v>
      </c>
      <c r="N87" s="43" t="str">
        <f>IF($K87="","",IF(AND($K87=Kunci_Jurnal!$C87,IF($L87="",0,$L87)=IF(Kunci_Jurnal!$D87="",0,Kunci_Jurnal!$D87),IF($M87="",0,$M87)=IF(Kunci_Jurnal!$E87="",0,Kunci_Jurnal!$E87)),"Benar","Cek lagi"))</f>
        <v>Benar</v>
      </c>
    </row>
    <row r="88" spans="1:14" x14ac:dyDescent="0.3">
      <c r="A88" s="39">
        <v>43</v>
      </c>
      <c r="B88" s="40">
        <v>46642</v>
      </c>
      <c r="C88" s="39" t="s">
        <v>322</v>
      </c>
      <c r="D88" s="39" t="s">
        <v>323</v>
      </c>
      <c r="E88" s="39">
        <v>43</v>
      </c>
      <c r="F88" s="41">
        <v>900000</v>
      </c>
      <c r="G88" s="39" t="s">
        <v>324</v>
      </c>
      <c r="I88" s="43">
        <v>43</v>
      </c>
      <c r="J88" s="46">
        <v>46642</v>
      </c>
      <c r="K88" s="43" t="s">
        <v>155</v>
      </c>
      <c r="L88" s="47">
        <f>Tabel2[[#This Row],[Nominal (Rp)]]</f>
        <v>900000</v>
      </c>
      <c r="M88" s="54"/>
      <c r="N88" s="43" t="str">
        <f>IF($K88="","",IF(AND($K88=Kunci_Jurnal!$C88,IF($L88="",0,$L88)=IF(Kunci_Jurnal!$D88="",0,Kunci_Jurnal!$D88),IF($M88="",0,$M88)=IF(Kunci_Jurnal!$E88="",0,Kunci_Jurnal!$E88)),"Benar","Cek lagi"))</f>
        <v>Benar</v>
      </c>
    </row>
    <row r="89" spans="1:14" x14ac:dyDescent="0.3">
      <c r="A89" s="39"/>
      <c r="B89" s="39"/>
      <c r="C89" s="39"/>
      <c r="D89" s="39"/>
      <c r="E89" s="39"/>
      <c r="F89" s="39"/>
      <c r="G89" s="39"/>
      <c r="I89" s="43">
        <v>43</v>
      </c>
      <c r="J89" s="46">
        <v>46642</v>
      </c>
      <c r="K89" s="43" t="s">
        <v>46</v>
      </c>
      <c r="L89" s="47">
        <f>Tabel2[[#This Row],[Nominal (Rp)]]</f>
        <v>0</v>
      </c>
      <c r="M89" s="54">
        <f t="shared" si="11"/>
        <v>900000</v>
      </c>
      <c r="N89" s="43" t="str">
        <f>IF($K89="","",IF(AND($K89=Kunci_Jurnal!$C89,IF($L89="",0,$L89)=IF(Kunci_Jurnal!$D89="",0,Kunci_Jurnal!$D89),IF($M89="",0,$M89)=IF(Kunci_Jurnal!$E89="",0,Kunci_Jurnal!$E89)),"Benar","Cek lagi"))</f>
        <v>Benar</v>
      </c>
    </row>
    <row r="90" spans="1:14" x14ac:dyDescent="0.3">
      <c r="A90" s="39">
        <v>44</v>
      </c>
      <c r="B90" s="40">
        <v>46643</v>
      </c>
      <c r="C90" s="39" t="s">
        <v>325</v>
      </c>
      <c r="D90" s="39" t="s">
        <v>326</v>
      </c>
      <c r="E90" s="39">
        <v>44</v>
      </c>
      <c r="F90" s="41">
        <v>1150000</v>
      </c>
      <c r="G90" s="39" t="s">
        <v>327</v>
      </c>
      <c r="I90" s="43">
        <v>44</v>
      </c>
      <c r="J90" s="46">
        <v>46643</v>
      </c>
      <c r="K90" s="43" t="s">
        <v>161</v>
      </c>
      <c r="L90" s="47">
        <f>Tabel2[[#This Row],[Nominal (Rp)]]</f>
        <v>1150000</v>
      </c>
      <c r="M90" s="54"/>
      <c r="N90" s="43" t="str">
        <f>IF($K90="","",IF(AND($K90=Kunci_Jurnal!$C90,IF($L90="",0,$L90)=IF(Kunci_Jurnal!$D90="",0,Kunci_Jurnal!$D90),IF($M90="",0,$M90)=IF(Kunci_Jurnal!$E90="",0,Kunci_Jurnal!$E90)),"Benar","Cek lagi"))</f>
        <v>Benar</v>
      </c>
    </row>
    <row r="91" spans="1:14" x14ac:dyDescent="0.3">
      <c r="A91" s="39"/>
      <c r="B91" s="39"/>
      <c r="C91" s="39"/>
      <c r="D91" s="39"/>
      <c r="E91" s="39"/>
      <c r="F91" s="39"/>
      <c r="G91" s="39"/>
      <c r="I91" s="43">
        <v>44</v>
      </c>
      <c r="J91" s="46">
        <v>46643</v>
      </c>
      <c r="K91" s="43" t="s">
        <v>40</v>
      </c>
      <c r="L91" s="47">
        <f>Tabel2[[#This Row],[Nominal (Rp)]]</f>
        <v>0</v>
      </c>
      <c r="M91" s="54">
        <f t="shared" si="12"/>
        <v>1150000</v>
      </c>
      <c r="N91" s="43" t="str">
        <f>IF($K91="","",IF(AND($K91=Kunci_Jurnal!$C91,IF($L91="",0,$L91)=IF(Kunci_Jurnal!$D91="",0,Kunci_Jurnal!$D91),IF($M91="",0,$M91)=IF(Kunci_Jurnal!$E91="",0,Kunci_Jurnal!$E91)),"Benar","Cek lagi"))</f>
        <v>Benar</v>
      </c>
    </row>
    <row r="92" spans="1:14" x14ac:dyDescent="0.3">
      <c r="A92" s="39">
        <v>45</v>
      </c>
      <c r="B92" s="40">
        <v>46644</v>
      </c>
      <c r="C92" s="39" t="s">
        <v>328</v>
      </c>
      <c r="D92" s="39" t="s">
        <v>329</v>
      </c>
      <c r="E92" s="39">
        <v>45</v>
      </c>
      <c r="F92" s="41">
        <v>1000000</v>
      </c>
      <c r="G92" s="39" t="s">
        <v>330</v>
      </c>
      <c r="I92" s="43">
        <v>45</v>
      </c>
      <c r="J92" s="46">
        <v>46644</v>
      </c>
      <c r="K92" s="43" t="s">
        <v>163</v>
      </c>
      <c r="L92" s="47">
        <f>Tabel2[[#This Row],[Nominal (Rp)]]</f>
        <v>1000000</v>
      </c>
      <c r="M92" s="54"/>
      <c r="N92" s="43" t="str">
        <f>IF($K92="","",IF(AND($K92=Kunci_Jurnal!$C92,IF($L92="",0,$L92)=IF(Kunci_Jurnal!$D92="",0,Kunci_Jurnal!$D92),IF($M92="",0,$M92)=IF(Kunci_Jurnal!$E92="",0,Kunci_Jurnal!$E92)),"Benar","Cek lagi"))</f>
        <v>Benar</v>
      </c>
    </row>
    <row r="93" spans="1:14" x14ac:dyDescent="0.3">
      <c r="A93" s="39"/>
      <c r="B93" s="39"/>
      <c r="C93" s="39"/>
      <c r="D93" s="39"/>
      <c r="E93" s="39"/>
      <c r="F93" s="39"/>
      <c r="G93" s="39"/>
      <c r="I93" s="43">
        <v>45</v>
      </c>
      <c r="J93" s="46">
        <v>46644</v>
      </c>
      <c r="K93" s="43" t="s">
        <v>40</v>
      </c>
      <c r="L93" s="47">
        <f>Tabel2[[#This Row],[Nominal (Rp)]]</f>
        <v>0</v>
      </c>
      <c r="M93" s="54">
        <f t="shared" si="13"/>
        <v>1000000</v>
      </c>
      <c r="N93" s="43" t="str">
        <f>IF($K93="","",IF(AND($K93=Kunci_Jurnal!$C93,IF($L93="",0,$L93)=IF(Kunci_Jurnal!$D93="",0,Kunci_Jurnal!$D93),IF($M93="",0,$M93)=IF(Kunci_Jurnal!$E93="",0,Kunci_Jurnal!$E93)),"Benar","Cek lagi"))</f>
        <v>Benar</v>
      </c>
    </row>
    <row r="94" spans="1:14" x14ac:dyDescent="0.3">
      <c r="A94" s="39">
        <v>46</v>
      </c>
      <c r="B94" s="40">
        <v>46645</v>
      </c>
      <c r="C94" s="39" t="s">
        <v>331</v>
      </c>
      <c r="D94" s="39" t="s">
        <v>332</v>
      </c>
      <c r="E94" s="39">
        <v>46</v>
      </c>
      <c r="F94" s="41">
        <v>300000</v>
      </c>
      <c r="G94" s="39" t="s">
        <v>333</v>
      </c>
      <c r="I94" s="43">
        <v>46</v>
      </c>
      <c r="J94" s="46">
        <v>46645</v>
      </c>
      <c r="K94" s="43" t="s">
        <v>167</v>
      </c>
      <c r="L94" s="47">
        <f>Tabel2[[#This Row],[Nominal (Rp)]]</f>
        <v>300000</v>
      </c>
      <c r="M94" s="54"/>
      <c r="N94" s="43" t="str">
        <f>IF($K94="","",IF(AND($K94=Kunci_Jurnal!$C94,IF($L94="",0,$L94)=IF(Kunci_Jurnal!$D94="",0,Kunci_Jurnal!$D94),IF($M94="",0,$M94)=IF(Kunci_Jurnal!$E94="",0,Kunci_Jurnal!$E94)),"Benar","Cek lagi"))</f>
        <v>Benar</v>
      </c>
    </row>
    <row r="95" spans="1:14" x14ac:dyDescent="0.3">
      <c r="A95" s="39"/>
      <c r="B95" s="39"/>
      <c r="C95" s="39"/>
      <c r="D95" s="39"/>
      <c r="E95" s="39"/>
      <c r="F95" s="39"/>
      <c r="G95" s="39"/>
      <c r="I95" s="43">
        <v>46</v>
      </c>
      <c r="J95" s="46">
        <v>46645</v>
      </c>
      <c r="K95" s="43" t="s">
        <v>46</v>
      </c>
      <c r="L95" s="47">
        <f>Tabel2[[#This Row],[Nominal (Rp)]]</f>
        <v>0</v>
      </c>
      <c r="M95" s="54">
        <f t="shared" si="14"/>
        <v>300000</v>
      </c>
      <c r="N95" s="43" t="str">
        <f>IF($K95="","",IF(AND($K95=Kunci_Jurnal!$C95,IF($L95="",0,$L95)=IF(Kunci_Jurnal!$D95="",0,Kunci_Jurnal!$D95),IF($M95="",0,$M95)=IF(Kunci_Jurnal!$E95="",0,Kunci_Jurnal!$E95)),"Benar","Cek lagi"))</f>
        <v>Benar</v>
      </c>
    </row>
    <row r="96" spans="1:14" x14ac:dyDescent="0.3">
      <c r="A96" s="39">
        <v>47</v>
      </c>
      <c r="B96" s="40">
        <v>46646</v>
      </c>
      <c r="C96" s="39" t="s">
        <v>334</v>
      </c>
      <c r="D96" s="39" t="s">
        <v>335</v>
      </c>
      <c r="E96" s="39">
        <v>47</v>
      </c>
      <c r="F96" s="41">
        <v>550000</v>
      </c>
      <c r="G96" s="39" t="s">
        <v>336</v>
      </c>
      <c r="I96" s="43">
        <v>47</v>
      </c>
      <c r="J96" s="46">
        <v>46646</v>
      </c>
      <c r="K96" s="43" t="s">
        <v>169</v>
      </c>
      <c r="L96" s="47">
        <f>Tabel2[[#This Row],[Nominal (Rp)]]</f>
        <v>550000</v>
      </c>
      <c r="M96" s="54"/>
      <c r="N96" s="43" t="str">
        <f>IF($K96="","",IF(AND($K96=Kunci_Jurnal!$C96,IF($L96="",0,$L96)=IF(Kunci_Jurnal!$D96="",0,Kunci_Jurnal!$D96),IF($M96="",0,$M96)=IF(Kunci_Jurnal!$E96="",0,Kunci_Jurnal!$E96)),"Benar","Cek lagi"))</f>
        <v>Benar</v>
      </c>
    </row>
    <row r="97" spans="1:14" x14ac:dyDescent="0.3">
      <c r="A97" s="39"/>
      <c r="B97" s="39"/>
      <c r="C97" s="39"/>
      <c r="D97" s="39"/>
      <c r="E97" s="39"/>
      <c r="F97" s="39"/>
      <c r="G97" s="39"/>
      <c r="I97" s="43">
        <v>47</v>
      </c>
      <c r="J97" s="46">
        <v>46646</v>
      </c>
      <c r="K97" s="43" t="s">
        <v>40</v>
      </c>
      <c r="L97" s="47">
        <f>Tabel2[[#This Row],[Nominal (Rp)]]</f>
        <v>0</v>
      </c>
      <c r="M97" s="54">
        <f t="shared" si="15"/>
        <v>550000</v>
      </c>
      <c r="N97" s="43" t="str">
        <f>IF($K97="","",IF(AND($K97=Kunci_Jurnal!$C97,IF($L97="",0,$L97)=IF(Kunci_Jurnal!$D97="",0,Kunci_Jurnal!$D97),IF($M97="",0,$M97)=IF(Kunci_Jurnal!$E97="",0,Kunci_Jurnal!$E97)),"Benar","Cek lagi"))</f>
        <v>Benar</v>
      </c>
    </row>
    <row r="98" spans="1:14" x14ac:dyDescent="0.3">
      <c r="A98" s="39">
        <v>48</v>
      </c>
      <c r="B98" s="40">
        <v>46647</v>
      </c>
      <c r="C98" s="39" t="s">
        <v>337</v>
      </c>
      <c r="D98" s="39" t="s">
        <v>338</v>
      </c>
      <c r="E98" s="39">
        <v>48</v>
      </c>
      <c r="F98" s="41">
        <v>2300000</v>
      </c>
      <c r="G98" s="39" t="s">
        <v>339</v>
      </c>
      <c r="I98" s="43">
        <v>48</v>
      </c>
      <c r="J98" s="46">
        <v>46647</v>
      </c>
      <c r="K98" s="43" t="s">
        <v>171</v>
      </c>
      <c r="L98" s="47">
        <f>Tabel2[[#This Row],[Nominal (Rp)]]</f>
        <v>2300000</v>
      </c>
      <c r="M98" s="54"/>
      <c r="N98" s="43" t="str">
        <f>IF($K98="","",IF(AND($K98=Kunci_Jurnal!$C98,IF($L98="",0,$L98)=IF(Kunci_Jurnal!$D98="",0,Kunci_Jurnal!$D98),IF($M98="",0,$M98)=IF(Kunci_Jurnal!$E98="",0,Kunci_Jurnal!$E98)),"Benar","Cek lagi"))</f>
        <v>Benar</v>
      </c>
    </row>
    <row r="99" spans="1:14" x14ac:dyDescent="0.3">
      <c r="A99" s="39"/>
      <c r="B99" s="39"/>
      <c r="C99" s="39"/>
      <c r="D99" s="39"/>
      <c r="E99" s="39"/>
      <c r="F99" s="39"/>
      <c r="G99" s="39"/>
      <c r="I99" s="43">
        <v>48</v>
      </c>
      <c r="J99" s="46">
        <v>46647</v>
      </c>
      <c r="K99" s="43" t="s">
        <v>84</v>
      </c>
      <c r="L99" s="47">
        <f>Tabel2[[#This Row],[Nominal (Rp)]]</f>
        <v>0</v>
      </c>
      <c r="M99" s="54">
        <f t="shared" si="16"/>
        <v>2300000</v>
      </c>
      <c r="N99" s="43" t="str">
        <f>IF($K99="","",IF(AND($K99=Kunci_Jurnal!$C99,IF($L99="",0,$L99)=IF(Kunci_Jurnal!$D99="",0,Kunci_Jurnal!$D99),IF($M99="",0,$M99)=IF(Kunci_Jurnal!$E99="",0,Kunci_Jurnal!$E99)),"Benar","Cek lagi"))</f>
        <v>Benar</v>
      </c>
    </row>
    <row r="100" spans="1:14" x14ac:dyDescent="0.3">
      <c r="A100" s="39">
        <v>49</v>
      </c>
      <c r="B100" s="40">
        <v>46648</v>
      </c>
      <c r="C100" s="39" t="s">
        <v>340</v>
      </c>
      <c r="D100" s="39" t="s">
        <v>341</v>
      </c>
      <c r="E100" s="39">
        <v>49</v>
      </c>
      <c r="F100" s="41">
        <v>2100000</v>
      </c>
      <c r="G100" s="39" t="s">
        <v>342</v>
      </c>
      <c r="I100" s="43">
        <v>49</v>
      </c>
      <c r="J100" s="46">
        <v>46648</v>
      </c>
      <c r="K100" s="43" t="s">
        <v>173</v>
      </c>
      <c r="L100" s="47">
        <f>Tabel2[[#This Row],[Nominal (Rp)]]</f>
        <v>2100000</v>
      </c>
      <c r="M100" s="54"/>
      <c r="N100" s="43" t="str">
        <f>IF($K100="","",IF(AND($K100=Kunci_Jurnal!$C100,IF($L100="",0,$L100)=IF(Kunci_Jurnal!$D100="",0,Kunci_Jurnal!$D100),IF($M100="",0,$M100)=IF(Kunci_Jurnal!$E100="",0,Kunci_Jurnal!$E100)),"Benar","Cek lagi"))</f>
        <v>Benar</v>
      </c>
    </row>
    <row r="101" spans="1:14" x14ac:dyDescent="0.3">
      <c r="A101" s="39"/>
      <c r="B101" s="39"/>
      <c r="C101" s="39"/>
      <c r="D101" s="39"/>
      <c r="E101" s="39"/>
      <c r="F101" s="39"/>
      <c r="G101" s="39"/>
      <c r="I101" s="43">
        <v>49</v>
      </c>
      <c r="J101" s="46">
        <v>46648</v>
      </c>
      <c r="K101" s="43" t="s">
        <v>100</v>
      </c>
      <c r="L101" s="47">
        <f>Tabel2[[#This Row],[Nominal (Rp)]]</f>
        <v>0</v>
      </c>
      <c r="M101" s="54">
        <f t="shared" si="17"/>
        <v>2100000</v>
      </c>
      <c r="N101" s="43" t="str">
        <f>IF($K101="","",IF(AND($K101=Kunci_Jurnal!$C101,IF($L101="",0,$L101)=IF(Kunci_Jurnal!$D101="",0,Kunci_Jurnal!$D101),IF($M101="",0,$M101)=IF(Kunci_Jurnal!$E101="",0,Kunci_Jurnal!$E101)),"Benar","Cek lagi"))</f>
        <v>Benar</v>
      </c>
    </row>
    <row r="102" spans="1:14" x14ac:dyDescent="0.3">
      <c r="A102" s="39">
        <v>50</v>
      </c>
      <c r="B102" s="40">
        <v>46649</v>
      </c>
      <c r="C102" s="39" t="s">
        <v>343</v>
      </c>
      <c r="D102" s="39" t="s">
        <v>344</v>
      </c>
      <c r="E102" s="39">
        <v>50</v>
      </c>
      <c r="F102" s="41">
        <v>750000</v>
      </c>
      <c r="G102" s="39" t="s">
        <v>345</v>
      </c>
      <c r="I102" s="43">
        <v>50</v>
      </c>
      <c r="J102" s="46">
        <v>46649</v>
      </c>
      <c r="K102" s="43" t="s">
        <v>179</v>
      </c>
      <c r="L102" s="47">
        <f>Tabel2[[#This Row],[Nominal (Rp)]]</f>
        <v>750000</v>
      </c>
      <c r="M102" s="54"/>
      <c r="N102" s="43" t="str">
        <f>IF($K102="","",IF(AND($K102=Kunci_Jurnal!$C102,IF($L102="",0,$L102)=IF(Kunci_Jurnal!$D102="",0,Kunci_Jurnal!$D102),IF($M102="",0,$M102)=IF(Kunci_Jurnal!$E102="",0,Kunci_Jurnal!$E102)),"Benar","Cek lagi"))</f>
        <v>Benar</v>
      </c>
    </row>
    <row r="103" spans="1:14" x14ac:dyDescent="0.3">
      <c r="A103" s="39"/>
      <c r="B103" s="39"/>
      <c r="C103" s="39"/>
      <c r="D103" s="39"/>
      <c r="E103" s="39"/>
      <c r="F103" s="39"/>
      <c r="G103" s="39"/>
      <c r="I103" s="43">
        <v>50</v>
      </c>
      <c r="J103" s="46">
        <v>46649</v>
      </c>
      <c r="K103" s="43" t="s">
        <v>40</v>
      </c>
      <c r="L103" s="47">
        <f>Tabel2[[#This Row],[Nominal (Rp)]]</f>
        <v>0</v>
      </c>
      <c r="M103" s="54">
        <f t="shared" ref="M103" si="26">L102</f>
        <v>750000</v>
      </c>
      <c r="N103" s="43" t="str">
        <f>IF($K103="","",IF(AND($K103=Kunci_Jurnal!$C103,IF($L103="",0,$L103)=IF(Kunci_Jurnal!$D103="",0,Kunci_Jurnal!$D103),IF($M103="",0,$M103)=IF(Kunci_Jurnal!$E103="",0,Kunci_Jurnal!$E103)),"Benar","Cek lagi"))</f>
        <v>Benar</v>
      </c>
    </row>
  </sheetData>
  <mergeCells count="4">
    <mergeCell ref="I1:N1"/>
    <mergeCell ref="A1:G1"/>
    <mergeCell ref="A2:D2"/>
    <mergeCell ref="I2:N2"/>
  </mergeCells>
  <conditionalFormatting sqref="N4:N103">
    <cfRule type="containsText" dxfId="81" priority="1" operator="containsText" text="cek lagi">
      <formula>NOT(ISERROR(SEARCH("cek lagi",N4)))</formula>
    </cfRule>
    <cfRule type="containsText" dxfId="80" priority="2" operator="containsText" text="salah">
      <formula>NOT(ISERROR(SEARCH("salah",N4)))</formula>
    </cfRule>
    <cfRule type="containsText" dxfId="79" priority="3" operator="containsText" text="benar">
      <formula>NOT(ISERROR(SEARCH("benar",N4)))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COA!$B$4:$B$67</xm:f>
          </x14:formula1>
          <xm:sqref>K4:K103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embar4"/>
  <dimension ref="A1:H105"/>
  <sheetViews>
    <sheetView workbookViewId="0">
      <selection activeCell="J10" sqref="J10"/>
    </sheetView>
  </sheetViews>
  <sheetFormatPr defaultRowHeight="14.4" x14ac:dyDescent="0.3"/>
  <cols>
    <col min="1" max="1" width="7.88671875" bestFit="1" customWidth="1"/>
    <col min="2" max="2" width="12" bestFit="1" customWidth="1"/>
    <col min="3" max="3" width="25.44140625" bestFit="1" customWidth="1"/>
    <col min="4" max="4" width="13.88671875" bestFit="1" customWidth="1"/>
    <col min="5" max="5" width="14.44140625" bestFit="1" customWidth="1"/>
    <col min="6" max="6" width="62.5546875" customWidth="1"/>
    <col min="8" max="8" width="32" customWidth="1"/>
  </cols>
  <sheetData>
    <row r="1" spans="1:8" ht="24" customHeight="1" x14ac:dyDescent="0.3">
      <c r="A1" s="83" t="s">
        <v>563</v>
      </c>
      <c r="B1" s="81"/>
      <c r="C1" s="81"/>
      <c r="D1" s="81"/>
      <c r="E1" s="81"/>
      <c r="F1" s="81"/>
    </row>
    <row r="2" spans="1:8" x14ac:dyDescent="0.3">
      <c r="A2" t="s">
        <v>346</v>
      </c>
    </row>
    <row r="3" spans="1:8" x14ac:dyDescent="0.3">
      <c r="A3" s="1" t="s">
        <v>185</v>
      </c>
      <c r="B3" s="1" t="s">
        <v>186</v>
      </c>
      <c r="C3" s="1" t="s">
        <v>192</v>
      </c>
      <c r="D3" s="1" t="s">
        <v>193</v>
      </c>
      <c r="E3" s="1" t="s">
        <v>194</v>
      </c>
      <c r="F3" s="1" t="s">
        <v>347</v>
      </c>
      <c r="H3" s="33" t="s">
        <v>348</v>
      </c>
    </row>
    <row r="4" spans="1:8" x14ac:dyDescent="0.3">
      <c r="A4">
        <v>1</v>
      </c>
      <c r="B4" s="5">
        <v>46600</v>
      </c>
      <c r="C4" t="s">
        <v>40</v>
      </c>
      <c r="D4" s="6">
        <v>80000000</v>
      </c>
      <c r="E4" s="6"/>
      <c r="F4" s="2" t="s">
        <v>349</v>
      </c>
      <c r="H4" s="30" t="s">
        <v>40</v>
      </c>
    </row>
    <row r="5" spans="1:8" x14ac:dyDescent="0.3">
      <c r="A5">
        <v>1</v>
      </c>
      <c r="B5" s="5">
        <v>46600</v>
      </c>
      <c r="C5" t="s">
        <v>110</v>
      </c>
      <c r="D5" s="6"/>
      <c r="E5" s="6">
        <v>80000000</v>
      </c>
      <c r="F5" s="2" t="s">
        <v>350</v>
      </c>
      <c r="H5" s="30" t="s">
        <v>46</v>
      </c>
    </row>
    <row r="6" spans="1:8" x14ac:dyDescent="0.3">
      <c r="A6">
        <v>2</v>
      </c>
      <c r="B6" s="5">
        <v>46601</v>
      </c>
      <c r="C6" t="s">
        <v>46</v>
      </c>
      <c r="D6" s="6">
        <v>50000000</v>
      </c>
      <c r="E6" s="6"/>
      <c r="F6" s="2" t="s">
        <v>351</v>
      </c>
      <c r="H6" s="30" t="s">
        <v>48</v>
      </c>
    </row>
    <row r="7" spans="1:8" x14ac:dyDescent="0.3">
      <c r="A7">
        <v>2</v>
      </c>
      <c r="B7" s="5">
        <v>46601</v>
      </c>
      <c r="C7" t="s">
        <v>40</v>
      </c>
      <c r="D7" s="6"/>
      <c r="E7" s="6">
        <v>50000000</v>
      </c>
      <c r="F7" s="2" t="s">
        <v>352</v>
      </c>
      <c r="H7" s="30" t="s">
        <v>50</v>
      </c>
    </row>
    <row r="8" spans="1:8" x14ac:dyDescent="0.3">
      <c r="A8">
        <v>3</v>
      </c>
      <c r="B8" s="5">
        <v>46602</v>
      </c>
      <c r="C8" t="s">
        <v>46</v>
      </c>
      <c r="D8" s="6">
        <v>120000000</v>
      </c>
      <c r="E8" s="6"/>
      <c r="F8" s="2" t="s">
        <v>353</v>
      </c>
      <c r="H8" s="30" t="s">
        <v>52</v>
      </c>
    </row>
    <row r="9" spans="1:8" x14ac:dyDescent="0.3">
      <c r="A9">
        <v>3</v>
      </c>
      <c r="B9" s="5">
        <v>46602</v>
      </c>
      <c r="C9" t="s">
        <v>114</v>
      </c>
      <c r="D9" s="6"/>
      <c r="E9" s="6">
        <v>120000000</v>
      </c>
      <c r="F9" s="2" t="s">
        <v>354</v>
      </c>
      <c r="H9" s="30" t="s">
        <v>54</v>
      </c>
    </row>
    <row r="10" spans="1:8" x14ac:dyDescent="0.3">
      <c r="A10">
        <v>4</v>
      </c>
      <c r="B10" s="5">
        <v>46603</v>
      </c>
      <c r="C10" t="s">
        <v>46</v>
      </c>
      <c r="D10" s="6">
        <v>25000000</v>
      </c>
      <c r="E10" s="6"/>
      <c r="F10" s="2" t="s">
        <v>355</v>
      </c>
      <c r="H10" s="30" t="s">
        <v>56</v>
      </c>
    </row>
    <row r="11" spans="1:8" x14ac:dyDescent="0.3">
      <c r="A11">
        <v>4</v>
      </c>
      <c r="B11" s="5">
        <v>46603</v>
      </c>
      <c r="C11" t="s">
        <v>116</v>
      </c>
      <c r="D11" s="6"/>
      <c r="E11" s="6">
        <v>25000000</v>
      </c>
      <c r="F11" s="2" t="s">
        <v>356</v>
      </c>
      <c r="H11" s="30" t="s">
        <v>58</v>
      </c>
    </row>
    <row r="12" spans="1:8" x14ac:dyDescent="0.3">
      <c r="A12">
        <v>5</v>
      </c>
      <c r="B12" s="5">
        <v>46604</v>
      </c>
      <c r="C12" t="s">
        <v>123</v>
      </c>
      <c r="D12" s="6">
        <v>18000000</v>
      </c>
      <c r="E12" s="6"/>
      <c r="F12" s="2" t="s">
        <v>357</v>
      </c>
      <c r="H12" s="30" t="s">
        <v>60</v>
      </c>
    </row>
    <row r="13" spans="1:8" x14ac:dyDescent="0.3">
      <c r="A13">
        <v>5</v>
      </c>
      <c r="B13" s="5">
        <v>46604</v>
      </c>
      <c r="C13" t="s">
        <v>118</v>
      </c>
      <c r="D13" s="6"/>
      <c r="E13" s="6">
        <v>18000000</v>
      </c>
      <c r="F13" s="2" t="s">
        <v>358</v>
      </c>
      <c r="H13" s="30" t="s">
        <v>62</v>
      </c>
    </row>
    <row r="14" spans="1:8" x14ac:dyDescent="0.3">
      <c r="A14">
        <v>6</v>
      </c>
      <c r="B14" s="5">
        <v>46605</v>
      </c>
      <c r="C14" t="s">
        <v>120</v>
      </c>
      <c r="D14" s="6">
        <v>3000000</v>
      </c>
      <c r="E14" s="6"/>
      <c r="F14" s="2" t="s">
        <v>359</v>
      </c>
      <c r="H14" s="30" t="s">
        <v>64</v>
      </c>
    </row>
    <row r="15" spans="1:8" x14ac:dyDescent="0.3">
      <c r="A15">
        <v>6</v>
      </c>
      <c r="B15" s="5">
        <v>46605</v>
      </c>
      <c r="C15" t="s">
        <v>40</v>
      </c>
      <c r="D15" s="6"/>
      <c r="E15" s="6">
        <v>3000000</v>
      </c>
      <c r="F15" s="2" t="s">
        <v>360</v>
      </c>
      <c r="H15" s="30" t="s">
        <v>66</v>
      </c>
    </row>
    <row r="16" spans="1:8" x14ac:dyDescent="0.3">
      <c r="A16">
        <v>7</v>
      </c>
      <c r="B16" s="5">
        <v>46606</v>
      </c>
      <c r="C16" t="s">
        <v>54</v>
      </c>
      <c r="D16" s="6">
        <v>35000000</v>
      </c>
      <c r="E16" s="6"/>
      <c r="F16" s="2" t="s">
        <v>361</v>
      </c>
      <c r="H16" s="30" t="s">
        <v>68</v>
      </c>
    </row>
    <row r="17" spans="1:8" x14ac:dyDescent="0.3">
      <c r="A17">
        <v>7</v>
      </c>
      <c r="B17" s="5">
        <v>46606</v>
      </c>
      <c r="C17" t="s">
        <v>84</v>
      </c>
      <c r="D17" s="6"/>
      <c r="E17" s="6">
        <v>35000000</v>
      </c>
      <c r="F17" s="2" t="s">
        <v>362</v>
      </c>
      <c r="H17" s="30" t="s">
        <v>70</v>
      </c>
    </row>
    <row r="18" spans="1:8" x14ac:dyDescent="0.3">
      <c r="A18">
        <v>8</v>
      </c>
      <c r="B18" s="5">
        <v>46607</v>
      </c>
      <c r="C18" t="s">
        <v>56</v>
      </c>
      <c r="D18" s="6">
        <v>4500000</v>
      </c>
      <c r="E18" s="6"/>
      <c r="F18" s="2" t="s">
        <v>363</v>
      </c>
      <c r="H18" s="30" t="s">
        <v>72</v>
      </c>
    </row>
    <row r="19" spans="1:8" x14ac:dyDescent="0.3">
      <c r="A19">
        <v>8</v>
      </c>
      <c r="B19" s="5">
        <v>46607</v>
      </c>
      <c r="C19" t="s">
        <v>40</v>
      </c>
      <c r="D19" s="6"/>
      <c r="E19" s="6">
        <v>4500000</v>
      </c>
      <c r="F19" s="2" t="s">
        <v>364</v>
      </c>
      <c r="H19" s="30" t="s">
        <v>74</v>
      </c>
    </row>
    <row r="20" spans="1:8" x14ac:dyDescent="0.3">
      <c r="A20">
        <v>9</v>
      </c>
      <c r="B20" s="5">
        <v>46608</v>
      </c>
      <c r="C20" t="s">
        <v>58</v>
      </c>
      <c r="D20" s="6">
        <v>12000000</v>
      </c>
      <c r="E20" s="6"/>
      <c r="F20" s="2" t="s">
        <v>365</v>
      </c>
      <c r="H20" s="30" t="s">
        <v>76</v>
      </c>
    </row>
    <row r="21" spans="1:8" x14ac:dyDescent="0.3">
      <c r="A21">
        <v>9</v>
      </c>
      <c r="B21" s="5">
        <v>46608</v>
      </c>
      <c r="C21" t="s">
        <v>46</v>
      </c>
      <c r="D21" s="6"/>
      <c r="E21" s="6">
        <v>12000000</v>
      </c>
      <c r="F21" s="2" t="s">
        <v>366</v>
      </c>
      <c r="H21" s="30" t="s">
        <v>80</v>
      </c>
    </row>
    <row r="22" spans="1:8" x14ac:dyDescent="0.3">
      <c r="A22">
        <v>10</v>
      </c>
      <c r="B22" s="5">
        <v>46609</v>
      </c>
      <c r="C22" t="s">
        <v>60</v>
      </c>
      <c r="D22" s="6">
        <v>6000000</v>
      </c>
      <c r="E22" s="6"/>
      <c r="F22" s="2" t="s">
        <v>367</v>
      </c>
      <c r="H22" s="30" t="s">
        <v>82</v>
      </c>
    </row>
    <row r="23" spans="1:8" x14ac:dyDescent="0.3">
      <c r="A23">
        <v>10</v>
      </c>
      <c r="B23" s="5">
        <v>46609</v>
      </c>
      <c r="C23" t="s">
        <v>46</v>
      </c>
      <c r="D23" s="6"/>
      <c r="E23" s="6">
        <v>6000000</v>
      </c>
      <c r="F23" s="2" t="s">
        <v>368</v>
      </c>
      <c r="H23" s="30" t="s">
        <v>84</v>
      </c>
    </row>
    <row r="24" spans="1:8" x14ac:dyDescent="0.3">
      <c r="A24">
        <v>11</v>
      </c>
      <c r="B24" s="5">
        <v>46610</v>
      </c>
      <c r="C24" t="s">
        <v>62</v>
      </c>
      <c r="D24" s="6">
        <v>7500000</v>
      </c>
      <c r="E24" s="6"/>
      <c r="F24" s="2" t="s">
        <v>369</v>
      </c>
      <c r="H24" s="30" t="s">
        <v>88</v>
      </c>
    </row>
    <row r="25" spans="1:8" x14ac:dyDescent="0.3">
      <c r="A25">
        <v>11</v>
      </c>
      <c r="B25" s="5">
        <v>46610</v>
      </c>
      <c r="C25" t="s">
        <v>46</v>
      </c>
      <c r="D25" s="6"/>
      <c r="E25" s="6">
        <v>7500000</v>
      </c>
      <c r="F25" s="2" t="s">
        <v>370</v>
      </c>
      <c r="H25" s="30" t="s">
        <v>90</v>
      </c>
    </row>
    <row r="26" spans="1:8" x14ac:dyDescent="0.3">
      <c r="A26">
        <v>12</v>
      </c>
      <c r="B26" s="5">
        <v>46611</v>
      </c>
      <c r="C26" t="s">
        <v>64</v>
      </c>
      <c r="D26" s="6">
        <v>10000000</v>
      </c>
      <c r="E26" s="6"/>
      <c r="F26" s="2" t="s">
        <v>371</v>
      </c>
      <c r="H26" s="30" t="s">
        <v>92</v>
      </c>
    </row>
    <row r="27" spans="1:8" x14ac:dyDescent="0.3">
      <c r="A27">
        <v>12</v>
      </c>
      <c r="B27" s="5">
        <v>46611</v>
      </c>
      <c r="C27" t="s">
        <v>46</v>
      </c>
      <c r="D27" s="6"/>
      <c r="E27" s="6">
        <v>10000000</v>
      </c>
      <c r="F27" s="2" t="s">
        <v>372</v>
      </c>
      <c r="H27" s="30" t="s">
        <v>94</v>
      </c>
    </row>
    <row r="28" spans="1:8" x14ac:dyDescent="0.3">
      <c r="A28">
        <v>13</v>
      </c>
      <c r="B28" s="5">
        <v>46612</v>
      </c>
      <c r="C28" t="s">
        <v>66</v>
      </c>
      <c r="D28" s="6">
        <v>22000000</v>
      </c>
      <c r="E28" s="6"/>
      <c r="F28" s="2" t="s">
        <v>373</v>
      </c>
      <c r="H28" s="30" t="s">
        <v>96</v>
      </c>
    </row>
    <row r="29" spans="1:8" x14ac:dyDescent="0.3">
      <c r="A29">
        <v>13</v>
      </c>
      <c r="B29" s="5">
        <v>46612</v>
      </c>
      <c r="C29" t="s">
        <v>104</v>
      </c>
      <c r="D29" s="6"/>
      <c r="E29" s="6">
        <v>22000000</v>
      </c>
      <c r="F29" s="2" t="s">
        <v>374</v>
      </c>
      <c r="H29" s="30" t="s">
        <v>98</v>
      </c>
    </row>
    <row r="30" spans="1:8" x14ac:dyDescent="0.3">
      <c r="A30">
        <v>14</v>
      </c>
      <c r="B30" s="5">
        <v>46613</v>
      </c>
      <c r="C30" t="s">
        <v>68</v>
      </c>
      <c r="D30" s="6">
        <v>15000000</v>
      </c>
      <c r="E30" s="6"/>
      <c r="F30" s="2" t="s">
        <v>375</v>
      </c>
      <c r="H30" s="30" t="s">
        <v>100</v>
      </c>
    </row>
    <row r="31" spans="1:8" x14ac:dyDescent="0.3">
      <c r="A31">
        <v>14</v>
      </c>
      <c r="B31" s="5">
        <v>46613</v>
      </c>
      <c r="C31" t="s">
        <v>84</v>
      </c>
      <c r="D31" s="6"/>
      <c r="E31" s="6">
        <v>15000000</v>
      </c>
      <c r="F31" s="2" t="s">
        <v>362</v>
      </c>
      <c r="H31" s="30" t="s">
        <v>102</v>
      </c>
    </row>
    <row r="32" spans="1:8" x14ac:dyDescent="0.3">
      <c r="A32">
        <v>15</v>
      </c>
      <c r="B32" s="5">
        <v>46614</v>
      </c>
      <c r="C32" t="s">
        <v>70</v>
      </c>
      <c r="D32" s="6">
        <v>180000000</v>
      </c>
      <c r="E32" s="6"/>
      <c r="F32" s="2" t="s">
        <v>376</v>
      </c>
      <c r="H32" s="30" t="s">
        <v>104</v>
      </c>
    </row>
    <row r="33" spans="1:8" x14ac:dyDescent="0.3">
      <c r="A33">
        <v>15</v>
      </c>
      <c r="B33" s="5">
        <v>46614</v>
      </c>
      <c r="C33" t="s">
        <v>102</v>
      </c>
      <c r="D33" s="6"/>
      <c r="E33" s="6">
        <v>180000000</v>
      </c>
      <c r="F33" s="2" t="s">
        <v>377</v>
      </c>
      <c r="H33" s="30" t="s">
        <v>106</v>
      </c>
    </row>
    <row r="34" spans="1:8" x14ac:dyDescent="0.3">
      <c r="A34">
        <v>16</v>
      </c>
      <c r="B34" s="5">
        <v>46615</v>
      </c>
      <c r="C34" t="s">
        <v>72</v>
      </c>
      <c r="D34" s="6">
        <v>350000000</v>
      </c>
      <c r="E34" s="6"/>
      <c r="F34" s="2" t="s">
        <v>378</v>
      </c>
      <c r="H34" s="30" t="s">
        <v>108</v>
      </c>
    </row>
    <row r="35" spans="1:8" x14ac:dyDescent="0.3">
      <c r="A35">
        <v>16</v>
      </c>
      <c r="B35" s="5">
        <v>46615</v>
      </c>
      <c r="C35" t="s">
        <v>106</v>
      </c>
      <c r="D35" s="6"/>
      <c r="E35" s="6">
        <v>350000000</v>
      </c>
      <c r="F35" s="2" t="s">
        <v>379</v>
      </c>
      <c r="H35" s="30" t="s">
        <v>110</v>
      </c>
    </row>
    <row r="36" spans="1:8" x14ac:dyDescent="0.3">
      <c r="A36">
        <v>17</v>
      </c>
      <c r="B36" s="5">
        <v>46616</v>
      </c>
      <c r="C36" t="s">
        <v>74</v>
      </c>
      <c r="D36" s="6">
        <v>220000000</v>
      </c>
      <c r="E36" s="6"/>
      <c r="F36" s="2" t="s">
        <v>380</v>
      </c>
      <c r="H36" s="30" t="s">
        <v>114</v>
      </c>
    </row>
    <row r="37" spans="1:8" x14ac:dyDescent="0.3">
      <c r="A37">
        <v>17</v>
      </c>
      <c r="B37" s="5">
        <v>46616</v>
      </c>
      <c r="C37" t="s">
        <v>102</v>
      </c>
      <c r="D37" s="6"/>
      <c r="E37" s="6">
        <v>220000000</v>
      </c>
      <c r="F37" s="2" t="s">
        <v>381</v>
      </c>
      <c r="H37" s="30" t="s">
        <v>116</v>
      </c>
    </row>
    <row r="38" spans="1:8" x14ac:dyDescent="0.3">
      <c r="A38">
        <v>18</v>
      </c>
      <c r="B38" s="5">
        <v>46617</v>
      </c>
      <c r="C38" t="s">
        <v>40</v>
      </c>
      <c r="D38" s="6">
        <v>14000000</v>
      </c>
      <c r="E38" s="6"/>
      <c r="F38" s="2" t="s">
        <v>382</v>
      </c>
      <c r="H38" s="30" t="s">
        <v>118</v>
      </c>
    </row>
    <row r="39" spans="1:8" x14ac:dyDescent="0.3">
      <c r="A39">
        <v>18</v>
      </c>
      <c r="B39" s="5">
        <v>46617</v>
      </c>
      <c r="C39" t="s">
        <v>125</v>
      </c>
      <c r="D39" s="6"/>
      <c r="E39" s="6">
        <v>14000000</v>
      </c>
      <c r="F39" s="2" t="s">
        <v>383</v>
      </c>
      <c r="H39" s="30" t="s">
        <v>120</v>
      </c>
    </row>
    <row r="40" spans="1:8" x14ac:dyDescent="0.3">
      <c r="A40">
        <v>19</v>
      </c>
      <c r="B40" s="5">
        <v>46618</v>
      </c>
      <c r="C40" t="s">
        <v>48</v>
      </c>
      <c r="D40" s="6">
        <v>28000000</v>
      </c>
      <c r="E40" s="6"/>
      <c r="F40" s="2" t="s">
        <v>384</v>
      </c>
      <c r="H40" s="30" t="s">
        <v>123</v>
      </c>
    </row>
    <row r="41" spans="1:8" x14ac:dyDescent="0.3">
      <c r="A41">
        <v>19</v>
      </c>
      <c r="B41" s="5">
        <v>46618</v>
      </c>
      <c r="C41" t="s">
        <v>129</v>
      </c>
      <c r="D41" s="6"/>
      <c r="E41" s="6">
        <v>28000000</v>
      </c>
      <c r="F41" s="2" t="s">
        <v>385</v>
      </c>
      <c r="H41" s="30" t="s">
        <v>125</v>
      </c>
    </row>
    <row r="42" spans="1:8" x14ac:dyDescent="0.3">
      <c r="A42">
        <v>20</v>
      </c>
      <c r="B42" s="5">
        <v>46619</v>
      </c>
      <c r="C42" t="s">
        <v>46</v>
      </c>
      <c r="D42" s="6">
        <v>16000000</v>
      </c>
      <c r="E42" s="6"/>
      <c r="F42" s="2" t="s">
        <v>386</v>
      </c>
      <c r="H42" s="30" t="s">
        <v>129</v>
      </c>
    </row>
    <row r="43" spans="1:8" x14ac:dyDescent="0.3">
      <c r="A43">
        <v>20</v>
      </c>
      <c r="B43" s="5">
        <v>46619</v>
      </c>
      <c r="C43" t="s">
        <v>108</v>
      </c>
      <c r="D43" s="6"/>
      <c r="E43" s="6">
        <v>16000000</v>
      </c>
      <c r="F43" s="2" t="s">
        <v>387</v>
      </c>
      <c r="H43" s="30" t="s">
        <v>131</v>
      </c>
    </row>
    <row r="44" spans="1:8" x14ac:dyDescent="0.3">
      <c r="A44">
        <v>21</v>
      </c>
      <c r="B44" s="5">
        <v>46620</v>
      </c>
      <c r="C44" t="s">
        <v>40</v>
      </c>
      <c r="D44" s="6">
        <v>5500000</v>
      </c>
      <c r="E44" s="6"/>
      <c r="F44" s="2" t="s">
        <v>388</v>
      </c>
      <c r="H44" s="30" t="s">
        <v>133</v>
      </c>
    </row>
    <row r="45" spans="1:8" x14ac:dyDescent="0.3">
      <c r="A45">
        <v>21</v>
      </c>
      <c r="B45" s="5">
        <v>46620</v>
      </c>
      <c r="C45" t="s">
        <v>137</v>
      </c>
      <c r="D45" s="6"/>
      <c r="E45" s="6">
        <v>5500000</v>
      </c>
      <c r="F45" s="2" t="s">
        <v>389</v>
      </c>
      <c r="H45" s="30" t="s">
        <v>135</v>
      </c>
    </row>
    <row r="46" spans="1:8" x14ac:dyDescent="0.3">
      <c r="A46">
        <v>22</v>
      </c>
      <c r="B46" s="5">
        <v>46621</v>
      </c>
      <c r="C46" t="s">
        <v>46</v>
      </c>
      <c r="D46" s="6">
        <v>9000000</v>
      </c>
      <c r="E46" s="6"/>
      <c r="F46" s="2" t="s">
        <v>390</v>
      </c>
      <c r="H46" s="30" t="s">
        <v>137</v>
      </c>
    </row>
    <row r="47" spans="1:8" x14ac:dyDescent="0.3">
      <c r="A47">
        <v>22</v>
      </c>
      <c r="B47" s="5">
        <v>46621</v>
      </c>
      <c r="C47" t="s">
        <v>135</v>
      </c>
      <c r="D47" s="6"/>
      <c r="E47" s="6">
        <v>9000000</v>
      </c>
      <c r="F47" s="2" t="s">
        <v>391</v>
      </c>
      <c r="H47" s="30" t="s">
        <v>139</v>
      </c>
    </row>
    <row r="48" spans="1:8" x14ac:dyDescent="0.3">
      <c r="A48">
        <v>23</v>
      </c>
      <c r="B48" s="5">
        <v>46622</v>
      </c>
      <c r="C48" t="s">
        <v>46</v>
      </c>
      <c r="D48" s="6">
        <v>1200000</v>
      </c>
      <c r="E48" s="6"/>
      <c r="F48" s="2" t="s">
        <v>392</v>
      </c>
      <c r="H48" s="30" t="s">
        <v>141</v>
      </c>
    </row>
    <row r="49" spans="1:8" x14ac:dyDescent="0.3">
      <c r="A49">
        <v>23</v>
      </c>
      <c r="B49" s="5">
        <v>46622</v>
      </c>
      <c r="C49" t="s">
        <v>133</v>
      </c>
      <c r="D49" s="6"/>
      <c r="E49" s="6">
        <v>1200000</v>
      </c>
      <c r="F49" s="2" t="s">
        <v>393</v>
      </c>
      <c r="H49" s="30" t="s">
        <v>145</v>
      </c>
    </row>
    <row r="50" spans="1:8" x14ac:dyDescent="0.3">
      <c r="A50">
        <v>24</v>
      </c>
      <c r="B50" s="5">
        <v>46623</v>
      </c>
      <c r="C50" t="s">
        <v>40</v>
      </c>
      <c r="D50" s="6">
        <v>2750000</v>
      </c>
      <c r="E50" s="6"/>
      <c r="F50" s="2" t="s">
        <v>394</v>
      </c>
      <c r="H50" s="30" t="s">
        <v>147</v>
      </c>
    </row>
    <row r="51" spans="1:8" x14ac:dyDescent="0.3">
      <c r="A51">
        <v>24</v>
      </c>
      <c r="B51" s="5">
        <v>46623</v>
      </c>
      <c r="C51" t="s">
        <v>139</v>
      </c>
      <c r="D51" s="6"/>
      <c r="E51" s="6">
        <v>2750000</v>
      </c>
      <c r="F51" s="2" t="s">
        <v>395</v>
      </c>
      <c r="H51" s="30" t="s">
        <v>149</v>
      </c>
    </row>
    <row r="52" spans="1:8" x14ac:dyDescent="0.3">
      <c r="A52">
        <v>25</v>
      </c>
      <c r="B52" s="5">
        <v>46624</v>
      </c>
      <c r="C52" t="s">
        <v>52</v>
      </c>
      <c r="D52" s="6">
        <v>3400000</v>
      </c>
      <c r="E52" s="6"/>
      <c r="F52" s="2" t="s">
        <v>396</v>
      </c>
      <c r="H52" s="30" t="s">
        <v>151</v>
      </c>
    </row>
    <row r="53" spans="1:8" x14ac:dyDescent="0.3">
      <c r="A53">
        <v>25</v>
      </c>
      <c r="B53" s="5">
        <v>46624</v>
      </c>
      <c r="C53" t="s">
        <v>131</v>
      </c>
      <c r="D53" s="6"/>
      <c r="E53" s="6">
        <v>3400000</v>
      </c>
      <c r="F53" s="2" t="s">
        <v>397</v>
      </c>
      <c r="H53" s="30" t="s">
        <v>153</v>
      </c>
    </row>
    <row r="54" spans="1:8" x14ac:dyDescent="0.3">
      <c r="A54">
        <v>26</v>
      </c>
      <c r="B54" s="5">
        <v>46625</v>
      </c>
      <c r="C54" t="s">
        <v>145</v>
      </c>
      <c r="D54" s="6">
        <v>4200000</v>
      </c>
      <c r="E54" s="6"/>
      <c r="F54" s="2" t="s">
        <v>398</v>
      </c>
      <c r="H54" s="30" t="s">
        <v>155</v>
      </c>
    </row>
    <row r="55" spans="1:8" x14ac:dyDescent="0.3">
      <c r="A55">
        <v>26</v>
      </c>
      <c r="B55" s="5">
        <v>46625</v>
      </c>
      <c r="C55" t="s">
        <v>40</v>
      </c>
      <c r="D55" s="6"/>
      <c r="E55" s="6">
        <v>4200000</v>
      </c>
      <c r="F55" s="2" t="s">
        <v>399</v>
      </c>
      <c r="H55" s="30" t="s">
        <v>157</v>
      </c>
    </row>
    <row r="56" spans="1:8" x14ac:dyDescent="0.3">
      <c r="A56">
        <v>27</v>
      </c>
      <c r="B56" s="5">
        <v>46626</v>
      </c>
      <c r="C56" t="s">
        <v>50</v>
      </c>
      <c r="D56" s="6">
        <v>2500000</v>
      </c>
      <c r="E56" s="6"/>
      <c r="F56" s="2" t="s">
        <v>400</v>
      </c>
      <c r="H56" s="30" t="s">
        <v>159</v>
      </c>
    </row>
    <row r="57" spans="1:8" x14ac:dyDescent="0.3">
      <c r="A57">
        <v>27</v>
      </c>
      <c r="B57" s="5">
        <v>46626</v>
      </c>
      <c r="C57" t="s">
        <v>40</v>
      </c>
      <c r="D57" s="6"/>
      <c r="E57" s="6">
        <v>2500000</v>
      </c>
      <c r="F57" s="2" t="s">
        <v>401</v>
      </c>
      <c r="H57" s="30" t="s">
        <v>161</v>
      </c>
    </row>
    <row r="58" spans="1:8" x14ac:dyDescent="0.3">
      <c r="A58">
        <v>28</v>
      </c>
      <c r="B58" s="5">
        <v>46627</v>
      </c>
      <c r="C58" t="s">
        <v>141</v>
      </c>
      <c r="D58" s="6">
        <v>12000000</v>
      </c>
      <c r="E58" s="6"/>
      <c r="F58" s="2" t="s">
        <v>402</v>
      </c>
      <c r="H58" s="30" t="s">
        <v>163</v>
      </c>
    </row>
    <row r="59" spans="1:8" x14ac:dyDescent="0.3">
      <c r="A59">
        <v>28</v>
      </c>
      <c r="B59" s="5">
        <v>46627</v>
      </c>
      <c r="C59" t="s">
        <v>88</v>
      </c>
      <c r="D59" s="6"/>
      <c r="E59" s="6">
        <v>12000000</v>
      </c>
      <c r="F59" s="2" t="s">
        <v>403</v>
      </c>
      <c r="H59" s="30" t="s">
        <v>165</v>
      </c>
    </row>
    <row r="60" spans="1:8" x14ac:dyDescent="0.3">
      <c r="A60">
        <v>29</v>
      </c>
      <c r="B60" s="5">
        <v>46628</v>
      </c>
      <c r="C60" t="s">
        <v>88</v>
      </c>
      <c r="D60" s="6">
        <v>1100000</v>
      </c>
      <c r="E60" s="6"/>
      <c r="F60" s="2" t="s">
        <v>404</v>
      </c>
      <c r="H60" s="30" t="s">
        <v>167</v>
      </c>
    </row>
    <row r="61" spans="1:8" x14ac:dyDescent="0.3">
      <c r="A61">
        <v>29</v>
      </c>
      <c r="B61" s="5">
        <v>46628</v>
      </c>
      <c r="C61" t="s">
        <v>92</v>
      </c>
      <c r="D61" s="6"/>
      <c r="E61" s="6">
        <v>1100000</v>
      </c>
      <c r="F61" s="2" t="s">
        <v>405</v>
      </c>
      <c r="H61" s="30" t="s">
        <v>169</v>
      </c>
    </row>
    <row r="62" spans="1:8" x14ac:dyDescent="0.3">
      <c r="A62">
        <v>30</v>
      </c>
      <c r="B62" s="5">
        <v>46629</v>
      </c>
      <c r="C62" t="s">
        <v>88</v>
      </c>
      <c r="D62" s="6">
        <v>800000</v>
      </c>
      <c r="E62" s="6"/>
      <c r="F62" s="2" t="s">
        <v>406</v>
      </c>
      <c r="H62" s="30" t="s">
        <v>171</v>
      </c>
    </row>
    <row r="63" spans="1:8" x14ac:dyDescent="0.3">
      <c r="A63">
        <v>30</v>
      </c>
      <c r="B63" s="5">
        <v>46629</v>
      </c>
      <c r="C63" t="s">
        <v>96</v>
      </c>
      <c r="D63" s="6"/>
      <c r="E63" s="6">
        <v>800000</v>
      </c>
      <c r="F63" s="2" t="s">
        <v>407</v>
      </c>
      <c r="H63" s="30" t="s">
        <v>173</v>
      </c>
    </row>
    <row r="64" spans="1:8" x14ac:dyDescent="0.3">
      <c r="A64">
        <v>31</v>
      </c>
      <c r="B64" s="5">
        <v>46630</v>
      </c>
      <c r="C64" t="s">
        <v>175</v>
      </c>
      <c r="D64" s="6">
        <v>2000000</v>
      </c>
      <c r="E64" s="6"/>
      <c r="F64" s="2" t="s">
        <v>408</v>
      </c>
      <c r="H64" s="30" t="s">
        <v>175</v>
      </c>
    </row>
    <row r="65" spans="1:8" x14ac:dyDescent="0.3">
      <c r="A65">
        <v>31</v>
      </c>
      <c r="B65" s="5">
        <v>46630</v>
      </c>
      <c r="C65" t="s">
        <v>90</v>
      </c>
      <c r="D65" s="6"/>
      <c r="E65" s="6">
        <v>2000000</v>
      </c>
      <c r="F65" s="2" t="s">
        <v>409</v>
      </c>
      <c r="H65" s="30" t="s">
        <v>177</v>
      </c>
    </row>
    <row r="66" spans="1:8" x14ac:dyDescent="0.3">
      <c r="A66">
        <v>32</v>
      </c>
      <c r="B66" s="5">
        <v>46631</v>
      </c>
      <c r="C66" t="s">
        <v>48</v>
      </c>
      <c r="D66" s="6">
        <v>3080000</v>
      </c>
      <c r="E66" s="6"/>
      <c r="F66" s="2" t="s">
        <v>410</v>
      </c>
      <c r="H66" s="30" t="s">
        <v>179</v>
      </c>
    </row>
    <row r="67" spans="1:8" x14ac:dyDescent="0.3">
      <c r="A67">
        <v>32</v>
      </c>
      <c r="B67" s="5">
        <v>46631</v>
      </c>
      <c r="C67" t="s">
        <v>94</v>
      </c>
      <c r="D67" s="6"/>
      <c r="E67" s="6">
        <v>3080000</v>
      </c>
      <c r="F67" s="2" t="s">
        <v>411</v>
      </c>
      <c r="H67" s="30" t="s">
        <v>181</v>
      </c>
    </row>
    <row r="68" spans="1:8" x14ac:dyDescent="0.3">
      <c r="A68">
        <v>33</v>
      </c>
      <c r="B68" s="5">
        <v>46632</v>
      </c>
      <c r="C68" t="s">
        <v>147</v>
      </c>
      <c r="D68" s="6">
        <v>4000000</v>
      </c>
      <c r="E68" s="6"/>
      <c r="F68" s="2" t="s">
        <v>412</v>
      </c>
    </row>
    <row r="69" spans="1:8" x14ac:dyDescent="0.3">
      <c r="A69">
        <v>33</v>
      </c>
      <c r="B69" s="5">
        <v>46632</v>
      </c>
      <c r="C69" t="s">
        <v>98</v>
      </c>
      <c r="D69" s="6"/>
      <c r="E69" s="6">
        <v>4000000</v>
      </c>
      <c r="F69" s="2" t="s">
        <v>413</v>
      </c>
    </row>
    <row r="70" spans="1:8" x14ac:dyDescent="0.3">
      <c r="A70" s="7">
        <v>34</v>
      </c>
      <c r="B70" s="8">
        <v>46633</v>
      </c>
      <c r="C70" s="7" t="s">
        <v>46</v>
      </c>
      <c r="D70" s="9">
        <v>8000000</v>
      </c>
      <c r="E70" s="9"/>
      <c r="F70" s="7" t="s">
        <v>414</v>
      </c>
    </row>
    <row r="71" spans="1:8" x14ac:dyDescent="0.3">
      <c r="A71" s="7">
        <v>34</v>
      </c>
      <c r="B71" s="8">
        <v>46633</v>
      </c>
      <c r="C71" s="7" t="s">
        <v>48</v>
      </c>
      <c r="D71" s="9"/>
      <c r="E71" s="9">
        <v>8000000</v>
      </c>
      <c r="F71" s="7" t="s">
        <v>415</v>
      </c>
    </row>
    <row r="72" spans="1:8" x14ac:dyDescent="0.3">
      <c r="A72" s="7">
        <v>35</v>
      </c>
      <c r="B72" s="8">
        <v>46634</v>
      </c>
      <c r="C72" s="7" t="s">
        <v>84</v>
      </c>
      <c r="D72" s="9">
        <v>7000000</v>
      </c>
      <c r="E72" s="9"/>
      <c r="F72" s="7" t="s">
        <v>416</v>
      </c>
    </row>
    <row r="73" spans="1:8" x14ac:dyDescent="0.3">
      <c r="A73" s="7">
        <v>35</v>
      </c>
      <c r="B73" s="8">
        <v>46634</v>
      </c>
      <c r="C73" s="7" t="s">
        <v>46</v>
      </c>
      <c r="D73" s="9"/>
      <c r="E73" s="9">
        <v>7000000</v>
      </c>
      <c r="F73" s="7" t="s">
        <v>417</v>
      </c>
    </row>
    <row r="74" spans="1:8" x14ac:dyDescent="0.3">
      <c r="A74" s="7">
        <v>36</v>
      </c>
      <c r="B74" s="8">
        <v>46635</v>
      </c>
      <c r="C74" s="7" t="s">
        <v>40</v>
      </c>
      <c r="D74" s="9">
        <v>1000000</v>
      </c>
      <c r="E74" s="9"/>
      <c r="F74" s="7" t="s">
        <v>418</v>
      </c>
    </row>
    <row r="75" spans="1:8" x14ac:dyDescent="0.3">
      <c r="A75" s="7">
        <v>36</v>
      </c>
      <c r="B75" s="8">
        <v>46635</v>
      </c>
      <c r="C75" s="7" t="s">
        <v>52</v>
      </c>
      <c r="D75" s="9"/>
      <c r="E75" s="9">
        <v>1000000</v>
      </c>
      <c r="F75" s="7" t="s">
        <v>419</v>
      </c>
    </row>
    <row r="76" spans="1:8" x14ac:dyDescent="0.3">
      <c r="A76" s="7">
        <v>37</v>
      </c>
      <c r="B76" s="8">
        <v>46636</v>
      </c>
      <c r="C76" s="7" t="s">
        <v>46</v>
      </c>
      <c r="D76" s="9">
        <v>2000000</v>
      </c>
      <c r="E76" s="9"/>
      <c r="F76" s="7" t="s">
        <v>420</v>
      </c>
    </row>
    <row r="77" spans="1:8" x14ac:dyDescent="0.3">
      <c r="A77" s="7">
        <v>37</v>
      </c>
      <c r="B77" s="8">
        <v>46636</v>
      </c>
      <c r="C77" s="7" t="s">
        <v>64</v>
      </c>
      <c r="D77" s="9"/>
      <c r="E77" s="9">
        <v>2000000</v>
      </c>
      <c r="F77" s="7" t="s">
        <v>421</v>
      </c>
    </row>
    <row r="78" spans="1:8" x14ac:dyDescent="0.3">
      <c r="A78" s="7">
        <v>38</v>
      </c>
      <c r="B78" s="8">
        <v>46637</v>
      </c>
      <c r="C78" s="7" t="s">
        <v>104</v>
      </c>
      <c r="D78" s="9">
        <v>5000000</v>
      </c>
      <c r="E78" s="9"/>
      <c r="F78" s="7" t="s">
        <v>422</v>
      </c>
    </row>
    <row r="79" spans="1:8" x14ac:dyDescent="0.3">
      <c r="A79" s="7">
        <v>38</v>
      </c>
      <c r="B79" s="8">
        <v>46637</v>
      </c>
      <c r="C79" s="7" t="s">
        <v>46</v>
      </c>
      <c r="D79" s="9"/>
      <c r="E79" s="9">
        <v>5000000</v>
      </c>
      <c r="F79" s="7" t="s">
        <v>423</v>
      </c>
    </row>
    <row r="80" spans="1:8" x14ac:dyDescent="0.3">
      <c r="A80" s="7">
        <v>39</v>
      </c>
      <c r="B80" s="8">
        <v>46638</v>
      </c>
      <c r="C80" s="7" t="s">
        <v>102</v>
      </c>
      <c r="D80" s="9">
        <v>6000000</v>
      </c>
      <c r="E80" s="9"/>
      <c r="F80" s="7" t="s">
        <v>424</v>
      </c>
    </row>
    <row r="81" spans="1:6" x14ac:dyDescent="0.3">
      <c r="A81" s="7">
        <v>39</v>
      </c>
      <c r="B81" s="8">
        <v>46638</v>
      </c>
      <c r="C81" s="7" t="s">
        <v>46</v>
      </c>
      <c r="D81" s="9"/>
      <c r="E81" s="9">
        <v>6000000</v>
      </c>
      <c r="F81" s="7" t="s">
        <v>425</v>
      </c>
    </row>
    <row r="82" spans="1:6" x14ac:dyDescent="0.3">
      <c r="A82">
        <v>40</v>
      </c>
      <c r="B82" s="5">
        <v>46639</v>
      </c>
      <c r="C82" t="s">
        <v>149</v>
      </c>
      <c r="D82" s="6">
        <v>1750000</v>
      </c>
      <c r="E82" s="6"/>
      <c r="F82" s="2" t="s">
        <v>426</v>
      </c>
    </row>
    <row r="83" spans="1:6" x14ac:dyDescent="0.3">
      <c r="A83">
        <v>40</v>
      </c>
      <c r="B83" s="5">
        <v>46639</v>
      </c>
      <c r="C83" t="s">
        <v>84</v>
      </c>
      <c r="D83" s="6"/>
      <c r="E83" s="6">
        <v>1750000</v>
      </c>
      <c r="F83" s="2" t="s">
        <v>427</v>
      </c>
    </row>
    <row r="84" spans="1:6" x14ac:dyDescent="0.3">
      <c r="A84">
        <v>41</v>
      </c>
      <c r="B84" s="5">
        <v>46640</v>
      </c>
      <c r="C84" t="s">
        <v>151</v>
      </c>
      <c r="D84" s="6">
        <v>450000</v>
      </c>
      <c r="E84" s="6"/>
      <c r="F84" s="2" t="s">
        <v>428</v>
      </c>
    </row>
    <row r="85" spans="1:6" x14ac:dyDescent="0.3">
      <c r="A85">
        <v>41</v>
      </c>
      <c r="B85" s="5">
        <v>46640</v>
      </c>
      <c r="C85" t="s">
        <v>40</v>
      </c>
      <c r="D85" s="6"/>
      <c r="E85" s="6">
        <v>450000</v>
      </c>
      <c r="F85" s="2" t="s">
        <v>429</v>
      </c>
    </row>
    <row r="86" spans="1:6" x14ac:dyDescent="0.3">
      <c r="A86">
        <v>42</v>
      </c>
      <c r="B86" s="5">
        <v>46641</v>
      </c>
      <c r="C86" t="s">
        <v>153</v>
      </c>
      <c r="D86" s="6">
        <v>650000</v>
      </c>
      <c r="E86" s="6"/>
      <c r="F86" s="2" t="s">
        <v>430</v>
      </c>
    </row>
    <row r="87" spans="1:6" x14ac:dyDescent="0.3">
      <c r="A87">
        <v>42</v>
      </c>
      <c r="B87" s="5">
        <v>46641</v>
      </c>
      <c r="C87" t="s">
        <v>46</v>
      </c>
      <c r="D87" s="6"/>
      <c r="E87" s="6">
        <v>650000</v>
      </c>
      <c r="F87" s="2" t="s">
        <v>431</v>
      </c>
    </row>
    <row r="88" spans="1:6" x14ac:dyDescent="0.3">
      <c r="A88">
        <v>43</v>
      </c>
      <c r="B88" s="5">
        <v>46642</v>
      </c>
      <c r="C88" t="s">
        <v>155</v>
      </c>
      <c r="D88" s="6">
        <v>900000</v>
      </c>
      <c r="E88" s="6"/>
      <c r="F88" s="2" t="s">
        <v>432</v>
      </c>
    </row>
    <row r="89" spans="1:6" x14ac:dyDescent="0.3">
      <c r="A89">
        <v>43</v>
      </c>
      <c r="B89" s="5">
        <v>46642</v>
      </c>
      <c r="C89" t="s">
        <v>46</v>
      </c>
      <c r="D89" s="6"/>
      <c r="E89" s="6">
        <v>900000</v>
      </c>
      <c r="F89" s="2" t="s">
        <v>433</v>
      </c>
    </row>
    <row r="90" spans="1:6" x14ac:dyDescent="0.3">
      <c r="A90">
        <v>44</v>
      </c>
      <c r="B90" s="5">
        <v>46643</v>
      </c>
      <c r="C90" t="s">
        <v>161</v>
      </c>
      <c r="D90" s="6">
        <v>1150000</v>
      </c>
      <c r="E90" s="6"/>
      <c r="F90" s="2" t="s">
        <v>434</v>
      </c>
    </row>
    <row r="91" spans="1:6" x14ac:dyDescent="0.3">
      <c r="A91">
        <v>44</v>
      </c>
      <c r="B91" s="5">
        <v>46643</v>
      </c>
      <c r="C91" t="s">
        <v>40</v>
      </c>
      <c r="D91" s="6"/>
      <c r="E91" s="6">
        <v>1150000</v>
      </c>
      <c r="F91" s="2" t="s">
        <v>435</v>
      </c>
    </row>
    <row r="92" spans="1:6" x14ac:dyDescent="0.3">
      <c r="A92">
        <v>45</v>
      </c>
      <c r="B92" s="5">
        <v>46644</v>
      </c>
      <c r="C92" t="s">
        <v>163</v>
      </c>
      <c r="D92" s="6">
        <v>1000000</v>
      </c>
      <c r="E92" s="6"/>
      <c r="F92" s="2" t="s">
        <v>436</v>
      </c>
    </row>
    <row r="93" spans="1:6" x14ac:dyDescent="0.3">
      <c r="A93">
        <v>45</v>
      </c>
      <c r="B93" s="5">
        <v>46644</v>
      </c>
      <c r="C93" t="s">
        <v>40</v>
      </c>
      <c r="D93" s="6"/>
      <c r="E93" s="6">
        <v>1000000</v>
      </c>
      <c r="F93" s="2" t="s">
        <v>437</v>
      </c>
    </row>
    <row r="94" spans="1:6" x14ac:dyDescent="0.3">
      <c r="A94">
        <v>46</v>
      </c>
      <c r="B94" s="5">
        <v>46645</v>
      </c>
      <c r="C94" t="s">
        <v>167</v>
      </c>
      <c r="D94" s="6">
        <v>300000</v>
      </c>
      <c r="E94" s="6"/>
      <c r="F94" s="2" t="s">
        <v>438</v>
      </c>
    </row>
    <row r="95" spans="1:6" x14ac:dyDescent="0.3">
      <c r="A95">
        <v>46</v>
      </c>
      <c r="B95" s="5">
        <v>46645</v>
      </c>
      <c r="C95" t="s">
        <v>46</v>
      </c>
      <c r="D95" s="6"/>
      <c r="E95" s="6">
        <v>300000</v>
      </c>
      <c r="F95" s="2" t="s">
        <v>439</v>
      </c>
    </row>
    <row r="96" spans="1:6" x14ac:dyDescent="0.3">
      <c r="A96">
        <v>47</v>
      </c>
      <c r="B96" s="5">
        <v>46646</v>
      </c>
      <c r="C96" t="s">
        <v>169</v>
      </c>
      <c r="D96" s="6">
        <v>550000</v>
      </c>
      <c r="E96" s="6"/>
      <c r="F96" s="2" t="s">
        <v>440</v>
      </c>
    </row>
    <row r="97" spans="1:6" x14ac:dyDescent="0.3">
      <c r="A97">
        <v>47</v>
      </c>
      <c r="B97" s="5">
        <v>46646</v>
      </c>
      <c r="C97" t="s">
        <v>40</v>
      </c>
      <c r="D97" s="6"/>
      <c r="E97" s="6">
        <v>550000</v>
      </c>
      <c r="F97" s="2" t="s">
        <v>441</v>
      </c>
    </row>
    <row r="98" spans="1:6" x14ac:dyDescent="0.3">
      <c r="A98">
        <v>48</v>
      </c>
      <c r="B98" s="5">
        <v>46647</v>
      </c>
      <c r="C98" t="s">
        <v>171</v>
      </c>
      <c r="D98" s="6">
        <v>2300000</v>
      </c>
      <c r="E98" s="6"/>
      <c r="F98" s="2" t="s">
        <v>442</v>
      </c>
    </row>
    <row r="99" spans="1:6" x14ac:dyDescent="0.3">
      <c r="A99">
        <v>48</v>
      </c>
      <c r="B99" s="5">
        <v>46647</v>
      </c>
      <c r="C99" t="s">
        <v>84</v>
      </c>
      <c r="D99" s="6"/>
      <c r="E99" s="6">
        <v>2300000</v>
      </c>
      <c r="F99" s="2" t="s">
        <v>427</v>
      </c>
    </row>
    <row r="100" spans="1:6" x14ac:dyDescent="0.3">
      <c r="A100">
        <v>49</v>
      </c>
      <c r="B100" s="5">
        <v>46648</v>
      </c>
      <c r="C100" t="s">
        <v>173</v>
      </c>
      <c r="D100" s="6">
        <v>2100000</v>
      </c>
      <c r="E100" s="6"/>
      <c r="F100" s="2" t="s">
        <v>443</v>
      </c>
    </row>
    <row r="101" spans="1:6" x14ac:dyDescent="0.3">
      <c r="A101">
        <v>49</v>
      </c>
      <c r="B101" s="5">
        <v>46648</v>
      </c>
      <c r="C101" t="s">
        <v>100</v>
      </c>
      <c r="D101" s="6"/>
      <c r="E101" s="6">
        <v>2100000</v>
      </c>
      <c r="F101" s="2" t="s">
        <v>444</v>
      </c>
    </row>
    <row r="102" spans="1:6" x14ac:dyDescent="0.3">
      <c r="A102">
        <v>50</v>
      </c>
      <c r="B102" s="5">
        <v>46649</v>
      </c>
      <c r="C102" t="s">
        <v>179</v>
      </c>
      <c r="D102" s="6">
        <v>750000</v>
      </c>
      <c r="E102" s="6"/>
      <c r="F102" s="2" t="s">
        <v>445</v>
      </c>
    </row>
    <row r="103" spans="1:6" x14ac:dyDescent="0.3">
      <c r="A103">
        <v>50</v>
      </c>
      <c r="B103" s="5">
        <v>46649</v>
      </c>
      <c r="C103" t="s">
        <v>40</v>
      </c>
      <c r="D103" s="6"/>
      <c r="E103" s="6">
        <v>750000</v>
      </c>
      <c r="F103" s="2" t="s">
        <v>446</v>
      </c>
    </row>
    <row r="104" spans="1:6" x14ac:dyDescent="0.3">
      <c r="D104" s="6"/>
      <c r="E104" s="6"/>
    </row>
    <row r="105" spans="1:6" x14ac:dyDescent="0.3">
      <c r="A105" t="s">
        <v>447</v>
      </c>
      <c r="D105" s="6">
        <f>SUM(D4:D103)</f>
        <v>1308430000</v>
      </c>
      <c r="E105" s="6">
        <f>SUM(E4:E103)</f>
        <v>1308430000</v>
      </c>
      <c r="F105" t="str">
        <f>IF(D105=E105,"BALANCE","SELISIH")</f>
        <v>BALANCE</v>
      </c>
    </row>
  </sheetData>
  <mergeCells count="1">
    <mergeCell ref="A1:F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COA!$B$4:$B$67</xm:f>
          </x14:formula1>
          <xm:sqref>C4:C103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embar9">
    <tabColor rgb="FF92D050"/>
  </sheetPr>
  <dimension ref="A1:N69"/>
  <sheetViews>
    <sheetView topLeftCell="C1" zoomScaleNormal="100" workbookViewId="0">
      <selection activeCell="E3" sqref="E3"/>
    </sheetView>
  </sheetViews>
  <sheetFormatPr defaultRowHeight="14.4" x14ac:dyDescent="0.3"/>
  <cols>
    <col min="1" max="1" width="12.109375" customWidth="1"/>
    <col min="2" max="2" width="28.5546875" bestFit="1" customWidth="1"/>
    <col min="3" max="3" width="18.5546875" bestFit="1" customWidth="1"/>
    <col min="4" max="4" width="14.21875" customWidth="1"/>
    <col min="5" max="5" width="16.21875" customWidth="1"/>
    <col min="6" max="6" width="16.33203125" customWidth="1"/>
    <col min="7" max="7" width="18.44140625" customWidth="1"/>
    <col min="8" max="8" width="19" customWidth="1"/>
    <col min="9" max="9" width="14.88671875" customWidth="1"/>
    <col min="10" max="10" width="14.33203125" customWidth="1"/>
    <col min="11" max="11" width="15" customWidth="1"/>
    <col min="12" max="12" width="15.5546875" customWidth="1"/>
    <col min="13" max="13" width="17.33203125" customWidth="1"/>
    <col min="14" max="14" width="17.88671875" customWidth="1"/>
  </cols>
  <sheetData>
    <row r="1" spans="1:14" ht="24" customHeight="1" x14ac:dyDescent="0.3">
      <c r="A1" s="83" t="s">
        <v>564</v>
      </c>
      <c r="B1" s="81"/>
      <c r="C1" s="81"/>
      <c r="D1" s="81"/>
      <c r="E1" s="81"/>
      <c r="F1" s="81"/>
      <c r="G1" s="81"/>
      <c r="H1" s="81"/>
      <c r="I1" s="81"/>
      <c r="J1" s="81"/>
    </row>
    <row r="2" spans="1:14" x14ac:dyDescent="0.3">
      <c r="E2" s="85" t="s">
        <v>594</v>
      </c>
      <c r="F2" s="85"/>
      <c r="G2" s="85" t="s">
        <v>592</v>
      </c>
      <c r="H2" s="85"/>
      <c r="I2">
        <v>8</v>
      </c>
      <c r="J2">
        <v>9</v>
      </c>
      <c r="K2" s="85" t="s">
        <v>593</v>
      </c>
      <c r="L2" s="85"/>
      <c r="M2" s="23">
        <v>12</v>
      </c>
      <c r="N2">
        <v>13</v>
      </c>
    </row>
    <row r="3" spans="1:14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506</v>
      </c>
      <c r="F3" s="1" t="s">
        <v>507</v>
      </c>
      <c r="G3" s="1" t="s">
        <v>508</v>
      </c>
      <c r="H3" s="1" t="s">
        <v>509</v>
      </c>
      <c r="I3" s="1" t="s">
        <v>510</v>
      </c>
      <c r="J3" s="1" t="s">
        <v>511</v>
      </c>
      <c r="K3" s="57" t="s">
        <v>588</v>
      </c>
      <c r="L3" s="57" t="s">
        <v>589</v>
      </c>
      <c r="M3" s="57" t="s">
        <v>590</v>
      </c>
      <c r="N3" s="57" t="s">
        <v>591</v>
      </c>
    </row>
    <row r="4" spans="1:14" x14ac:dyDescent="0.3">
      <c r="A4" t="s">
        <v>39</v>
      </c>
      <c r="B4" t="s">
        <v>40</v>
      </c>
      <c r="C4" t="s">
        <v>41</v>
      </c>
      <c r="D4" s="23" t="s">
        <v>42</v>
      </c>
      <c r="E4" s="23">
        <f>SUMIF(jurnal[Akun],buku_besar[[#This Row],[Nama Akun]],jurnal[Debit (Rp)])</f>
        <v>103250000</v>
      </c>
      <c r="F4" s="23">
        <f>SUMIF(jurnal[Akun],buku_besar[[#This Row],[Nama Akun]],jurnal[Kredit (Rp)])</f>
        <v>68100000</v>
      </c>
      <c r="G4" s="23">
        <f>SUMIF(jurnal_penyesuaian[Akun],buku_besar[[#This Row],[Nama Akun]],jurnal_penyesuaian[Debit (Rp)])</f>
        <v>0</v>
      </c>
      <c r="H4" s="23">
        <f>SUMIF(jurnal_penyesuaian[Akun],buku_besar[[#This Row],[Nama Akun]],jurnal_penyesuaian[Kredit (Rp)])</f>
        <v>0</v>
      </c>
      <c r="I4" s="23">
        <f>MAX(0,(buku_besar[[#This Row],[Debit JU]]+buku_besar[[#This Row],[Debit Penyesuaian]]-buku_besar[[#This Row],[Kredit JU]]-buku_besar[[#This Row],[Kredit Penyesuaian]]))</f>
        <v>35150000</v>
      </c>
      <c r="J4" s="23">
        <f>MAX(0,(buku_besar[[#This Row],[Kredit JU]]+buku_besar[[#This Row],[Kredit Penyesuaian]]-buku_besar[[#This Row],[Debit JU]]-buku_besar[[#This Row],[Debit Penyesuaian]]))</f>
        <v>0</v>
      </c>
      <c r="K4" s="58">
        <f>MAX(0,(SUMIF(jurnal_penutup[Akun],buku_besar[[#This Row],[Nama Akun]],jurnal_penutup[Debit (Rp)])))</f>
        <v>0</v>
      </c>
      <c r="L4" s="58">
        <f>MAX(0,(SUMIF(jurnal_penutup[Akun],buku_besar[[#This Row],[Nama Akun]],jurnal_penutup[Kredit (Rp)])))</f>
        <v>0</v>
      </c>
      <c r="M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35150000</v>
      </c>
      <c r="N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" spans="1:14" x14ac:dyDescent="0.3">
      <c r="A5" t="s">
        <v>45</v>
      </c>
      <c r="B5" t="s">
        <v>46</v>
      </c>
      <c r="C5" t="s">
        <v>41</v>
      </c>
      <c r="D5" s="23" t="s">
        <v>42</v>
      </c>
      <c r="E5" s="23">
        <f>SUMIF(jurnal[Akun],buku_besar[[#This Row],[Nama Akun]],jurnal[Debit (Rp)])</f>
        <v>231200000</v>
      </c>
      <c r="F5" s="23">
        <f>SUMIF(jurnal[Akun],buku_besar[[#This Row],[Nama Akun]],jurnal[Kredit (Rp)])</f>
        <v>55350000</v>
      </c>
      <c r="G5" s="23">
        <f>SUMIF(jurnal_penyesuaian[Akun],buku_besar[[#This Row],[Nama Akun]],jurnal_penyesuaian[Debit (Rp)])</f>
        <v>0</v>
      </c>
      <c r="H5" s="23">
        <f>SUMIF(jurnal_penyesuaian[Akun],buku_besar[[#This Row],[Nama Akun]],jurnal_penyesuaian[Kredit (Rp)])</f>
        <v>0</v>
      </c>
      <c r="I5" s="23">
        <f>MAX(0,(buku_besar[[#This Row],[Debit JU]]+buku_besar[[#This Row],[Debit Penyesuaian]]-buku_besar[[#This Row],[Kredit JU]]-buku_besar[[#This Row],[Kredit Penyesuaian]]))</f>
        <v>175850000</v>
      </c>
      <c r="J5" s="23">
        <f>MAX(0,(buku_besar[[#This Row],[Kredit JU]]+buku_besar[[#This Row],[Kredit Penyesuaian]]-buku_besar[[#This Row],[Debit JU]]-buku_besar[[#This Row],[Debit Penyesuaian]]))</f>
        <v>0</v>
      </c>
      <c r="K5" s="58">
        <f>MAX(0,(SUMIF(jurnal_penutup[Akun],buku_besar[[#This Row],[Nama Akun]],jurnal_penutup[Debit (Rp)])))</f>
        <v>0</v>
      </c>
      <c r="L5" s="58">
        <f>MAX(0,(SUMIF(jurnal_penutup[Akun],buku_besar[[#This Row],[Nama Akun]],jurnal_penutup[Kredit (Rp)])))</f>
        <v>0</v>
      </c>
      <c r="M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175850000</v>
      </c>
      <c r="N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" spans="1:14" x14ac:dyDescent="0.3">
      <c r="A6" t="s">
        <v>47</v>
      </c>
      <c r="B6" t="s">
        <v>48</v>
      </c>
      <c r="C6" t="s">
        <v>41</v>
      </c>
      <c r="D6" s="23" t="s">
        <v>42</v>
      </c>
      <c r="E6" s="23">
        <f>SUMIF(jurnal[Akun],buku_besar[[#This Row],[Nama Akun]],jurnal[Debit (Rp)])</f>
        <v>31080000</v>
      </c>
      <c r="F6" s="23">
        <f>SUMIF(jurnal[Akun],buku_besar[[#This Row],[Nama Akun]],jurnal[Kredit (Rp)])</f>
        <v>8000000</v>
      </c>
      <c r="G6" s="23">
        <f>SUMIF(jurnal_penyesuaian[Akun],buku_besar[[#This Row],[Nama Akun]],jurnal_penyesuaian[Debit (Rp)])</f>
        <v>0</v>
      </c>
      <c r="H6" s="23">
        <f>SUMIF(jurnal_penyesuaian[Akun],buku_besar[[#This Row],[Nama Akun]],jurnal_penyesuaian[Kredit (Rp)])</f>
        <v>0</v>
      </c>
      <c r="I6" s="23">
        <f>MAX(0,(buku_besar[[#This Row],[Debit JU]]+buku_besar[[#This Row],[Debit Penyesuaian]]-buku_besar[[#This Row],[Kredit JU]]-buku_besar[[#This Row],[Kredit Penyesuaian]]))</f>
        <v>23080000</v>
      </c>
      <c r="J6" s="23">
        <f>MAX(0,(buku_besar[[#This Row],[Kredit JU]]+buku_besar[[#This Row],[Kredit Penyesuaian]]-buku_besar[[#This Row],[Debit JU]]-buku_besar[[#This Row],[Debit Penyesuaian]]))</f>
        <v>0</v>
      </c>
      <c r="K6" s="58">
        <f>MAX(0,(SUMIF(jurnal_penutup[Akun],buku_besar[[#This Row],[Nama Akun]],jurnal_penutup[Debit (Rp)])))</f>
        <v>0</v>
      </c>
      <c r="L6" s="58">
        <f>MAX(0,(SUMIF(jurnal_penutup[Akun],buku_besar[[#This Row],[Nama Akun]],jurnal_penutup[Kredit (Rp)])))</f>
        <v>0</v>
      </c>
      <c r="M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23080000</v>
      </c>
      <c r="N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7" spans="1:14" x14ac:dyDescent="0.3">
      <c r="A7" t="s">
        <v>49</v>
      </c>
      <c r="B7" t="s">
        <v>50</v>
      </c>
      <c r="C7" t="s">
        <v>41</v>
      </c>
      <c r="D7" s="23" t="s">
        <v>42</v>
      </c>
      <c r="E7" s="23">
        <f>SUMIF(jurnal[Akun],buku_besar[[#This Row],[Nama Akun]],jurnal[Debit (Rp)])</f>
        <v>2500000</v>
      </c>
      <c r="F7" s="23">
        <f>SUMIF(jurnal[Akun],buku_besar[[#This Row],[Nama Akun]],jurnal[Kredit (Rp)])</f>
        <v>0</v>
      </c>
      <c r="G7" s="23">
        <f>SUMIF(jurnal_penyesuaian[Akun],buku_besar[[#This Row],[Nama Akun]],jurnal_penyesuaian[Debit (Rp)])</f>
        <v>0</v>
      </c>
      <c r="H7" s="23">
        <f>SUMIF(jurnal_penyesuaian[Akun],buku_besar[[#This Row],[Nama Akun]],jurnal_penyesuaian[Kredit (Rp)])</f>
        <v>0</v>
      </c>
      <c r="I7" s="23">
        <f>MAX(0,(buku_besar[[#This Row],[Debit JU]]+buku_besar[[#This Row],[Debit Penyesuaian]]-buku_besar[[#This Row],[Kredit JU]]-buku_besar[[#This Row],[Kredit Penyesuaian]]))</f>
        <v>2500000</v>
      </c>
      <c r="J7" s="23">
        <f>MAX(0,(buku_besar[[#This Row],[Kredit JU]]+buku_besar[[#This Row],[Kredit Penyesuaian]]-buku_besar[[#This Row],[Debit JU]]-buku_besar[[#This Row],[Debit Penyesuaian]]))</f>
        <v>0</v>
      </c>
      <c r="K7" s="58">
        <f>MAX(0,(SUMIF(jurnal_penutup[Akun],buku_besar[[#This Row],[Nama Akun]],jurnal_penutup[Debit (Rp)])))</f>
        <v>0</v>
      </c>
      <c r="L7" s="58">
        <f>MAX(0,(SUMIF(jurnal_penutup[Akun],buku_besar[[#This Row],[Nama Akun]],jurnal_penutup[Kredit (Rp)])))</f>
        <v>0</v>
      </c>
      <c r="M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2500000</v>
      </c>
      <c r="N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8" spans="1:14" x14ac:dyDescent="0.3">
      <c r="A8" t="s">
        <v>51</v>
      </c>
      <c r="B8" t="s">
        <v>52</v>
      </c>
      <c r="C8" t="s">
        <v>41</v>
      </c>
      <c r="D8" s="23" t="s">
        <v>42</v>
      </c>
      <c r="E8" s="23">
        <f>SUMIF(jurnal[Akun],buku_besar[[#This Row],[Nama Akun]],jurnal[Debit (Rp)])</f>
        <v>3400000</v>
      </c>
      <c r="F8" s="23">
        <f>SUMIF(jurnal[Akun],buku_besar[[#This Row],[Nama Akun]],jurnal[Kredit (Rp)])</f>
        <v>1000000</v>
      </c>
      <c r="G8" s="23">
        <f>SUMIF(jurnal_penyesuaian[Akun],buku_besar[[#This Row],[Nama Akun]],jurnal_penyesuaian[Debit (Rp)])</f>
        <v>0</v>
      </c>
      <c r="H8" s="23">
        <f>SUMIF(jurnal_penyesuaian[Akun],buku_besar[[#This Row],[Nama Akun]],jurnal_penyesuaian[Kredit (Rp)])</f>
        <v>0</v>
      </c>
      <c r="I8" s="23">
        <f>MAX(0,(buku_besar[[#This Row],[Debit JU]]+buku_besar[[#This Row],[Debit Penyesuaian]]-buku_besar[[#This Row],[Kredit JU]]-buku_besar[[#This Row],[Kredit Penyesuaian]]))</f>
        <v>2400000</v>
      </c>
      <c r="J8" s="23">
        <f>MAX(0,(buku_besar[[#This Row],[Kredit JU]]+buku_besar[[#This Row],[Kredit Penyesuaian]]-buku_besar[[#This Row],[Debit JU]]-buku_besar[[#This Row],[Debit Penyesuaian]]))</f>
        <v>0</v>
      </c>
      <c r="K8" s="58">
        <f>MAX(0,(SUMIF(jurnal_penutup[Akun],buku_besar[[#This Row],[Nama Akun]],jurnal_penutup[Debit (Rp)])))</f>
        <v>0</v>
      </c>
      <c r="L8" s="58">
        <f>MAX(0,(SUMIF(jurnal_penutup[Akun],buku_besar[[#This Row],[Nama Akun]],jurnal_penutup[Kredit (Rp)])))</f>
        <v>0</v>
      </c>
      <c r="M8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2400000</v>
      </c>
      <c r="N8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9" spans="1:14" x14ac:dyDescent="0.3">
      <c r="A9" t="s">
        <v>53</v>
      </c>
      <c r="B9" t="s">
        <v>54</v>
      </c>
      <c r="C9" t="s">
        <v>41</v>
      </c>
      <c r="D9" s="23" t="s">
        <v>42</v>
      </c>
      <c r="E9" s="23">
        <f>SUMIF(jurnal[Akun],buku_besar[[#This Row],[Nama Akun]],jurnal[Debit (Rp)])</f>
        <v>35000000</v>
      </c>
      <c r="F9" s="23">
        <f>SUMIF(jurnal[Akun],buku_besar[[#This Row],[Nama Akun]],jurnal[Kredit (Rp)])</f>
        <v>0</v>
      </c>
      <c r="G9" s="23">
        <f>SUMIF(jurnal_penyesuaian[Akun],buku_besar[[#This Row],[Nama Akun]],jurnal_penyesuaian[Debit (Rp)])</f>
        <v>0</v>
      </c>
      <c r="H9" s="23">
        <f>SUMIF(jurnal_penyesuaian[Akun],buku_besar[[#This Row],[Nama Akun]],jurnal_penyesuaian[Kredit (Rp)])</f>
        <v>0</v>
      </c>
      <c r="I9" s="23">
        <f>MAX(0,(buku_besar[[#This Row],[Debit JU]]+buku_besar[[#This Row],[Debit Penyesuaian]]-buku_besar[[#This Row],[Kredit JU]]-buku_besar[[#This Row],[Kredit Penyesuaian]]))</f>
        <v>35000000</v>
      </c>
      <c r="J9" s="23">
        <f>MAX(0,(buku_besar[[#This Row],[Kredit JU]]+buku_besar[[#This Row],[Kredit Penyesuaian]]-buku_besar[[#This Row],[Debit JU]]-buku_besar[[#This Row],[Debit Penyesuaian]]))</f>
        <v>0</v>
      </c>
      <c r="K9" s="58">
        <f>MAX(0,(SUMIF(jurnal_penutup[Akun],buku_besar[[#This Row],[Nama Akun]],jurnal_penutup[Debit (Rp)])))</f>
        <v>0</v>
      </c>
      <c r="L9" s="58">
        <f>MAX(0,(SUMIF(jurnal_penutup[Akun],buku_besar[[#This Row],[Nama Akun]],jurnal_penutup[Kredit (Rp)])))</f>
        <v>0</v>
      </c>
      <c r="M9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35000000</v>
      </c>
      <c r="N9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0" spans="1:14" x14ac:dyDescent="0.3">
      <c r="A10" t="s">
        <v>55</v>
      </c>
      <c r="B10" t="s">
        <v>56</v>
      </c>
      <c r="C10" t="s">
        <v>41</v>
      </c>
      <c r="D10" s="23" t="s">
        <v>42</v>
      </c>
      <c r="E10" s="23">
        <f>SUMIF(jurnal[Akun],buku_besar[[#This Row],[Nama Akun]],jurnal[Debit (Rp)])</f>
        <v>4500000</v>
      </c>
      <c r="F10" s="23">
        <f>SUMIF(jurnal[Akun],buku_besar[[#This Row],[Nama Akun]],jurnal[Kredit (Rp)])</f>
        <v>0</v>
      </c>
      <c r="G10" s="23">
        <f>SUMIF(jurnal_penyesuaian[Akun],buku_besar[[#This Row],[Nama Akun]],jurnal_penyesuaian[Debit (Rp)])</f>
        <v>0</v>
      </c>
      <c r="H10" s="23">
        <f>SUMIF(jurnal_penyesuaian[Akun],buku_besar[[#This Row],[Nama Akun]],jurnal_penyesuaian[Kredit (Rp)])</f>
        <v>2000000</v>
      </c>
      <c r="I10" s="23">
        <f>MAX(0,(buku_besar[[#This Row],[Debit JU]]+buku_besar[[#This Row],[Debit Penyesuaian]]-buku_besar[[#This Row],[Kredit JU]]-buku_besar[[#This Row],[Kredit Penyesuaian]]))</f>
        <v>2500000</v>
      </c>
      <c r="J10" s="23">
        <f>MAX(0,(buku_besar[[#This Row],[Kredit JU]]+buku_besar[[#This Row],[Kredit Penyesuaian]]-buku_besar[[#This Row],[Debit JU]]-buku_besar[[#This Row],[Debit Penyesuaian]]))</f>
        <v>0</v>
      </c>
      <c r="K10" s="58">
        <f>MAX(0,(SUMIF(jurnal_penutup[Akun],buku_besar[[#This Row],[Nama Akun]],jurnal_penutup[Debit (Rp)])))</f>
        <v>0</v>
      </c>
      <c r="L10" s="58">
        <f>MAX(0,(SUMIF(jurnal_penutup[Akun],buku_besar[[#This Row],[Nama Akun]],jurnal_penutup[Kredit (Rp)])))</f>
        <v>0</v>
      </c>
      <c r="M10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2500000</v>
      </c>
      <c r="N10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1" spans="1:14" x14ac:dyDescent="0.3">
      <c r="A11" t="s">
        <v>57</v>
      </c>
      <c r="B11" t="s">
        <v>58</v>
      </c>
      <c r="C11" t="s">
        <v>41</v>
      </c>
      <c r="D11" s="23" t="s">
        <v>42</v>
      </c>
      <c r="E11" s="23">
        <f>SUMIF(jurnal[Akun],buku_besar[[#This Row],[Nama Akun]],jurnal[Debit (Rp)])</f>
        <v>12000000</v>
      </c>
      <c r="F11" s="23">
        <f>SUMIF(jurnal[Akun],buku_besar[[#This Row],[Nama Akun]],jurnal[Kredit (Rp)])</f>
        <v>0</v>
      </c>
      <c r="G11" s="23">
        <f>SUMIF(jurnal_penyesuaian[Akun],buku_besar[[#This Row],[Nama Akun]],jurnal_penyesuaian[Debit (Rp)])</f>
        <v>0</v>
      </c>
      <c r="H11" s="23">
        <f>SUMIF(jurnal_penyesuaian[Akun],buku_besar[[#This Row],[Nama Akun]],jurnal_penyesuaian[Kredit (Rp)])</f>
        <v>4000000</v>
      </c>
      <c r="I11" s="23">
        <f>MAX(0,(buku_besar[[#This Row],[Debit JU]]+buku_besar[[#This Row],[Debit Penyesuaian]]-buku_besar[[#This Row],[Kredit JU]]-buku_besar[[#This Row],[Kredit Penyesuaian]]))</f>
        <v>8000000</v>
      </c>
      <c r="J11" s="23">
        <f>MAX(0,(buku_besar[[#This Row],[Kredit JU]]+buku_besar[[#This Row],[Kredit Penyesuaian]]-buku_besar[[#This Row],[Debit JU]]-buku_besar[[#This Row],[Debit Penyesuaian]]))</f>
        <v>0</v>
      </c>
      <c r="K11" s="58">
        <f>MAX(0,(SUMIF(jurnal_penutup[Akun],buku_besar[[#This Row],[Nama Akun]],jurnal_penutup[Debit (Rp)])))</f>
        <v>0</v>
      </c>
      <c r="L11" s="58">
        <f>MAX(0,(SUMIF(jurnal_penutup[Akun],buku_besar[[#This Row],[Nama Akun]],jurnal_penutup[Kredit (Rp)])))</f>
        <v>0</v>
      </c>
      <c r="M11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8000000</v>
      </c>
      <c r="N11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2" spans="1:14" x14ac:dyDescent="0.3">
      <c r="A12" t="s">
        <v>59</v>
      </c>
      <c r="B12" t="s">
        <v>60</v>
      </c>
      <c r="C12" t="s">
        <v>41</v>
      </c>
      <c r="D12" s="23" t="s">
        <v>42</v>
      </c>
      <c r="E12" s="23">
        <f>SUMIF(jurnal[Akun],buku_besar[[#This Row],[Nama Akun]],jurnal[Debit (Rp)])</f>
        <v>6000000</v>
      </c>
      <c r="F12" s="23">
        <f>SUMIF(jurnal[Akun],buku_besar[[#This Row],[Nama Akun]],jurnal[Kredit (Rp)])</f>
        <v>0</v>
      </c>
      <c r="G12" s="23">
        <f>SUMIF(jurnal_penyesuaian[Akun],buku_besar[[#This Row],[Nama Akun]],jurnal_penyesuaian[Debit (Rp)])</f>
        <v>0</v>
      </c>
      <c r="H12" s="23">
        <f>SUMIF(jurnal_penyesuaian[Akun],buku_besar[[#This Row],[Nama Akun]],jurnal_penyesuaian[Kredit (Rp)])</f>
        <v>1000000</v>
      </c>
      <c r="I12" s="23">
        <f>MAX(0,(buku_besar[[#This Row],[Debit JU]]+buku_besar[[#This Row],[Debit Penyesuaian]]-buku_besar[[#This Row],[Kredit JU]]-buku_besar[[#This Row],[Kredit Penyesuaian]]))</f>
        <v>5000000</v>
      </c>
      <c r="J12" s="23">
        <f>MAX(0,(buku_besar[[#This Row],[Kredit JU]]+buku_besar[[#This Row],[Kredit Penyesuaian]]-buku_besar[[#This Row],[Debit JU]]-buku_besar[[#This Row],[Debit Penyesuaian]]))</f>
        <v>0</v>
      </c>
      <c r="K12" s="58">
        <f>MAX(0,(SUMIF(jurnal_penutup[Akun],buku_besar[[#This Row],[Nama Akun]],jurnal_penutup[Debit (Rp)])))</f>
        <v>0</v>
      </c>
      <c r="L12" s="58">
        <f>MAX(0,(SUMIF(jurnal_penutup[Akun],buku_besar[[#This Row],[Nama Akun]],jurnal_penutup[Kredit (Rp)])))</f>
        <v>0</v>
      </c>
      <c r="M12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5000000</v>
      </c>
      <c r="N12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3" spans="1:14" x14ac:dyDescent="0.3">
      <c r="A13" t="s">
        <v>61</v>
      </c>
      <c r="B13" t="s">
        <v>62</v>
      </c>
      <c r="C13" t="s">
        <v>41</v>
      </c>
      <c r="D13" s="23" t="s">
        <v>42</v>
      </c>
      <c r="E13" s="23">
        <f>SUMIF(jurnal[Akun],buku_besar[[#This Row],[Nama Akun]],jurnal[Debit (Rp)])</f>
        <v>7500000</v>
      </c>
      <c r="F13" s="23">
        <f>SUMIF(jurnal[Akun],buku_besar[[#This Row],[Nama Akun]],jurnal[Kredit (Rp)])</f>
        <v>0</v>
      </c>
      <c r="G13" s="23">
        <f>SUMIF(jurnal_penyesuaian[Akun],buku_besar[[#This Row],[Nama Akun]],jurnal_penyesuaian[Debit (Rp)])</f>
        <v>0</v>
      </c>
      <c r="H13" s="23">
        <f>SUMIF(jurnal_penyesuaian[Akun],buku_besar[[#This Row],[Nama Akun]],jurnal_penyesuaian[Kredit (Rp)])</f>
        <v>1500000</v>
      </c>
      <c r="I13" s="23">
        <f>MAX(0,(buku_besar[[#This Row],[Debit JU]]+buku_besar[[#This Row],[Debit Penyesuaian]]-buku_besar[[#This Row],[Kredit JU]]-buku_besar[[#This Row],[Kredit Penyesuaian]]))</f>
        <v>6000000</v>
      </c>
      <c r="J13" s="23">
        <f>MAX(0,(buku_besar[[#This Row],[Kredit JU]]+buku_besar[[#This Row],[Kredit Penyesuaian]]-buku_besar[[#This Row],[Debit JU]]-buku_besar[[#This Row],[Debit Penyesuaian]]))</f>
        <v>0</v>
      </c>
      <c r="K13" s="58">
        <f>MAX(0,(SUMIF(jurnal_penutup[Akun],buku_besar[[#This Row],[Nama Akun]],jurnal_penutup[Debit (Rp)])))</f>
        <v>0</v>
      </c>
      <c r="L13" s="58">
        <f>MAX(0,(SUMIF(jurnal_penutup[Akun],buku_besar[[#This Row],[Nama Akun]],jurnal_penutup[Kredit (Rp)])))</f>
        <v>0</v>
      </c>
      <c r="M13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6000000</v>
      </c>
      <c r="N13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4" spans="1:14" x14ac:dyDescent="0.3">
      <c r="A14" t="s">
        <v>63</v>
      </c>
      <c r="B14" t="s">
        <v>64</v>
      </c>
      <c r="C14" t="s">
        <v>41</v>
      </c>
      <c r="D14" s="23" t="s">
        <v>42</v>
      </c>
      <c r="E14" s="23">
        <f>SUMIF(jurnal[Akun],buku_besar[[#This Row],[Nama Akun]],jurnal[Debit (Rp)])</f>
        <v>10000000</v>
      </c>
      <c r="F14" s="23">
        <f>SUMIF(jurnal[Akun],buku_besar[[#This Row],[Nama Akun]],jurnal[Kredit (Rp)])</f>
        <v>2000000</v>
      </c>
      <c r="G14" s="23">
        <f>SUMIF(jurnal_penyesuaian[Akun],buku_besar[[#This Row],[Nama Akun]],jurnal_penyesuaian[Debit (Rp)])</f>
        <v>0</v>
      </c>
      <c r="H14" s="23">
        <f>SUMIF(jurnal_penyesuaian[Akun],buku_besar[[#This Row],[Nama Akun]],jurnal_penyesuaian[Kredit (Rp)])</f>
        <v>0</v>
      </c>
      <c r="I14" s="23">
        <f>MAX(0,(buku_besar[[#This Row],[Debit JU]]+buku_besar[[#This Row],[Debit Penyesuaian]]-buku_besar[[#This Row],[Kredit JU]]-buku_besar[[#This Row],[Kredit Penyesuaian]]))</f>
        <v>8000000</v>
      </c>
      <c r="J14" s="23">
        <f>MAX(0,(buku_besar[[#This Row],[Kredit JU]]+buku_besar[[#This Row],[Kredit Penyesuaian]]-buku_besar[[#This Row],[Debit JU]]-buku_besar[[#This Row],[Debit Penyesuaian]]))</f>
        <v>0</v>
      </c>
      <c r="K14" s="58">
        <f>MAX(0,(SUMIF(jurnal_penutup[Akun],buku_besar[[#This Row],[Nama Akun]],jurnal_penutup[Debit (Rp)])))</f>
        <v>0</v>
      </c>
      <c r="L14" s="58">
        <f>MAX(0,(SUMIF(jurnal_penutup[Akun],buku_besar[[#This Row],[Nama Akun]],jurnal_penutup[Kredit (Rp)])))</f>
        <v>0</v>
      </c>
      <c r="M1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8000000</v>
      </c>
      <c r="N1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5" spans="1:14" x14ac:dyDescent="0.3">
      <c r="A15" t="s">
        <v>65</v>
      </c>
      <c r="B15" t="s">
        <v>66</v>
      </c>
      <c r="C15" t="s">
        <v>41</v>
      </c>
      <c r="D15" s="23" t="s">
        <v>42</v>
      </c>
      <c r="E15" s="23">
        <f>SUMIF(jurnal[Akun],buku_besar[[#This Row],[Nama Akun]],jurnal[Debit (Rp)])</f>
        <v>22000000</v>
      </c>
      <c r="F15" s="23">
        <f>SUMIF(jurnal[Akun],buku_besar[[#This Row],[Nama Akun]],jurnal[Kredit (Rp)])</f>
        <v>0</v>
      </c>
      <c r="G15" s="23">
        <f>SUMIF(jurnal_penyesuaian[Akun],buku_besar[[#This Row],[Nama Akun]],jurnal_penyesuaian[Debit (Rp)])</f>
        <v>0</v>
      </c>
      <c r="H15" s="23">
        <f>SUMIF(jurnal_penyesuaian[Akun],buku_besar[[#This Row],[Nama Akun]],jurnal_penyesuaian[Kredit (Rp)])</f>
        <v>0</v>
      </c>
      <c r="I15" s="23">
        <f>MAX(0,(buku_besar[[#This Row],[Debit JU]]+buku_besar[[#This Row],[Debit Penyesuaian]]-buku_besar[[#This Row],[Kredit JU]]-buku_besar[[#This Row],[Kredit Penyesuaian]]))</f>
        <v>22000000</v>
      </c>
      <c r="J15" s="23">
        <f>MAX(0,(buku_besar[[#This Row],[Kredit JU]]+buku_besar[[#This Row],[Kredit Penyesuaian]]-buku_besar[[#This Row],[Debit JU]]-buku_besar[[#This Row],[Debit Penyesuaian]]))</f>
        <v>0</v>
      </c>
      <c r="K15" s="58">
        <f>MAX(0,(SUMIF(jurnal_penutup[Akun],buku_besar[[#This Row],[Nama Akun]],jurnal_penutup[Debit (Rp)])))</f>
        <v>0</v>
      </c>
      <c r="L15" s="58">
        <f>MAX(0,(SUMIF(jurnal_penutup[Akun],buku_besar[[#This Row],[Nama Akun]],jurnal_penutup[Kredit (Rp)])))</f>
        <v>0</v>
      </c>
      <c r="M1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22000000</v>
      </c>
      <c r="N1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6" spans="1:14" x14ac:dyDescent="0.3">
      <c r="A16" t="s">
        <v>67</v>
      </c>
      <c r="B16" t="s">
        <v>68</v>
      </c>
      <c r="C16" t="s">
        <v>41</v>
      </c>
      <c r="D16" s="23" t="s">
        <v>42</v>
      </c>
      <c r="E16" s="23">
        <f>SUMIF(jurnal[Akun],buku_besar[[#This Row],[Nama Akun]],jurnal[Debit (Rp)])</f>
        <v>15000000</v>
      </c>
      <c r="F16" s="23">
        <f>SUMIF(jurnal[Akun],buku_besar[[#This Row],[Nama Akun]],jurnal[Kredit (Rp)])</f>
        <v>0</v>
      </c>
      <c r="G16" s="23">
        <f>SUMIF(jurnal_penyesuaian[Akun],buku_besar[[#This Row],[Nama Akun]],jurnal_penyesuaian[Debit (Rp)])</f>
        <v>0</v>
      </c>
      <c r="H16" s="23">
        <f>SUMIF(jurnal_penyesuaian[Akun],buku_besar[[#This Row],[Nama Akun]],jurnal_penyesuaian[Kredit (Rp)])</f>
        <v>0</v>
      </c>
      <c r="I16" s="23">
        <f>MAX(0,(buku_besar[[#This Row],[Debit JU]]+buku_besar[[#This Row],[Debit Penyesuaian]]-buku_besar[[#This Row],[Kredit JU]]-buku_besar[[#This Row],[Kredit Penyesuaian]]))</f>
        <v>15000000</v>
      </c>
      <c r="J16" s="23">
        <f>MAX(0,(buku_besar[[#This Row],[Kredit JU]]+buku_besar[[#This Row],[Kredit Penyesuaian]]-buku_besar[[#This Row],[Debit JU]]-buku_besar[[#This Row],[Debit Penyesuaian]]))</f>
        <v>0</v>
      </c>
      <c r="K16" s="58">
        <f>MAX(0,(SUMIF(jurnal_penutup[Akun],buku_besar[[#This Row],[Nama Akun]],jurnal_penutup[Debit (Rp)])))</f>
        <v>0</v>
      </c>
      <c r="L16" s="58">
        <f>MAX(0,(SUMIF(jurnal_penutup[Akun],buku_besar[[#This Row],[Nama Akun]],jurnal_penutup[Kredit (Rp)])))</f>
        <v>0</v>
      </c>
      <c r="M1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15000000</v>
      </c>
      <c r="N1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7" spans="1:14" x14ac:dyDescent="0.3">
      <c r="A17" t="s">
        <v>69</v>
      </c>
      <c r="B17" t="s">
        <v>70</v>
      </c>
      <c r="C17" t="s">
        <v>41</v>
      </c>
      <c r="D17" s="23" t="s">
        <v>42</v>
      </c>
      <c r="E17" s="23">
        <f>SUMIF(jurnal[Akun],buku_besar[[#This Row],[Nama Akun]],jurnal[Debit (Rp)])</f>
        <v>180000000</v>
      </c>
      <c r="F17" s="23">
        <f>SUMIF(jurnal[Akun],buku_besar[[#This Row],[Nama Akun]],jurnal[Kredit (Rp)])</f>
        <v>0</v>
      </c>
      <c r="G17" s="23">
        <f>SUMIF(jurnal_penyesuaian[Akun],buku_besar[[#This Row],[Nama Akun]],jurnal_penyesuaian[Debit (Rp)])</f>
        <v>0</v>
      </c>
      <c r="H17" s="23">
        <f>SUMIF(jurnal_penyesuaian[Akun],buku_besar[[#This Row],[Nama Akun]],jurnal_penyesuaian[Kredit (Rp)])</f>
        <v>0</v>
      </c>
      <c r="I17" s="23">
        <f>MAX(0,(buku_besar[[#This Row],[Debit JU]]+buku_besar[[#This Row],[Debit Penyesuaian]]-buku_besar[[#This Row],[Kredit JU]]-buku_besar[[#This Row],[Kredit Penyesuaian]]))</f>
        <v>180000000</v>
      </c>
      <c r="J17" s="23">
        <f>MAX(0,(buku_besar[[#This Row],[Kredit JU]]+buku_besar[[#This Row],[Kredit Penyesuaian]]-buku_besar[[#This Row],[Debit JU]]-buku_besar[[#This Row],[Debit Penyesuaian]]))</f>
        <v>0</v>
      </c>
      <c r="K17" s="58">
        <f>MAX(0,(SUMIF(jurnal_penutup[Akun],buku_besar[[#This Row],[Nama Akun]],jurnal_penutup[Debit (Rp)])))</f>
        <v>0</v>
      </c>
      <c r="L17" s="58">
        <f>MAX(0,(SUMIF(jurnal_penutup[Akun],buku_besar[[#This Row],[Nama Akun]],jurnal_penutup[Kredit (Rp)])))</f>
        <v>0</v>
      </c>
      <c r="M1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180000000</v>
      </c>
      <c r="N1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8" spans="1:14" x14ac:dyDescent="0.3">
      <c r="A18" t="s">
        <v>71</v>
      </c>
      <c r="B18" t="s">
        <v>72</v>
      </c>
      <c r="C18" t="s">
        <v>41</v>
      </c>
      <c r="D18" s="23" t="s">
        <v>42</v>
      </c>
      <c r="E18" s="23">
        <f>SUMIF(jurnal[Akun],buku_besar[[#This Row],[Nama Akun]],jurnal[Debit (Rp)])</f>
        <v>350000000</v>
      </c>
      <c r="F18" s="23">
        <f>SUMIF(jurnal[Akun],buku_besar[[#This Row],[Nama Akun]],jurnal[Kredit (Rp)])</f>
        <v>0</v>
      </c>
      <c r="G18" s="23">
        <f>SUMIF(jurnal_penyesuaian[Akun],buku_besar[[#This Row],[Nama Akun]],jurnal_penyesuaian[Debit (Rp)])</f>
        <v>0</v>
      </c>
      <c r="H18" s="23">
        <f>SUMIF(jurnal_penyesuaian[Akun],buku_besar[[#This Row],[Nama Akun]],jurnal_penyesuaian[Kredit (Rp)])</f>
        <v>0</v>
      </c>
      <c r="I18" s="23">
        <f>MAX(0,(buku_besar[[#This Row],[Debit JU]]+buku_besar[[#This Row],[Debit Penyesuaian]]-buku_besar[[#This Row],[Kredit JU]]-buku_besar[[#This Row],[Kredit Penyesuaian]]))</f>
        <v>350000000</v>
      </c>
      <c r="J18" s="23">
        <f>MAX(0,(buku_besar[[#This Row],[Kredit JU]]+buku_besar[[#This Row],[Kredit Penyesuaian]]-buku_besar[[#This Row],[Debit JU]]-buku_besar[[#This Row],[Debit Penyesuaian]]))</f>
        <v>0</v>
      </c>
      <c r="K18" s="58">
        <f>MAX(0,(SUMIF(jurnal_penutup[Akun],buku_besar[[#This Row],[Nama Akun]],jurnal_penutup[Debit (Rp)])))</f>
        <v>0</v>
      </c>
      <c r="L18" s="58">
        <f>MAX(0,(SUMIF(jurnal_penutup[Akun],buku_besar[[#This Row],[Nama Akun]],jurnal_penutup[Kredit (Rp)])))</f>
        <v>0</v>
      </c>
      <c r="M18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350000000</v>
      </c>
      <c r="N18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19" spans="1:14" x14ac:dyDescent="0.3">
      <c r="A19" t="s">
        <v>73</v>
      </c>
      <c r="B19" t="s">
        <v>74</v>
      </c>
      <c r="C19" t="s">
        <v>41</v>
      </c>
      <c r="D19" s="23" t="s">
        <v>42</v>
      </c>
      <c r="E19" s="23">
        <f>SUMIF(jurnal[Akun],buku_besar[[#This Row],[Nama Akun]],jurnal[Debit (Rp)])</f>
        <v>220000000</v>
      </c>
      <c r="F19" s="23">
        <f>SUMIF(jurnal[Akun],buku_besar[[#This Row],[Nama Akun]],jurnal[Kredit (Rp)])</f>
        <v>0</v>
      </c>
      <c r="G19" s="23">
        <f>SUMIF(jurnal_penyesuaian[Akun],buku_besar[[#This Row],[Nama Akun]],jurnal_penyesuaian[Debit (Rp)])</f>
        <v>0</v>
      </c>
      <c r="H19" s="23">
        <f>SUMIF(jurnal_penyesuaian[Akun],buku_besar[[#This Row],[Nama Akun]],jurnal_penyesuaian[Kredit (Rp)])</f>
        <v>0</v>
      </c>
      <c r="I19" s="23">
        <f>MAX(0,(buku_besar[[#This Row],[Debit JU]]+buku_besar[[#This Row],[Debit Penyesuaian]]-buku_besar[[#This Row],[Kredit JU]]-buku_besar[[#This Row],[Kredit Penyesuaian]]))</f>
        <v>220000000</v>
      </c>
      <c r="J19" s="23">
        <f>MAX(0,(buku_besar[[#This Row],[Kredit JU]]+buku_besar[[#This Row],[Kredit Penyesuaian]]-buku_besar[[#This Row],[Debit JU]]-buku_besar[[#This Row],[Debit Penyesuaian]]))</f>
        <v>0</v>
      </c>
      <c r="K19" s="58">
        <f>MAX(0,(SUMIF(jurnal_penutup[Akun],buku_besar[[#This Row],[Nama Akun]],jurnal_penutup[Debit (Rp)])))</f>
        <v>0</v>
      </c>
      <c r="L19" s="58">
        <f>MAX(0,(SUMIF(jurnal_penutup[Akun],buku_besar[[#This Row],[Nama Akun]],jurnal_penutup[Kredit (Rp)])))</f>
        <v>0</v>
      </c>
      <c r="M19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220000000</v>
      </c>
      <c r="N19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20" spans="1:14" x14ac:dyDescent="0.3">
      <c r="A20" t="s">
        <v>75</v>
      </c>
      <c r="B20" t="s">
        <v>76</v>
      </c>
      <c r="C20" t="s">
        <v>77</v>
      </c>
      <c r="D20" s="23" t="s">
        <v>78</v>
      </c>
      <c r="E20" s="23">
        <f>SUMIF(jurnal[Akun],buku_besar[[#This Row],[Nama Akun]],jurnal[Debit (Rp)])</f>
        <v>0</v>
      </c>
      <c r="F20" s="23">
        <f>SUMIF(jurnal[Akun],buku_besar[[#This Row],[Nama Akun]],jurnal[Kredit (Rp)])</f>
        <v>0</v>
      </c>
      <c r="G20" s="23">
        <f>SUMIF(jurnal_penyesuaian[Akun],buku_besar[[#This Row],[Nama Akun]],jurnal_penyesuaian[Debit (Rp)])</f>
        <v>0</v>
      </c>
      <c r="H20" s="23">
        <f>SUMIF(jurnal_penyesuaian[Akun],buku_besar[[#This Row],[Nama Akun]],jurnal_penyesuaian[Kredit (Rp)])</f>
        <v>1800000</v>
      </c>
      <c r="I20" s="23">
        <f>MAX(0,(buku_besar[[#This Row],[Debit JU]]+buku_besar[[#This Row],[Debit Penyesuaian]]-buku_besar[[#This Row],[Kredit JU]]-buku_besar[[#This Row],[Kredit Penyesuaian]]))</f>
        <v>0</v>
      </c>
      <c r="J20" s="23">
        <f>MAX(0,(buku_besar[[#This Row],[Kredit JU]]+buku_besar[[#This Row],[Kredit Penyesuaian]]-buku_besar[[#This Row],[Debit JU]]-buku_besar[[#This Row],[Debit Penyesuaian]]))</f>
        <v>1800000</v>
      </c>
      <c r="K20" s="58">
        <f>MAX(0,(SUMIF(jurnal_penutup[Akun],buku_besar[[#This Row],[Nama Akun]],jurnal_penutup[Debit (Rp)])))</f>
        <v>0</v>
      </c>
      <c r="L20" s="58">
        <f>MAX(0,(SUMIF(jurnal_penutup[Akun],buku_besar[[#This Row],[Nama Akun]],jurnal_penutup[Kredit (Rp)])))</f>
        <v>0</v>
      </c>
      <c r="M20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0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1800000</v>
      </c>
    </row>
    <row r="21" spans="1:14" x14ac:dyDescent="0.3">
      <c r="A21" t="s">
        <v>79</v>
      </c>
      <c r="B21" t="s">
        <v>80</v>
      </c>
      <c r="C21" t="s">
        <v>77</v>
      </c>
      <c r="D21" s="23" t="s">
        <v>78</v>
      </c>
      <c r="E21" s="23">
        <f>SUMIF(jurnal[Akun],buku_besar[[#This Row],[Nama Akun]],jurnal[Debit (Rp)])</f>
        <v>0</v>
      </c>
      <c r="F21" s="23">
        <f>SUMIF(jurnal[Akun],buku_besar[[#This Row],[Nama Akun]],jurnal[Kredit (Rp)])</f>
        <v>0</v>
      </c>
      <c r="G21" s="23">
        <f>SUMIF(jurnal_penyesuaian[Akun],buku_besar[[#This Row],[Nama Akun]],jurnal_penyesuaian[Debit (Rp)])</f>
        <v>0</v>
      </c>
      <c r="H21" s="23">
        <f>SUMIF(jurnal_penyesuaian[Akun],buku_besar[[#This Row],[Nama Akun]],jurnal_penyesuaian[Kredit (Rp)])</f>
        <v>2400000</v>
      </c>
      <c r="I21" s="23">
        <f>MAX(0,(buku_besar[[#This Row],[Debit JU]]+buku_besar[[#This Row],[Debit Penyesuaian]]-buku_besar[[#This Row],[Kredit JU]]-buku_besar[[#This Row],[Kredit Penyesuaian]]))</f>
        <v>0</v>
      </c>
      <c r="J21" s="23">
        <f>MAX(0,(buku_besar[[#This Row],[Kredit JU]]+buku_besar[[#This Row],[Kredit Penyesuaian]]-buku_besar[[#This Row],[Debit JU]]-buku_besar[[#This Row],[Debit Penyesuaian]]))</f>
        <v>2400000</v>
      </c>
      <c r="K21" s="58">
        <f>MAX(0,(SUMIF(jurnal_penutup[Akun],buku_besar[[#This Row],[Nama Akun]],jurnal_penutup[Debit (Rp)])))</f>
        <v>0</v>
      </c>
      <c r="L21" s="58">
        <f>MAX(0,(SUMIF(jurnal_penutup[Akun],buku_besar[[#This Row],[Nama Akun]],jurnal_penutup[Kredit (Rp)])))</f>
        <v>0</v>
      </c>
      <c r="M21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1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2400000</v>
      </c>
    </row>
    <row r="22" spans="1:14" x14ac:dyDescent="0.3">
      <c r="A22" t="s">
        <v>81</v>
      </c>
      <c r="B22" t="s">
        <v>82</v>
      </c>
      <c r="C22" t="s">
        <v>77</v>
      </c>
      <c r="D22" s="23" t="s">
        <v>78</v>
      </c>
      <c r="E22" s="23">
        <f>SUMIF(jurnal[Akun],buku_besar[[#This Row],[Nama Akun]],jurnal[Debit (Rp)])</f>
        <v>0</v>
      </c>
      <c r="F22" s="23">
        <f>SUMIF(jurnal[Akun],buku_besar[[#This Row],[Nama Akun]],jurnal[Kredit (Rp)])</f>
        <v>0</v>
      </c>
      <c r="G22" s="23">
        <f>SUMIF(jurnal_penyesuaian[Akun],buku_besar[[#This Row],[Nama Akun]],jurnal_penyesuaian[Debit (Rp)])</f>
        <v>0</v>
      </c>
      <c r="H22" s="23">
        <f>SUMIF(jurnal_penyesuaian[Akun],buku_besar[[#This Row],[Nama Akun]],jurnal_penyesuaian[Kredit (Rp)])</f>
        <v>3500000</v>
      </c>
      <c r="I22" s="23">
        <f>MAX(0,(buku_besar[[#This Row],[Debit JU]]+buku_besar[[#This Row],[Debit Penyesuaian]]-buku_besar[[#This Row],[Kredit JU]]-buku_besar[[#This Row],[Kredit Penyesuaian]]))</f>
        <v>0</v>
      </c>
      <c r="J22" s="23">
        <f>MAX(0,(buku_besar[[#This Row],[Kredit JU]]+buku_besar[[#This Row],[Kredit Penyesuaian]]-buku_besar[[#This Row],[Debit JU]]-buku_besar[[#This Row],[Debit Penyesuaian]]))</f>
        <v>3500000</v>
      </c>
      <c r="K22" s="58">
        <f>MAX(0,(SUMIF(jurnal_penutup[Akun],buku_besar[[#This Row],[Nama Akun]],jurnal_penutup[Debit (Rp)])))</f>
        <v>0</v>
      </c>
      <c r="L22" s="58">
        <f>MAX(0,(SUMIF(jurnal_penutup[Akun],buku_besar[[#This Row],[Nama Akun]],jurnal_penutup[Kredit (Rp)])))</f>
        <v>0</v>
      </c>
      <c r="M22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2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3500000</v>
      </c>
    </row>
    <row r="23" spans="1:14" x14ac:dyDescent="0.3">
      <c r="A23" t="s">
        <v>83</v>
      </c>
      <c r="B23" t="s">
        <v>84</v>
      </c>
      <c r="C23" t="s">
        <v>85</v>
      </c>
      <c r="D23" s="23" t="s">
        <v>78</v>
      </c>
      <c r="E23" s="23">
        <f>SUMIF(jurnal[Akun],buku_besar[[#This Row],[Nama Akun]],jurnal[Debit (Rp)])</f>
        <v>7000000</v>
      </c>
      <c r="F23" s="23">
        <f>SUMIF(jurnal[Akun],buku_besar[[#This Row],[Nama Akun]],jurnal[Kredit (Rp)])</f>
        <v>54050000</v>
      </c>
      <c r="G23" s="23">
        <f>SUMIF(jurnal_penyesuaian[Akun],buku_besar[[#This Row],[Nama Akun]],jurnal_penyesuaian[Debit (Rp)])</f>
        <v>0</v>
      </c>
      <c r="H23" s="23">
        <f>SUMIF(jurnal_penyesuaian[Akun],buku_besar[[#This Row],[Nama Akun]],jurnal_penyesuaian[Kredit (Rp)])</f>
        <v>0</v>
      </c>
      <c r="I23" s="23">
        <f>MAX(0,(buku_besar[[#This Row],[Debit JU]]+buku_besar[[#This Row],[Debit Penyesuaian]]-buku_besar[[#This Row],[Kredit JU]]-buku_besar[[#This Row],[Kredit Penyesuaian]]))</f>
        <v>0</v>
      </c>
      <c r="J23" s="23">
        <f>MAX(0,(buku_besar[[#This Row],[Kredit JU]]+buku_besar[[#This Row],[Kredit Penyesuaian]]-buku_besar[[#This Row],[Debit JU]]-buku_besar[[#This Row],[Debit Penyesuaian]]))</f>
        <v>47050000</v>
      </c>
      <c r="K23" s="58">
        <f>MAX(0,(SUMIF(jurnal_penutup[Akun],buku_besar[[#This Row],[Nama Akun]],jurnal_penutup[Debit (Rp)])))</f>
        <v>0</v>
      </c>
      <c r="L23" s="58">
        <f>MAX(0,(SUMIF(jurnal_penutup[Akun],buku_besar[[#This Row],[Nama Akun]],jurnal_penutup[Kredit (Rp)])))</f>
        <v>0</v>
      </c>
      <c r="M23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3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47050000</v>
      </c>
    </row>
    <row r="24" spans="1:14" x14ac:dyDescent="0.3">
      <c r="A24" t="s">
        <v>87</v>
      </c>
      <c r="B24" t="s">
        <v>88</v>
      </c>
      <c r="C24" t="s">
        <v>85</v>
      </c>
      <c r="D24" s="23" t="s">
        <v>78</v>
      </c>
      <c r="E24" s="23">
        <f>SUMIF(jurnal[Akun],buku_besar[[#This Row],[Nama Akun]],jurnal[Debit (Rp)])</f>
        <v>1900000</v>
      </c>
      <c r="F24" s="23">
        <f>SUMIF(jurnal[Akun],buku_besar[[#This Row],[Nama Akun]],jurnal[Kredit (Rp)])</f>
        <v>12000000</v>
      </c>
      <c r="G24" s="23">
        <f>SUMIF(jurnal_penyesuaian[Akun],buku_besar[[#This Row],[Nama Akun]],jurnal_penyesuaian[Debit (Rp)])</f>
        <v>0</v>
      </c>
      <c r="H24" s="23">
        <f>SUMIF(jurnal_penyesuaian[Akun],buku_besar[[#This Row],[Nama Akun]],jurnal_penyesuaian[Kredit (Rp)])</f>
        <v>2000000</v>
      </c>
      <c r="I24" s="23">
        <f>MAX(0,(buku_besar[[#This Row],[Debit JU]]+buku_besar[[#This Row],[Debit Penyesuaian]]-buku_besar[[#This Row],[Kredit JU]]-buku_besar[[#This Row],[Kredit Penyesuaian]]))</f>
        <v>0</v>
      </c>
      <c r="J24" s="23">
        <f>MAX(0,(buku_besar[[#This Row],[Kredit JU]]+buku_besar[[#This Row],[Kredit Penyesuaian]]-buku_besar[[#This Row],[Debit JU]]-buku_besar[[#This Row],[Debit Penyesuaian]]))</f>
        <v>12100000</v>
      </c>
      <c r="K24" s="58">
        <f>MAX(0,(SUMIF(jurnal_penutup[Akun],buku_besar[[#This Row],[Nama Akun]],jurnal_penutup[Debit (Rp)])))</f>
        <v>0</v>
      </c>
      <c r="L24" s="58">
        <f>MAX(0,(SUMIF(jurnal_penutup[Akun],buku_besar[[#This Row],[Nama Akun]],jurnal_penutup[Kredit (Rp)])))</f>
        <v>0</v>
      </c>
      <c r="M2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12100000</v>
      </c>
    </row>
    <row r="25" spans="1:14" x14ac:dyDescent="0.3">
      <c r="A25" t="s">
        <v>89</v>
      </c>
      <c r="B25" t="s">
        <v>90</v>
      </c>
      <c r="C25" t="s">
        <v>85</v>
      </c>
      <c r="D25" s="23" t="s">
        <v>78</v>
      </c>
      <c r="E25" s="23">
        <f>SUMIF(jurnal[Akun],buku_besar[[#This Row],[Nama Akun]],jurnal[Debit (Rp)])</f>
        <v>0</v>
      </c>
      <c r="F25" s="23">
        <f>SUMIF(jurnal[Akun],buku_besar[[#This Row],[Nama Akun]],jurnal[Kredit (Rp)])</f>
        <v>2000000</v>
      </c>
      <c r="G25" s="23">
        <f>SUMIF(jurnal_penyesuaian[Akun],buku_besar[[#This Row],[Nama Akun]],jurnal_penyesuaian[Debit (Rp)])</f>
        <v>0</v>
      </c>
      <c r="H25" s="23">
        <f>SUMIF(jurnal_penyesuaian[Akun],buku_besar[[#This Row],[Nama Akun]],jurnal_penyesuaian[Kredit (Rp)])</f>
        <v>0</v>
      </c>
      <c r="I25" s="23">
        <f>MAX(0,(buku_besar[[#This Row],[Debit JU]]+buku_besar[[#This Row],[Debit Penyesuaian]]-buku_besar[[#This Row],[Kredit JU]]-buku_besar[[#This Row],[Kredit Penyesuaian]]))</f>
        <v>0</v>
      </c>
      <c r="J25" s="23">
        <f>MAX(0,(buku_besar[[#This Row],[Kredit JU]]+buku_besar[[#This Row],[Kredit Penyesuaian]]-buku_besar[[#This Row],[Debit JU]]-buku_besar[[#This Row],[Debit Penyesuaian]]))</f>
        <v>2000000</v>
      </c>
      <c r="K25" s="58">
        <f>MAX(0,(SUMIF(jurnal_penutup[Akun],buku_besar[[#This Row],[Nama Akun]],jurnal_penutup[Debit (Rp)])))</f>
        <v>0</v>
      </c>
      <c r="L25" s="58">
        <f>MAX(0,(SUMIF(jurnal_penutup[Akun],buku_besar[[#This Row],[Nama Akun]],jurnal_penutup[Kredit (Rp)])))</f>
        <v>0</v>
      </c>
      <c r="M2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2000000</v>
      </c>
    </row>
    <row r="26" spans="1:14" x14ac:dyDescent="0.3">
      <c r="A26" t="s">
        <v>91</v>
      </c>
      <c r="B26" t="s">
        <v>92</v>
      </c>
      <c r="C26" t="s">
        <v>85</v>
      </c>
      <c r="D26" s="23" t="s">
        <v>78</v>
      </c>
      <c r="E26" s="23">
        <f>SUMIF(jurnal[Akun],buku_besar[[#This Row],[Nama Akun]],jurnal[Debit (Rp)])</f>
        <v>0</v>
      </c>
      <c r="F26" s="23">
        <f>SUMIF(jurnal[Akun],buku_besar[[#This Row],[Nama Akun]],jurnal[Kredit (Rp)])</f>
        <v>1100000</v>
      </c>
      <c r="G26" s="23">
        <f>SUMIF(jurnal_penyesuaian[Akun],buku_besar[[#This Row],[Nama Akun]],jurnal_penyesuaian[Debit (Rp)])</f>
        <v>0</v>
      </c>
      <c r="H26" s="23">
        <f>SUMIF(jurnal_penyesuaian[Akun],buku_besar[[#This Row],[Nama Akun]],jurnal_penyesuaian[Kredit (Rp)])</f>
        <v>0</v>
      </c>
      <c r="I26" s="23">
        <f>MAX(0,(buku_besar[[#This Row],[Debit JU]]+buku_besar[[#This Row],[Debit Penyesuaian]]-buku_besar[[#This Row],[Kredit JU]]-buku_besar[[#This Row],[Kredit Penyesuaian]]))</f>
        <v>0</v>
      </c>
      <c r="J26" s="23">
        <f>MAX(0,(buku_besar[[#This Row],[Kredit JU]]+buku_besar[[#This Row],[Kredit Penyesuaian]]-buku_besar[[#This Row],[Debit JU]]-buku_besar[[#This Row],[Debit Penyesuaian]]))</f>
        <v>1100000</v>
      </c>
      <c r="K26" s="58">
        <f>MAX(0,(SUMIF(jurnal_penutup[Akun],buku_besar[[#This Row],[Nama Akun]],jurnal_penutup[Debit (Rp)])))</f>
        <v>0</v>
      </c>
      <c r="L26" s="58">
        <f>MAX(0,(SUMIF(jurnal_penutup[Akun],buku_besar[[#This Row],[Nama Akun]],jurnal_penutup[Kredit (Rp)])))</f>
        <v>0</v>
      </c>
      <c r="M2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1100000</v>
      </c>
    </row>
    <row r="27" spans="1:14" x14ac:dyDescent="0.3">
      <c r="A27" t="s">
        <v>93</v>
      </c>
      <c r="B27" t="s">
        <v>94</v>
      </c>
      <c r="C27" t="s">
        <v>85</v>
      </c>
      <c r="D27" s="23" t="s">
        <v>78</v>
      </c>
      <c r="E27" s="23">
        <f>SUMIF(jurnal[Akun],buku_besar[[#This Row],[Nama Akun]],jurnal[Debit (Rp)])</f>
        <v>0</v>
      </c>
      <c r="F27" s="23">
        <f>SUMIF(jurnal[Akun],buku_besar[[#This Row],[Nama Akun]],jurnal[Kredit (Rp)])</f>
        <v>3080000</v>
      </c>
      <c r="G27" s="23">
        <f>SUMIF(jurnal_penyesuaian[Akun],buku_besar[[#This Row],[Nama Akun]],jurnal_penyesuaian[Debit (Rp)])</f>
        <v>0</v>
      </c>
      <c r="H27" s="23">
        <f>SUMIF(jurnal_penyesuaian[Akun],buku_besar[[#This Row],[Nama Akun]],jurnal_penyesuaian[Kredit (Rp)])</f>
        <v>0</v>
      </c>
      <c r="I27" s="23">
        <f>MAX(0,(buku_besar[[#This Row],[Debit JU]]+buku_besar[[#This Row],[Debit Penyesuaian]]-buku_besar[[#This Row],[Kredit JU]]-buku_besar[[#This Row],[Kredit Penyesuaian]]))</f>
        <v>0</v>
      </c>
      <c r="J27" s="23">
        <f>MAX(0,(buku_besar[[#This Row],[Kredit JU]]+buku_besar[[#This Row],[Kredit Penyesuaian]]-buku_besar[[#This Row],[Debit JU]]-buku_besar[[#This Row],[Debit Penyesuaian]]))</f>
        <v>3080000</v>
      </c>
      <c r="K27" s="58">
        <f>MAX(0,(SUMIF(jurnal_penutup[Akun],buku_besar[[#This Row],[Nama Akun]],jurnal_penutup[Debit (Rp)])))</f>
        <v>0</v>
      </c>
      <c r="L27" s="58">
        <f>MAX(0,(SUMIF(jurnal_penutup[Akun],buku_besar[[#This Row],[Nama Akun]],jurnal_penutup[Kredit (Rp)])))</f>
        <v>0</v>
      </c>
      <c r="M2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3080000</v>
      </c>
    </row>
    <row r="28" spans="1:14" x14ac:dyDescent="0.3">
      <c r="A28" t="s">
        <v>95</v>
      </c>
      <c r="B28" t="s">
        <v>96</v>
      </c>
      <c r="C28" t="s">
        <v>85</v>
      </c>
      <c r="D28" s="23" t="s">
        <v>78</v>
      </c>
      <c r="E28" s="23">
        <f>SUMIF(jurnal[Akun],buku_besar[[#This Row],[Nama Akun]],jurnal[Debit (Rp)])</f>
        <v>0</v>
      </c>
      <c r="F28" s="23">
        <f>SUMIF(jurnal[Akun],buku_besar[[#This Row],[Nama Akun]],jurnal[Kredit (Rp)])</f>
        <v>800000</v>
      </c>
      <c r="G28" s="23">
        <f>SUMIF(jurnal_penyesuaian[Akun],buku_besar[[#This Row],[Nama Akun]],jurnal_penyesuaian[Debit (Rp)])</f>
        <v>0</v>
      </c>
      <c r="H28" s="23">
        <f>SUMIF(jurnal_penyesuaian[Akun],buku_besar[[#This Row],[Nama Akun]],jurnal_penyesuaian[Kredit (Rp)])</f>
        <v>0</v>
      </c>
      <c r="I28" s="23">
        <f>MAX(0,(buku_besar[[#This Row],[Debit JU]]+buku_besar[[#This Row],[Debit Penyesuaian]]-buku_besar[[#This Row],[Kredit JU]]-buku_besar[[#This Row],[Kredit Penyesuaian]]))</f>
        <v>0</v>
      </c>
      <c r="J28" s="23">
        <f>MAX(0,(buku_besar[[#This Row],[Kredit JU]]+buku_besar[[#This Row],[Kredit Penyesuaian]]-buku_besar[[#This Row],[Debit JU]]-buku_besar[[#This Row],[Debit Penyesuaian]]))</f>
        <v>800000</v>
      </c>
      <c r="K28" s="58">
        <f>MAX(0,(SUMIF(jurnal_penutup[Akun],buku_besar[[#This Row],[Nama Akun]],jurnal_penutup[Debit (Rp)])))</f>
        <v>0</v>
      </c>
      <c r="L28" s="58">
        <f>MAX(0,(SUMIF(jurnal_penutup[Akun],buku_besar[[#This Row],[Nama Akun]],jurnal_penutup[Kredit (Rp)])))</f>
        <v>0</v>
      </c>
      <c r="M28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8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800000</v>
      </c>
    </row>
    <row r="29" spans="1:14" x14ac:dyDescent="0.3">
      <c r="A29" t="s">
        <v>97</v>
      </c>
      <c r="B29" t="s">
        <v>98</v>
      </c>
      <c r="C29" t="s">
        <v>85</v>
      </c>
      <c r="D29" s="23" t="s">
        <v>78</v>
      </c>
      <c r="E29" s="23">
        <f>SUMIF(jurnal[Akun],buku_besar[[#This Row],[Nama Akun]],jurnal[Debit (Rp)])</f>
        <v>0</v>
      </c>
      <c r="F29" s="23">
        <f>SUMIF(jurnal[Akun],buku_besar[[#This Row],[Nama Akun]],jurnal[Kredit (Rp)])</f>
        <v>4000000</v>
      </c>
      <c r="G29" s="23">
        <f>SUMIF(jurnal_penyesuaian[Akun],buku_besar[[#This Row],[Nama Akun]],jurnal_penyesuaian[Debit (Rp)])</f>
        <v>0</v>
      </c>
      <c r="H29" s="23">
        <f>SUMIF(jurnal_penyesuaian[Akun],buku_besar[[#This Row],[Nama Akun]],jurnal_penyesuaian[Kredit (Rp)])</f>
        <v>0</v>
      </c>
      <c r="I29" s="23">
        <f>MAX(0,(buku_besar[[#This Row],[Debit JU]]+buku_besar[[#This Row],[Debit Penyesuaian]]-buku_besar[[#This Row],[Kredit JU]]-buku_besar[[#This Row],[Kredit Penyesuaian]]))</f>
        <v>0</v>
      </c>
      <c r="J29" s="23">
        <f>MAX(0,(buku_besar[[#This Row],[Kredit JU]]+buku_besar[[#This Row],[Kredit Penyesuaian]]-buku_besar[[#This Row],[Debit JU]]-buku_besar[[#This Row],[Debit Penyesuaian]]))</f>
        <v>4000000</v>
      </c>
      <c r="K29" s="58">
        <f>MAX(0,(SUMIF(jurnal_penutup[Akun],buku_besar[[#This Row],[Nama Akun]],jurnal_penutup[Debit (Rp)])))</f>
        <v>0</v>
      </c>
      <c r="L29" s="58">
        <f>MAX(0,(SUMIF(jurnal_penutup[Akun],buku_besar[[#This Row],[Nama Akun]],jurnal_penutup[Kredit (Rp)])))</f>
        <v>0</v>
      </c>
      <c r="M29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29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4000000</v>
      </c>
    </row>
    <row r="30" spans="1:14" x14ac:dyDescent="0.3">
      <c r="A30" t="s">
        <v>99</v>
      </c>
      <c r="B30" t="s">
        <v>100</v>
      </c>
      <c r="C30" t="s">
        <v>85</v>
      </c>
      <c r="D30" s="23" t="s">
        <v>78</v>
      </c>
      <c r="E30" s="23">
        <f>SUMIF(jurnal[Akun],buku_besar[[#This Row],[Nama Akun]],jurnal[Debit (Rp)])</f>
        <v>0</v>
      </c>
      <c r="F30" s="23">
        <f>SUMIF(jurnal[Akun],buku_besar[[#This Row],[Nama Akun]],jurnal[Kredit (Rp)])</f>
        <v>2100000</v>
      </c>
      <c r="G30" s="23">
        <f>SUMIF(jurnal_penyesuaian[Akun],buku_besar[[#This Row],[Nama Akun]],jurnal_penyesuaian[Debit (Rp)])</f>
        <v>0</v>
      </c>
      <c r="H30" s="23">
        <f>SUMIF(jurnal_penyesuaian[Akun],buku_besar[[#This Row],[Nama Akun]],jurnal_penyesuaian[Kredit (Rp)])</f>
        <v>1200000</v>
      </c>
      <c r="I30" s="23">
        <f>MAX(0,(buku_besar[[#This Row],[Debit JU]]+buku_besar[[#This Row],[Debit Penyesuaian]]-buku_besar[[#This Row],[Kredit JU]]-buku_besar[[#This Row],[Kredit Penyesuaian]]))</f>
        <v>0</v>
      </c>
      <c r="J30" s="23">
        <f>MAX(0,(buku_besar[[#This Row],[Kredit JU]]+buku_besar[[#This Row],[Kredit Penyesuaian]]-buku_besar[[#This Row],[Debit JU]]-buku_besar[[#This Row],[Debit Penyesuaian]]))</f>
        <v>3300000</v>
      </c>
      <c r="K30" s="58">
        <f>MAX(0,(SUMIF(jurnal_penutup[Akun],buku_besar[[#This Row],[Nama Akun]],jurnal_penutup[Debit (Rp)])))</f>
        <v>0</v>
      </c>
      <c r="L30" s="58">
        <f>MAX(0,(SUMIF(jurnal_penutup[Akun],buku_besar[[#This Row],[Nama Akun]],jurnal_penutup[Kredit (Rp)])))</f>
        <v>0</v>
      </c>
      <c r="M30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0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3300000</v>
      </c>
    </row>
    <row r="31" spans="1:14" x14ac:dyDescent="0.3">
      <c r="A31" t="s">
        <v>101</v>
      </c>
      <c r="B31" t="s">
        <v>102</v>
      </c>
      <c r="C31" t="s">
        <v>85</v>
      </c>
      <c r="D31" s="23" t="s">
        <v>78</v>
      </c>
      <c r="E31" s="23">
        <f>SUMIF(jurnal[Akun],buku_besar[[#This Row],[Nama Akun]],jurnal[Debit (Rp)])</f>
        <v>6000000</v>
      </c>
      <c r="F31" s="23">
        <f>SUMIF(jurnal[Akun],buku_besar[[#This Row],[Nama Akun]],jurnal[Kredit (Rp)])</f>
        <v>400000000</v>
      </c>
      <c r="G31" s="23">
        <f>SUMIF(jurnal_penyesuaian[Akun],buku_besar[[#This Row],[Nama Akun]],jurnal_penyesuaian[Debit (Rp)])</f>
        <v>0</v>
      </c>
      <c r="H31" s="23">
        <f>SUMIF(jurnal_penyesuaian[Akun],buku_besar[[#This Row],[Nama Akun]],jurnal_penyesuaian[Kredit (Rp)])</f>
        <v>0</v>
      </c>
      <c r="I31" s="23">
        <f>MAX(0,(buku_besar[[#This Row],[Debit JU]]+buku_besar[[#This Row],[Debit Penyesuaian]]-buku_besar[[#This Row],[Kredit JU]]-buku_besar[[#This Row],[Kredit Penyesuaian]]))</f>
        <v>0</v>
      </c>
      <c r="J31" s="23">
        <f>MAX(0,(buku_besar[[#This Row],[Kredit JU]]+buku_besar[[#This Row],[Kredit Penyesuaian]]-buku_besar[[#This Row],[Debit JU]]-buku_besar[[#This Row],[Debit Penyesuaian]]))</f>
        <v>394000000</v>
      </c>
      <c r="K31" s="58">
        <f>MAX(0,(SUMIF(jurnal_penutup[Akun],buku_besar[[#This Row],[Nama Akun]],jurnal_penutup[Debit (Rp)])))</f>
        <v>0</v>
      </c>
      <c r="L31" s="58">
        <f>MAX(0,(SUMIF(jurnal_penutup[Akun],buku_besar[[#This Row],[Nama Akun]],jurnal_penutup[Kredit (Rp)])))</f>
        <v>0</v>
      </c>
      <c r="M31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1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394000000</v>
      </c>
    </row>
    <row r="32" spans="1:14" x14ac:dyDescent="0.3">
      <c r="A32" t="s">
        <v>103</v>
      </c>
      <c r="B32" t="s">
        <v>104</v>
      </c>
      <c r="C32" t="s">
        <v>85</v>
      </c>
      <c r="D32" s="23" t="s">
        <v>78</v>
      </c>
      <c r="E32" s="23">
        <f>SUMIF(jurnal[Akun],buku_besar[[#This Row],[Nama Akun]],jurnal[Debit (Rp)])</f>
        <v>5000000</v>
      </c>
      <c r="F32" s="23">
        <f>SUMIF(jurnal[Akun],buku_besar[[#This Row],[Nama Akun]],jurnal[Kredit (Rp)])</f>
        <v>22000000</v>
      </c>
      <c r="G32" s="23">
        <f>SUMIF(jurnal_penyesuaian[Akun],buku_besar[[#This Row],[Nama Akun]],jurnal_penyesuaian[Debit (Rp)])</f>
        <v>0</v>
      </c>
      <c r="H32" s="23">
        <f>SUMIF(jurnal_penyesuaian[Akun],buku_besar[[#This Row],[Nama Akun]],jurnal_penyesuaian[Kredit (Rp)])</f>
        <v>0</v>
      </c>
      <c r="I32" s="23">
        <f>MAX(0,(buku_besar[[#This Row],[Debit JU]]+buku_besar[[#This Row],[Debit Penyesuaian]]-buku_besar[[#This Row],[Kredit JU]]-buku_besar[[#This Row],[Kredit Penyesuaian]]))</f>
        <v>0</v>
      </c>
      <c r="J32" s="23">
        <f>MAX(0,(buku_besar[[#This Row],[Kredit JU]]+buku_besar[[#This Row],[Kredit Penyesuaian]]-buku_besar[[#This Row],[Debit JU]]-buku_besar[[#This Row],[Debit Penyesuaian]]))</f>
        <v>17000000</v>
      </c>
      <c r="K32" s="58">
        <f>MAX(0,(SUMIF(jurnal_penutup[Akun],buku_besar[[#This Row],[Nama Akun]],jurnal_penutup[Debit (Rp)])))</f>
        <v>0</v>
      </c>
      <c r="L32" s="58">
        <f>MAX(0,(SUMIF(jurnal_penutup[Akun],buku_besar[[#This Row],[Nama Akun]],jurnal_penutup[Kredit (Rp)])))</f>
        <v>0</v>
      </c>
      <c r="M32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2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17000000</v>
      </c>
    </row>
    <row r="33" spans="1:14" x14ac:dyDescent="0.3">
      <c r="A33" t="s">
        <v>105</v>
      </c>
      <c r="B33" t="s">
        <v>106</v>
      </c>
      <c r="C33" t="s">
        <v>85</v>
      </c>
      <c r="D33" s="23" t="s">
        <v>78</v>
      </c>
      <c r="E33" s="23">
        <f>SUMIF(jurnal[Akun],buku_besar[[#This Row],[Nama Akun]],jurnal[Debit (Rp)])</f>
        <v>0</v>
      </c>
      <c r="F33" s="23">
        <f>SUMIF(jurnal[Akun],buku_besar[[#This Row],[Nama Akun]],jurnal[Kredit (Rp)])</f>
        <v>350000000</v>
      </c>
      <c r="G33" s="23">
        <f>SUMIF(jurnal_penyesuaian[Akun],buku_besar[[#This Row],[Nama Akun]],jurnal_penyesuaian[Debit (Rp)])</f>
        <v>0</v>
      </c>
      <c r="H33" s="23">
        <f>SUMIF(jurnal_penyesuaian[Akun],buku_besar[[#This Row],[Nama Akun]],jurnal_penyesuaian[Kredit (Rp)])</f>
        <v>0</v>
      </c>
      <c r="I33" s="23">
        <f>MAX(0,(buku_besar[[#This Row],[Debit JU]]+buku_besar[[#This Row],[Debit Penyesuaian]]-buku_besar[[#This Row],[Kredit JU]]-buku_besar[[#This Row],[Kredit Penyesuaian]]))</f>
        <v>0</v>
      </c>
      <c r="J33" s="23">
        <f>MAX(0,(buku_besar[[#This Row],[Kredit JU]]+buku_besar[[#This Row],[Kredit Penyesuaian]]-buku_besar[[#This Row],[Debit JU]]-buku_besar[[#This Row],[Debit Penyesuaian]]))</f>
        <v>350000000</v>
      </c>
      <c r="K33" s="58">
        <f>MAX(0,(SUMIF(jurnal_penutup[Akun],buku_besar[[#This Row],[Nama Akun]],jurnal_penutup[Debit (Rp)])))</f>
        <v>0</v>
      </c>
      <c r="L33" s="58">
        <f>MAX(0,(SUMIF(jurnal_penutup[Akun],buku_besar[[#This Row],[Nama Akun]],jurnal_penutup[Kredit (Rp)])))</f>
        <v>0</v>
      </c>
      <c r="M33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3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350000000</v>
      </c>
    </row>
    <row r="34" spans="1:14" x14ac:dyDescent="0.3">
      <c r="A34" t="s">
        <v>107</v>
      </c>
      <c r="B34" t="s">
        <v>108</v>
      </c>
      <c r="C34" t="s">
        <v>85</v>
      </c>
      <c r="D34" s="23" t="s">
        <v>78</v>
      </c>
      <c r="E34" s="23">
        <f>SUMIF(jurnal[Akun],buku_besar[[#This Row],[Nama Akun]],jurnal[Debit (Rp)])</f>
        <v>0</v>
      </c>
      <c r="F34" s="23">
        <f>SUMIF(jurnal[Akun],buku_besar[[#This Row],[Nama Akun]],jurnal[Kredit (Rp)])</f>
        <v>16000000</v>
      </c>
      <c r="G34" s="23">
        <f>SUMIF(jurnal_penyesuaian[Akun],buku_besar[[#This Row],[Nama Akun]],jurnal_penyesuaian[Debit (Rp)])</f>
        <v>5000000</v>
      </c>
      <c r="H34" s="23">
        <f>SUMIF(jurnal_penyesuaian[Akun],buku_besar[[#This Row],[Nama Akun]],jurnal_penyesuaian[Kredit (Rp)])</f>
        <v>0</v>
      </c>
      <c r="I34" s="23">
        <f>MAX(0,(buku_besar[[#This Row],[Debit JU]]+buku_besar[[#This Row],[Debit Penyesuaian]]-buku_besar[[#This Row],[Kredit JU]]-buku_besar[[#This Row],[Kredit Penyesuaian]]))</f>
        <v>0</v>
      </c>
      <c r="J34" s="23">
        <f>MAX(0,(buku_besar[[#This Row],[Kredit JU]]+buku_besar[[#This Row],[Kredit Penyesuaian]]-buku_besar[[#This Row],[Debit JU]]-buku_besar[[#This Row],[Debit Penyesuaian]]))</f>
        <v>11000000</v>
      </c>
      <c r="K34" s="58">
        <f>MAX(0,(SUMIF(jurnal_penutup[Akun],buku_besar[[#This Row],[Nama Akun]],jurnal_penutup[Debit (Rp)])))</f>
        <v>0</v>
      </c>
      <c r="L34" s="58">
        <f>MAX(0,(SUMIF(jurnal_penutup[Akun],buku_besar[[#This Row],[Nama Akun]],jurnal_penutup[Kredit (Rp)])))</f>
        <v>0</v>
      </c>
      <c r="M3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11000000</v>
      </c>
    </row>
    <row r="35" spans="1:14" x14ac:dyDescent="0.3">
      <c r="A35" t="s">
        <v>109</v>
      </c>
      <c r="B35" t="s">
        <v>110</v>
      </c>
      <c r="C35" t="s">
        <v>111</v>
      </c>
      <c r="D35" s="23" t="s">
        <v>78</v>
      </c>
      <c r="E35" s="23">
        <f>SUMIF(jurnal[Akun],buku_besar[[#This Row],[Nama Akun]],jurnal[Debit (Rp)])</f>
        <v>0</v>
      </c>
      <c r="F35" s="23">
        <f>SUMIF(jurnal[Akun],buku_besar[[#This Row],[Nama Akun]],jurnal[Kredit (Rp)])</f>
        <v>80000000</v>
      </c>
      <c r="G35" s="23">
        <f>SUMIF(jurnal_penyesuaian[Akun],buku_besar[[#This Row],[Nama Akun]],jurnal_penyesuaian[Debit (Rp)])</f>
        <v>0</v>
      </c>
      <c r="H35" s="23">
        <f>SUMIF(jurnal_penyesuaian[Akun],buku_besar[[#This Row],[Nama Akun]],jurnal_penyesuaian[Kredit (Rp)])</f>
        <v>0</v>
      </c>
      <c r="I35" s="23">
        <f>MAX(0,(buku_besar[[#This Row],[Debit JU]]+buku_besar[[#This Row],[Debit Penyesuaian]]-buku_besar[[#This Row],[Kredit JU]]-buku_besar[[#This Row],[Kredit Penyesuaian]]))</f>
        <v>0</v>
      </c>
      <c r="J35" s="23">
        <f>MAX(0,(buku_besar[[#This Row],[Kredit JU]]+buku_besar[[#This Row],[Kredit Penyesuaian]]-buku_besar[[#This Row],[Debit JU]]-buku_besar[[#This Row],[Debit Penyesuaian]]))</f>
        <v>80000000</v>
      </c>
      <c r="K35" s="58">
        <f>MAX(0,(SUMIF(jurnal_penutup[Akun],buku_besar[[#This Row],[Nama Akun]],jurnal_penutup[Debit (Rp)])))</f>
        <v>3000000</v>
      </c>
      <c r="L35" s="58">
        <f>MAX(0,(SUMIF(jurnal_penutup[Akun],buku_besar[[#This Row],[Nama Akun]],jurnal_penutup[Kredit (Rp)])))</f>
        <v>0</v>
      </c>
      <c r="M3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77000000</v>
      </c>
    </row>
    <row r="36" spans="1:14" x14ac:dyDescent="0.3">
      <c r="A36" t="s">
        <v>113</v>
      </c>
      <c r="B36" t="s">
        <v>114</v>
      </c>
      <c r="C36" t="s">
        <v>111</v>
      </c>
      <c r="D36" s="23" t="s">
        <v>78</v>
      </c>
      <c r="E36" s="23">
        <f>SUMIF(jurnal[Akun],buku_besar[[#This Row],[Nama Akun]],jurnal[Debit (Rp)])</f>
        <v>0</v>
      </c>
      <c r="F36" s="23">
        <f>SUMIF(jurnal[Akun],buku_besar[[#This Row],[Nama Akun]],jurnal[Kredit (Rp)])</f>
        <v>120000000</v>
      </c>
      <c r="G36" s="23">
        <f>SUMIF(jurnal_penyesuaian[Akun],buku_besar[[#This Row],[Nama Akun]],jurnal_penyesuaian[Debit (Rp)])</f>
        <v>0</v>
      </c>
      <c r="H36" s="23">
        <f>SUMIF(jurnal_penyesuaian[Akun],buku_besar[[#This Row],[Nama Akun]],jurnal_penyesuaian[Kredit (Rp)])</f>
        <v>0</v>
      </c>
      <c r="I36" s="23">
        <f>MAX(0,(buku_besar[[#This Row],[Debit JU]]+buku_besar[[#This Row],[Debit Penyesuaian]]-buku_besar[[#This Row],[Kredit JU]]-buku_besar[[#This Row],[Kredit Penyesuaian]]))</f>
        <v>0</v>
      </c>
      <c r="J36" s="23">
        <f>MAX(0,(buku_besar[[#This Row],[Kredit JU]]+buku_besar[[#This Row],[Kredit Penyesuaian]]-buku_besar[[#This Row],[Debit JU]]-buku_besar[[#This Row],[Debit Penyesuaian]]))</f>
        <v>120000000</v>
      </c>
      <c r="K36" s="58">
        <f>MAX(0,(SUMIF(jurnal_penutup[Akun],buku_besar[[#This Row],[Nama Akun]],jurnal_penutup[Debit (Rp)])))</f>
        <v>0</v>
      </c>
      <c r="L36" s="58">
        <f>MAX(0,(SUMIF(jurnal_penutup[Akun],buku_besar[[#This Row],[Nama Akun]],jurnal_penutup[Kredit (Rp)])))</f>
        <v>0</v>
      </c>
      <c r="M3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120000000</v>
      </c>
    </row>
    <row r="37" spans="1:14" x14ac:dyDescent="0.3">
      <c r="A37" t="s">
        <v>115</v>
      </c>
      <c r="B37" t="s">
        <v>116</v>
      </c>
      <c r="C37" t="s">
        <v>111</v>
      </c>
      <c r="D37" s="23" t="s">
        <v>78</v>
      </c>
      <c r="E37" s="23">
        <f>SUMIF(jurnal[Akun],buku_besar[[#This Row],[Nama Akun]],jurnal[Debit (Rp)])</f>
        <v>0</v>
      </c>
      <c r="F37" s="23">
        <f>SUMIF(jurnal[Akun],buku_besar[[#This Row],[Nama Akun]],jurnal[Kredit (Rp)])</f>
        <v>25000000</v>
      </c>
      <c r="G37" s="23">
        <f>SUMIF(jurnal_penyesuaian[Akun],buku_besar[[#This Row],[Nama Akun]],jurnal_penyesuaian[Debit (Rp)])</f>
        <v>0</v>
      </c>
      <c r="H37" s="23">
        <f>SUMIF(jurnal_penyesuaian[Akun],buku_besar[[#This Row],[Nama Akun]],jurnal_penyesuaian[Kredit (Rp)])</f>
        <v>0</v>
      </c>
      <c r="I37" s="23">
        <f>MAX(0,(buku_besar[[#This Row],[Debit JU]]+buku_besar[[#This Row],[Debit Penyesuaian]]-buku_besar[[#This Row],[Kredit JU]]-buku_besar[[#This Row],[Kredit Penyesuaian]]))</f>
        <v>0</v>
      </c>
      <c r="J37" s="23">
        <f>MAX(0,(buku_besar[[#This Row],[Kredit JU]]+buku_besar[[#This Row],[Kredit Penyesuaian]]-buku_besar[[#This Row],[Debit JU]]-buku_besar[[#This Row],[Debit Penyesuaian]]))</f>
        <v>25000000</v>
      </c>
      <c r="K37" s="58">
        <f>MAX(0,(SUMIF(jurnal_penutup[Akun],buku_besar[[#This Row],[Nama Akun]],jurnal_penutup[Debit (Rp)])))</f>
        <v>0</v>
      </c>
      <c r="L37" s="58">
        <f>MAX(0,(SUMIF(jurnal_penutup[Akun],buku_besar[[#This Row],[Nama Akun]],jurnal_penutup[Kredit (Rp)])))</f>
        <v>0</v>
      </c>
      <c r="M3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25000000</v>
      </c>
    </row>
    <row r="38" spans="1:14" x14ac:dyDescent="0.3">
      <c r="A38" t="s">
        <v>117</v>
      </c>
      <c r="B38" t="s">
        <v>118</v>
      </c>
      <c r="C38" t="s">
        <v>111</v>
      </c>
      <c r="D38" s="23" t="s">
        <v>78</v>
      </c>
      <c r="E38" s="23">
        <f>SUMIF(jurnal[Akun],buku_besar[[#This Row],[Nama Akun]],jurnal[Debit (Rp)])</f>
        <v>0</v>
      </c>
      <c r="F38" s="23">
        <f>SUMIF(jurnal[Akun],buku_besar[[#This Row],[Nama Akun]],jurnal[Kredit (Rp)])</f>
        <v>18000000</v>
      </c>
      <c r="G38" s="23">
        <f>SUMIF(jurnal_penyesuaian[Akun],buku_besar[[#This Row],[Nama Akun]],jurnal_penyesuaian[Debit (Rp)])</f>
        <v>0</v>
      </c>
      <c r="H38" s="23">
        <f>SUMIF(jurnal_penyesuaian[Akun],buku_besar[[#This Row],[Nama Akun]],jurnal_penyesuaian[Kredit (Rp)])</f>
        <v>0</v>
      </c>
      <c r="I38" s="23">
        <f>MAX(0,(buku_besar[[#This Row],[Debit JU]]+buku_besar[[#This Row],[Debit Penyesuaian]]-buku_besar[[#This Row],[Kredit JU]]-buku_besar[[#This Row],[Kredit Penyesuaian]]))</f>
        <v>0</v>
      </c>
      <c r="J38" s="23">
        <f>MAX(0,(buku_besar[[#This Row],[Kredit JU]]+buku_besar[[#This Row],[Kredit Penyesuaian]]-buku_besar[[#This Row],[Debit JU]]-buku_besar[[#This Row],[Debit Penyesuaian]]))</f>
        <v>18000000</v>
      </c>
      <c r="K38" s="58">
        <f>MAX(0,(SUMIF(jurnal_penutup[Akun],buku_besar[[#This Row],[Nama Akun]],jurnal_penutup[Debit (Rp)])))</f>
        <v>0</v>
      </c>
      <c r="L38" s="58">
        <f>MAX(0,(SUMIF(jurnal_penutup[Akun],buku_besar[[#This Row],[Nama Akun]],jurnal_penutup[Kredit (Rp)])))</f>
        <v>0</v>
      </c>
      <c r="M38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8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18000000</v>
      </c>
    </row>
    <row r="39" spans="1:14" x14ac:dyDescent="0.3">
      <c r="A39" t="s">
        <v>119</v>
      </c>
      <c r="B39" t="s">
        <v>120</v>
      </c>
      <c r="C39" t="s">
        <v>121</v>
      </c>
      <c r="D39" s="23" t="s">
        <v>42</v>
      </c>
      <c r="E39" s="23">
        <f>SUMIF(jurnal[Akun],buku_besar[[#This Row],[Nama Akun]],jurnal[Debit (Rp)])</f>
        <v>3000000</v>
      </c>
      <c r="F39" s="23">
        <f>SUMIF(jurnal[Akun],buku_besar[[#This Row],[Nama Akun]],jurnal[Kredit (Rp)])</f>
        <v>0</v>
      </c>
      <c r="G39" s="23">
        <f>SUMIF(jurnal_penyesuaian[Akun],buku_besar[[#This Row],[Nama Akun]],jurnal_penyesuaian[Debit (Rp)])</f>
        <v>0</v>
      </c>
      <c r="H39" s="23">
        <f>SUMIF(jurnal_penyesuaian[Akun],buku_besar[[#This Row],[Nama Akun]],jurnal_penyesuaian[Kredit (Rp)])</f>
        <v>0</v>
      </c>
      <c r="I39" s="23">
        <f>MAX(0,(buku_besar[[#This Row],[Debit JU]]+buku_besar[[#This Row],[Debit Penyesuaian]]-buku_besar[[#This Row],[Kredit JU]]-buku_besar[[#This Row],[Kredit Penyesuaian]]))</f>
        <v>3000000</v>
      </c>
      <c r="J39" s="23">
        <f>MAX(0,(buku_besar[[#This Row],[Kredit JU]]+buku_besar[[#This Row],[Kredit Penyesuaian]]-buku_besar[[#This Row],[Debit JU]]-buku_besar[[#This Row],[Debit Penyesuaian]]))</f>
        <v>0</v>
      </c>
      <c r="K39" s="58">
        <f>MAX(0,(SUMIF(jurnal_penutup[Akun],buku_besar[[#This Row],[Nama Akun]],jurnal_penutup[Debit (Rp)])))</f>
        <v>0</v>
      </c>
      <c r="L39" s="58">
        <f>MAX(0,(SUMIF(jurnal_penutup[Akun],buku_besar[[#This Row],[Nama Akun]],jurnal_penutup[Kredit (Rp)])))</f>
        <v>3000000</v>
      </c>
      <c r="M39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39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0" spans="1:14" x14ac:dyDescent="0.3">
      <c r="A40" t="s">
        <v>122</v>
      </c>
      <c r="B40" t="s">
        <v>123</v>
      </c>
      <c r="C40" t="s">
        <v>111</v>
      </c>
      <c r="D40" s="23" t="s">
        <v>78</v>
      </c>
      <c r="E40" s="23">
        <f>SUMIF(jurnal[Akun],buku_besar[[#This Row],[Nama Akun]],jurnal[Debit (Rp)])</f>
        <v>18000000</v>
      </c>
      <c r="F40" s="23">
        <f>SUMIF(jurnal[Akun],buku_besar[[#This Row],[Nama Akun]],jurnal[Kredit (Rp)])</f>
        <v>0</v>
      </c>
      <c r="G40" s="23">
        <f>SUMIF(jurnal_penyesuaian[Akun],buku_besar[[#This Row],[Nama Akun]],jurnal_penyesuaian[Debit (Rp)])</f>
        <v>0</v>
      </c>
      <c r="H40" s="23">
        <f>SUMIF(jurnal_penyesuaian[Akun],buku_besar[[#This Row],[Nama Akun]],jurnal_penyesuaian[Kredit (Rp)])</f>
        <v>0</v>
      </c>
      <c r="I40" s="23">
        <f>MAX(0,(buku_besar[[#This Row],[Debit JU]]+buku_besar[[#This Row],[Debit Penyesuaian]]-buku_besar[[#This Row],[Kredit JU]]-buku_besar[[#This Row],[Kredit Penyesuaian]]))</f>
        <v>18000000</v>
      </c>
      <c r="J40" s="23">
        <f>MAX(0,(buku_besar[[#This Row],[Kredit JU]]+buku_besar[[#This Row],[Kredit Penyesuaian]]-buku_besar[[#This Row],[Debit JU]]-buku_besar[[#This Row],[Debit Penyesuaian]]))</f>
        <v>0</v>
      </c>
      <c r="K40" s="58">
        <f>MAX(0,(SUMIF(jurnal_penutup[Akun],buku_besar[[#This Row],[Nama Akun]],jurnal_penutup[Debit (Rp)])))</f>
        <v>53500000</v>
      </c>
      <c r="L40" s="58">
        <f>MAX(0,(SUMIF(jurnal_penutup[Akun],buku_besar[[#This Row],[Nama Akun]],jurnal_penutup[Kredit (Rp)])))</f>
        <v>68850000</v>
      </c>
      <c r="M40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2650000</v>
      </c>
      <c r="N40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1" spans="1:14" x14ac:dyDescent="0.3">
      <c r="A41" t="s">
        <v>124</v>
      </c>
      <c r="B41" t="s">
        <v>125</v>
      </c>
      <c r="C41" t="s">
        <v>126</v>
      </c>
      <c r="D41" s="23" t="s">
        <v>78</v>
      </c>
      <c r="E41" s="23">
        <f>SUMIF(jurnal[Akun],buku_besar[[#This Row],[Nama Akun]],jurnal[Debit (Rp)])</f>
        <v>0</v>
      </c>
      <c r="F41" s="23">
        <f>SUMIF(jurnal[Akun],buku_besar[[#This Row],[Nama Akun]],jurnal[Kredit (Rp)])</f>
        <v>14000000</v>
      </c>
      <c r="G41" s="23">
        <f>SUMIF(jurnal_penyesuaian[Akun],buku_besar[[#This Row],[Nama Akun]],jurnal_penyesuaian[Debit (Rp)])</f>
        <v>0</v>
      </c>
      <c r="H41" s="23">
        <f>SUMIF(jurnal_penyesuaian[Akun],buku_besar[[#This Row],[Nama Akun]],jurnal_penyesuaian[Kredit (Rp)])</f>
        <v>5000000</v>
      </c>
      <c r="I41" s="23">
        <f>MAX(0,(buku_besar[[#This Row],[Debit JU]]+buku_besar[[#This Row],[Debit Penyesuaian]]-buku_besar[[#This Row],[Kredit JU]]-buku_besar[[#This Row],[Kredit Penyesuaian]]))</f>
        <v>0</v>
      </c>
      <c r="J41" s="23">
        <f>MAX(0,(buku_besar[[#This Row],[Kredit JU]]+buku_besar[[#This Row],[Kredit Penyesuaian]]-buku_besar[[#This Row],[Debit JU]]-buku_besar[[#This Row],[Debit Penyesuaian]]))</f>
        <v>19000000</v>
      </c>
      <c r="K41" s="58">
        <f>MAX(0,(SUMIF(jurnal_penutup[Akun],buku_besar[[#This Row],[Nama Akun]],jurnal_penutup[Debit (Rp)])))</f>
        <v>19000000</v>
      </c>
      <c r="L41" s="58">
        <f>MAX(0,(SUMIF(jurnal_penutup[Akun],buku_besar[[#This Row],[Nama Akun]],jurnal_penutup[Kredit (Rp)])))</f>
        <v>0</v>
      </c>
      <c r="M41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1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2" spans="1:14" x14ac:dyDescent="0.3">
      <c r="A42" t="s">
        <v>128</v>
      </c>
      <c r="B42" t="s">
        <v>129</v>
      </c>
      <c r="C42" t="s">
        <v>126</v>
      </c>
      <c r="D42" s="23" t="s">
        <v>78</v>
      </c>
      <c r="E42" s="23">
        <f>SUMIF(jurnal[Akun],buku_besar[[#This Row],[Nama Akun]],jurnal[Debit (Rp)])</f>
        <v>0</v>
      </c>
      <c r="F42" s="23">
        <f>SUMIF(jurnal[Akun],buku_besar[[#This Row],[Nama Akun]],jurnal[Kredit (Rp)])</f>
        <v>28000000</v>
      </c>
      <c r="G42" s="23">
        <f>SUMIF(jurnal_penyesuaian[Akun],buku_besar[[#This Row],[Nama Akun]],jurnal_penyesuaian[Debit (Rp)])</f>
        <v>0</v>
      </c>
      <c r="H42" s="23">
        <f>SUMIF(jurnal_penyesuaian[Akun],buku_besar[[#This Row],[Nama Akun]],jurnal_penyesuaian[Kredit (Rp)])</f>
        <v>0</v>
      </c>
      <c r="I42" s="23">
        <f>MAX(0,(buku_besar[[#This Row],[Debit JU]]+buku_besar[[#This Row],[Debit Penyesuaian]]-buku_besar[[#This Row],[Kredit JU]]-buku_besar[[#This Row],[Kredit Penyesuaian]]))</f>
        <v>0</v>
      </c>
      <c r="J42" s="23">
        <f>MAX(0,(buku_besar[[#This Row],[Kredit JU]]+buku_besar[[#This Row],[Kredit Penyesuaian]]-buku_besar[[#This Row],[Debit JU]]-buku_besar[[#This Row],[Debit Penyesuaian]]))</f>
        <v>28000000</v>
      </c>
      <c r="K42" s="58">
        <f>MAX(0,(SUMIF(jurnal_penutup[Akun],buku_besar[[#This Row],[Nama Akun]],jurnal_penutup[Debit (Rp)])))</f>
        <v>28000000</v>
      </c>
      <c r="L42" s="58">
        <f>MAX(0,(SUMIF(jurnal_penutup[Akun],buku_besar[[#This Row],[Nama Akun]],jurnal_penutup[Kredit (Rp)])))</f>
        <v>0</v>
      </c>
      <c r="M42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2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3" spans="1:14" x14ac:dyDescent="0.3">
      <c r="A43" t="s">
        <v>130</v>
      </c>
      <c r="B43" t="s">
        <v>131</v>
      </c>
      <c r="C43" t="s">
        <v>126</v>
      </c>
      <c r="D43" s="23" t="s">
        <v>78</v>
      </c>
      <c r="E43" s="23">
        <f>SUMIF(jurnal[Akun],buku_besar[[#This Row],[Nama Akun]],jurnal[Debit (Rp)])</f>
        <v>0</v>
      </c>
      <c r="F43" s="23">
        <f>SUMIF(jurnal[Akun],buku_besar[[#This Row],[Nama Akun]],jurnal[Kredit (Rp)])</f>
        <v>3400000</v>
      </c>
      <c r="G43" s="23">
        <f>SUMIF(jurnal_penyesuaian[Akun],buku_besar[[#This Row],[Nama Akun]],jurnal_penyesuaian[Debit (Rp)])</f>
        <v>0</v>
      </c>
      <c r="H43" s="23">
        <f>SUMIF(jurnal_penyesuaian[Akun],buku_besar[[#This Row],[Nama Akun]],jurnal_penyesuaian[Kredit (Rp)])</f>
        <v>0</v>
      </c>
      <c r="I43" s="23">
        <f>MAX(0,(buku_besar[[#This Row],[Debit JU]]+buku_besar[[#This Row],[Debit Penyesuaian]]-buku_besar[[#This Row],[Kredit JU]]-buku_besar[[#This Row],[Kredit Penyesuaian]]))</f>
        <v>0</v>
      </c>
      <c r="J43" s="23">
        <f>MAX(0,(buku_besar[[#This Row],[Kredit JU]]+buku_besar[[#This Row],[Kredit Penyesuaian]]-buku_besar[[#This Row],[Debit JU]]-buku_besar[[#This Row],[Debit Penyesuaian]]))</f>
        <v>3400000</v>
      </c>
      <c r="K43" s="58">
        <f>MAX(0,(SUMIF(jurnal_penutup[Akun],buku_besar[[#This Row],[Nama Akun]],jurnal_penutup[Debit (Rp)])))</f>
        <v>3400000</v>
      </c>
      <c r="L43" s="58">
        <f>MAX(0,(SUMIF(jurnal_penutup[Akun],buku_besar[[#This Row],[Nama Akun]],jurnal_penutup[Kredit (Rp)])))</f>
        <v>0</v>
      </c>
      <c r="M43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3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4" spans="1:14" x14ac:dyDescent="0.3">
      <c r="A44" t="s">
        <v>132</v>
      </c>
      <c r="B44" t="s">
        <v>133</v>
      </c>
      <c r="C44" t="s">
        <v>126</v>
      </c>
      <c r="D44" s="23" t="s">
        <v>78</v>
      </c>
      <c r="E44" s="23">
        <f>SUMIF(jurnal[Akun],buku_besar[[#This Row],[Nama Akun]],jurnal[Debit (Rp)])</f>
        <v>0</v>
      </c>
      <c r="F44" s="23">
        <f>SUMIF(jurnal[Akun],buku_besar[[#This Row],[Nama Akun]],jurnal[Kredit (Rp)])</f>
        <v>1200000</v>
      </c>
      <c r="G44" s="23">
        <f>SUMIF(jurnal_penyesuaian[Akun],buku_besar[[#This Row],[Nama Akun]],jurnal_penyesuaian[Debit (Rp)])</f>
        <v>0</v>
      </c>
      <c r="H44" s="23">
        <f>SUMIF(jurnal_penyesuaian[Akun],buku_besar[[#This Row],[Nama Akun]],jurnal_penyesuaian[Kredit (Rp)])</f>
        <v>0</v>
      </c>
      <c r="I44" s="23">
        <f>MAX(0,(buku_besar[[#This Row],[Debit JU]]+buku_besar[[#This Row],[Debit Penyesuaian]]-buku_besar[[#This Row],[Kredit JU]]-buku_besar[[#This Row],[Kredit Penyesuaian]]))</f>
        <v>0</v>
      </c>
      <c r="J44" s="23">
        <f>MAX(0,(buku_besar[[#This Row],[Kredit JU]]+buku_besar[[#This Row],[Kredit Penyesuaian]]-buku_besar[[#This Row],[Debit JU]]-buku_besar[[#This Row],[Debit Penyesuaian]]))</f>
        <v>1200000</v>
      </c>
      <c r="K44" s="58">
        <f>MAX(0,(SUMIF(jurnal_penutup[Akun],buku_besar[[#This Row],[Nama Akun]],jurnal_penutup[Debit (Rp)])))</f>
        <v>1200000</v>
      </c>
      <c r="L44" s="58">
        <f>MAX(0,(SUMIF(jurnal_penutup[Akun],buku_besar[[#This Row],[Nama Akun]],jurnal_penutup[Kredit (Rp)])))</f>
        <v>0</v>
      </c>
      <c r="M4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5" spans="1:14" x14ac:dyDescent="0.3">
      <c r="A45" t="s">
        <v>134</v>
      </c>
      <c r="B45" t="s">
        <v>135</v>
      </c>
      <c r="C45" t="s">
        <v>126</v>
      </c>
      <c r="D45" s="23" t="s">
        <v>78</v>
      </c>
      <c r="E45" s="23">
        <f>SUMIF(jurnal[Akun],buku_besar[[#This Row],[Nama Akun]],jurnal[Debit (Rp)])</f>
        <v>0</v>
      </c>
      <c r="F45" s="23">
        <f>SUMIF(jurnal[Akun],buku_besar[[#This Row],[Nama Akun]],jurnal[Kredit (Rp)])</f>
        <v>9000000</v>
      </c>
      <c r="G45" s="23">
        <f>SUMIF(jurnal_penyesuaian[Akun],buku_besar[[#This Row],[Nama Akun]],jurnal_penyesuaian[Debit (Rp)])</f>
        <v>0</v>
      </c>
      <c r="H45" s="23">
        <f>SUMIF(jurnal_penyesuaian[Akun],buku_besar[[#This Row],[Nama Akun]],jurnal_penyesuaian[Kredit (Rp)])</f>
        <v>0</v>
      </c>
      <c r="I45" s="23">
        <f>MAX(0,(buku_besar[[#This Row],[Debit JU]]+buku_besar[[#This Row],[Debit Penyesuaian]]-buku_besar[[#This Row],[Kredit JU]]-buku_besar[[#This Row],[Kredit Penyesuaian]]))</f>
        <v>0</v>
      </c>
      <c r="J45" s="23">
        <f>MAX(0,(buku_besar[[#This Row],[Kredit JU]]+buku_besar[[#This Row],[Kredit Penyesuaian]]-buku_besar[[#This Row],[Debit JU]]-buku_besar[[#This Row],[Debit Penyesuaian]]))</f>
        <v>9000000</v>
      </c>
      <c r="K45" s="58">
        <f>MAX(0,(SUMIF(jurnal_penutup[Akun],buku_besar[[#This Row],[Nama Akun]],jurnal_penutup[Debit (Rp)])))</f>
        <v>9000000</v>
      </c>
      <c r="L45" s="58">
        <f>MAX(0,(SUMIF(jurnal_penutup[Akun],buku_besar[[#This Row],[Nama Akun]],jurnal_penutup[Kredit (Rp)])))</f>
        <v>0</v>
      </c>
      <c r="M4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6" spans="1:14" x14ac:dyDescent="0.3">
      <c r="A46" t="s">
        <v>136</v>
      </c>
      <c r="B46" t="s">
        <v>137</v>
      </c>
      <c r="C46" t="s">
        <v>126</v>
      </c>
      <c r="D46" s="23" t="s">
        <v>78</v>
      </c>
      <c r="E46" s="23">
        <f>SUMIF(jurnal[Akun],buku_besar[[#This Row],[Nama Akun]],jurnal[Debit (Rp)])</f>
        <v>0</v>
      </c>
      <c r="F46" s="23">
        <f>SUMIF(jurnal[Akun],buku_besar[[#This Row],[Nama Akun]],jurnal[Kredit (Rp)])</f>
        <v>5500000</v>
      </c>
      <c r="G46" s="23">
        <f>SUMIF(jurnal_penyesuaian[Akun],buku_besar[[#This Row],[Nama Akun]],jurnal_penyesuaian[Debit (Rp)])</f>
        <v>0</v>
      </c>
      <c r="H46" s="23">
        <f>SUMIF(jurnal_penyesuaian[Akun],buku_besar[[#This Row],[Nama Akun]],jurnal_penyesuaian[Kredit (Rp)])</f>
        <v>0</v>
      </c>
      <c r="I46" s="23">
        <f>MAX(0,(buku_besar[[#This Row],[Debit JU]]+buku_besar[[#This Row],[Debit Penyesuaian]]-buku_besar[[#This Row],[Kredit JU]]-buku_besar[[#This Row],[Kredit Penyesuaian]]))</f>
        <v>0</v>
      </c>
      <c r="J46" s="23">
        <f>MAX(0,(buku_besar[[#This Row],[Kredit JU]]+buku_besar[[#This Row],[Kredit Penyesuaian]]-buku_besar[[#This Row],[Debit JU]]-buku_besar[[#This Row],[Debit Penyesuaian]]))</f>
        <v>5500000</v>
      </c>
      <c r="K46" s="58">
        <f>MAX(0,(SUMIF(jurnal_penutup[Akun],buku_besar[[#This Row],[Nama Akun]],jurnal_penutup[Debit (Rp)])))</f>
        <v>5500000</v>
      </c>
      <c r="L46" s="58">
        <f>MAX(0,(SUMIF(jurnal_penutup[Akun],buku_besar[[#This Row],[Nama Akun]],jurnal_penutup[Kredit (Rp)])))</f>
        <v>0</v>
      </c>
      <c r="M4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7" spans="1:14" x14ac:dyDescent="0.3">
      <c r="A47" t="s">
        <v>138</v>
      </c>
      <c r="B47" t="s">
        <v>139</v>
      </c>
      <c r="C47" t="s">
        <v>126</v>
      </c>
      <c r="D47" s="23" t="s">
        <v>78</v>
      </c>
      <c r="E47" s="23">
        <f>SUMIF(jurnal[Akun],buku_besar[[#This Row],[Nama Akun]],jurnal[Debit (Rp)])</f>
        <v>0</v>
      </c>
      <c r="F47" s="23">
        <f>SUMIF(jurnal[Akun],buku_besar[[#This Row],[Nama Akun]],jurnal[Kredit (Rp)])</f>
        <v>2750000</v>
      </c>
      <c r="G47" s="23">
        <f>SUMIF(jurnal_penyesuaian[Akun],buku_besar[[#This Row],[Nama Akun]],jurnal_penyesuaian[Debit (Rp)])</f>
        <v>0</v>
      </c>
      <c r="H47" s="23">
        <f>SUMIF(jurnal_penyesuaian[Akun],buku_besar[[#This Row],[Nama Akun]],jurnal_penyesuaian[Kredit (Rp)])</f>
        <v>0</v>
      </c>
      <c r="I47" s="23">
        <f>MAX(0,(buku_besar[[#This Row],[Debit JU]]+buku_besar[[#This Row],[Debit Penyesuaian]]-buku_besar[[#This Row],[Kredit JU]]-buku_besar[[#This Row],[Kredit Penyesuaian]]))</f>
        <v>0</v>
      </c>
      <c r="J47" s="23">
        <f>MAX(0,(buku_besar[[#This Row],[Kredit JU]]+buku_besar[[#This Row],[Kredit Penyesuaian]]-buku_besar[[#This Row],[Debit JU]]-buku_besar[[#This Row],[Debit Penyesuaian]]))</f>
        <v>2750000</v>
      </c>
      <c r="K47" s="58">
        <f>MAX(0,(SUMIF(jurnal_penutup[Akun],buku_besar[[#This Row],[Nama Akun]],jurnal_penutup[Debit (Rp)])))</f>
        <v>2750000</v>
      </c>
      <c r="L47" s="58">
        <f>MAX(0,(SUMIF(jurnal_penutup[Akun],buku_besar[[#This Row],[Nama Akun]],jurnal_penutup[Kredit (Rp)])))</f>
        <v>0</v>
      </c>
      <c r="M4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8" spans="1:14" x14ac:dyDescent="0.3">
      <c r="A48" t="s">
        <v>140</v>
      </c>
      <c r="B48" t="s">
        <v>141</v>
      </c>
      <c r="C48" t="s">
        <v>142</v>
      </c>
      <c r="D48" s="23" t="s">
        <v>42</v>
      </c>
      <c r="E48" s="23">
        <f>SUMIF(jurnal[Akun],buku_besar[[#This Row],[Nama Akun]],jurnal[Debit (Rp)])</f>
        <v>12000000</v>
      </c>
      <c r="F48" s="23">
        <f>SUMIF(jurnal[Akun],buku_besar[[#This Row],[Nama Akun]],jurnal[Kredit (Rp)])</f>
        <v>0</v>
      </c>
      <c r="G48" s="23">
        <f>SUMIF(jurnal_penyesuaian[Akun],buku_besar[[#This Row],[Nama Akun]],jurnal_penyesuaian[Debit (Rp)])</f>
        <v>2000000</v>
      </c>
      <c r="H48" s="23">
        <f>SUMIF(jurnal_penyesuaian[Akun],buku_besar[[#This Row],[Nama Akun]],jurnal_penyesuaian[Kredit (Rp)])</f>
        <v>0</v>
      </c>
      <c r="I48" s="23">
        <f>MAX(0,(buku_besar[[#This Row],[Debit JU]]+buku_besar[[#This Row],[Debit Penyesuaian]]-buku_besar[[#This Row],[Kredit JU]]-buku_besar[[#This Row],[Kredit Penyesuaian]]))</f>
        <v>14000000</v>
      </c>
      <c r="J48" s="23">
        <f>MAX(0,(buku_besar[[#This Row],[Kredit JU]]+buku_besar[[#This Row],[Kredit Penyesuaian]]-buku_besar[[#This Row],[Debit JU]]-buku_besar[[#This Row],[Debit Penyesuaian]]))</f>
        <v>0</v>
      </c>
      <c r="K48" s="58">
        <f>MAX(0,(SUMIF(jurnal_penutup[Akun],buku_besar[[#This Row],[Nama Akun]],jurnal_penutup[Debit (Rp)])))</f>
        <v>0</v>
      </c>
      <c r="L48" s="58">
        <f>MAX(0,(SUMIF(jurnal_penutup[Akun],buku_besar[[#This Row],[Nama Akun]],jurnal_penutup[Kredit (Rp)])))</f>
        <v>14000000</v>
      </c>
      <c r="M48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8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49" spans="1:14" x14ac:dyDescent="0.3">
      <c r="A49" t="s">
        <v>144</v>
      </c>
      <c r="B49" t="s">
        <v>145</v>
      </c>
      <c r="C49" t="s">
        <v>142</v>
      </c>
      <c r="D49" s="23" t="s">
        <v>42</v>
      </c>
      <c r="E49" s="23">
        <f>SUMIF(jurnal[Akun],buku_besar[[#This Row],[Nama Akun]],jurnal[Debit (Rp)])</f>
        <v>4200000</v>
      </c>
      <c r="F49" s="23">
        <f>SUMIF(jurnal[Akun],buku_besar[[#This Row],[Nama Akun]],jurnal[Kredit (Rp)])</f>
        <v>0</v>
      </c>
      <c r="G49" s="23">
        <f>SUMIF(jurnal_penyesuaian[Akun],buku_besar[[#This Row],[Nama Akun]],jurnal_penyesuaian[Debit (Rp)])</f>
        <v>0</v>
      </c>
      <c r="H49" s="23">
        <f>SUMIF(jurnal_penyesuaian[Akun],buku_besar[[#This Row],[Nama Akun]],jurnal_penyesuaian[Kredit (Rp)])</f>
        <v>0</v>
      </c>
      <c r="I49" s="23">
        <f>MAX(0,(buku_besar[[#This Row],[Debit JU]]+buku_besar[[#This Row],[Debit Penyesuaian]]-buku_besar[[#This Row],[Kredit JU]]-buku_besar[[#This Row],[Kredit Penyesuaian]]))</f>
        <v>4200000</v>
      </c>
      <c r="J49" s="23">
        <f>MAX(0,(buku_besar[[#This Row],[Kredit JU]]+buku_besar[[#This Row],[Kredit Penyesuaian]]-buku_besar[[#This Row],[Debit JU]]-buku_besar[[#This Row],[Debit Penyesuaian]]))</f>
        <v>0</v>
      </c>
      <c r="K49" s="58">
        <f>MAX(0,(SUMIF(jurnal_penutup[Akun],buku_besar[[#This Row],[Nama Akun]],jurnal_penutup[Debit (Rp)])))</f>
        <v>0</v>
      </c>
      <c r="L49" s="58">
        <f>MAX(0,(SUMIF(jurnal_penutup[Akun],buku_besar[[#This Row],[Nama Akun]],jurnal_penutup[Kredit (Rp)])))</f>
        <v>4200000</v>
      </c>
      <c r="M49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49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0" spans="1:14" x14ac:dyDescent="0.3">
      <c r="A50" t="s">
        <v>146</v>
      </c>
      <c r="B50" t="s">
        <v>147</v>
      </c>
      <c r="C50" t="s">
        <v>142</v>
      </c>
      <c r="D50" s="23" t="s">
        <v>42</v>
      </c>
      <c r="E50" s="23">
        <f>SUMIF(jurnal[Akun],buku_besar[[#This Row],[Nama Akun]],jurnal[Debit (Rp)])</f>
        <v>4000000</v>
      </c>
      <c r="F50" s="23">
        <f>SUMIF(jurnal[Akun],buku_besar[[#This Row],[Nama Akun]],jurnal[Kredit (Rp)])</f>
        <v>0</v>
      </c>
      <c r="G50" s="23">
        <f>SUMIF(jurnal_penyesuaian[Akun],buku_besar[[#This Row],[Nama Akun]],jurnal_penyesuaian[Debit (Rp)])</f>
        <v>4000000</v>
      </c>
      <c r="H50" s="23">
        <f>SUMIF(jurnal_penyesuaian[Akun],buku_besar[[#This Row],[Nama Akun]],jurnal_penyesuaian[Kredit (Rp)])</f>
        <v>0</v>
      </c>
      <c r="I50" s="23">
        <f>MAX(0,(buku_besar[[#This Row],[Debit JU]]+buku_besar[[#This Row],[Debit Penyesuaian]]-buku_besar[[#This Row],[Kredit JU]]-buku_besar[[#This Row],[Kredit Penyesuaian]]))</f>
        <v>8000000</v>
      </c>
      <c r="J50" s="23">
        <f>MAX(0,(buku_besar[[#This Row],[Kredit JU]]+buku_besar[[#This Row],[Kredit Penyesuaian]]-buku_besar[[#This Row],[Debit JU]]-buku_besar[[#This Row],[Debit Penyesuaian]]))</f>
        <v>0</v>
      </c>
      <c r="K50" s="58">
        <f>MAX(0,(SUMIF(jurnal_penutup[Akun],buku_besar[[#This Row],[Nama Akun]],jurnal_penutup[Debit (Rp)])))</f>
        <v>0</v>
      </c>
      <c r="L50" s="58">
        <f>MAX(0,(SUMIF(jurnal_penutup[Akun],buku_besar[[#This Row],[Nama Akun]],jurnal_penutup[Kredit (Rp)])))</f>
        <v>8000000</v>
      </c>
      <c r="M50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0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1" spans="1:14" x14ac:dyDescent="0.3">
      <c r="A51" t="s">
        <v>148</v>
      </c>
      <c r="B51" t="s">
        <v>149</v>
      </c>
      <c r="C51" t="s">
        <v>142</v>
      </c>
      <c r="D51" s="23" t="s">
        <v>42</v>
      </c>
      <c r="E51" s="23">
        <f>SUMIF(jurnal[Akun],buku_besar[[#This Row],[Nama Akun]],jurnal[Debit (Rp)])</f>
        <v>1750000</v>
      </c>
      <c r="F51" s="23">
        <f>SUMIF(jurnal[Akun],buku_besar[[#This Row],[Nama Akun]],jurnal[Kredit (Rp)])</f>
        <v>0</v>
      </c>
      <c r="G51" s="23">
        <f>SUMIF(jurnal_penyesuaian[Akun],buku_besar[[#This Row],[Nama Akun]],jurnal_penyesuaian[Debit (Rp)])</f>
        <v>0</v>
      </c>
      <c r="H51" s="23">
        <f>SUMIF(jurnal_penyesuaian[Akun],buku_besar[[#This Row],[Nama Akun]],jurnal_penyesuaian[Kredit (Rp)])</f>
        <v>0</v>
      </c>
      <c r="I51" s="23">
        <f>MAX(0,(buku_besar[[#This Row],[Debit JU]]+buku_besar[[#This Row],[Debit Penyesuaian]]-buku_besar[[#This Row],[Kredit JU]]-buku_besar[[#This Row],[Kredit Penyesuaian]]))</f>
        <v>1750000</v>
      </c>
      <c r="J51" s="23">
        <f>MAX(0,(buku_besar[[#This Row],[Kredit JU]]+buku_besar[[#This Row],[Kredit Penyesuaian]]-buku_besar[[#This Row],[Debit JU]]-buku_besar[[#This Row],[Debit Penyesuaian]]))</f>
        <v>0</v>
      </c>
      <c r="K51" s="58">
        <f>MAX(0,(SUMIF(jurnal_penutup[Akun],buku_besar[[#This Row],[Nama Akun]],jurnal_penutup[Debit (Rp)])))</f>
        <v>0</v>
      </c>
      <c r="L51" s="58">
        <f>MAX(0,(SUMIF(jurnal_penutup[Akun],buku_besar[[#This Row],[Nama Akun]],jurnal_penutup[Kredit (Rp)])))</f>
        <v>1750000</v>
      </c>
      <c r="M51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1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2" spans="1:14" x14ac:dyDescent="0.3">
      <c r="A52" t="s">
        <v>150</v>
      </c>
      <c r="B52" t="s">
        <v>151</v>
      </c>
      <c r="C52" t="s">
        <v>142</v>
      </c>
      <c r="D52" s="23" t="s">
        <v>42</v>
      </c>
      <c r="E52" s="23">
        <f>SUMIF(jurnal[Akun],buku_besar[[#This Row],[Nama Akun]],jurnal[Debit (Rp)])</f>
        <v>450000</v>
      </c>
      <c r="F52" s="23">
        <f>SUMIF(jurnal[Akun],buku_besar[[#This Row],[Nama Akun]],jurnal[Kredit (Rp)])</f>
        <v>0</v>
      </c>
      <c r="G52" s="23">
        <f>SUMIF(jurnal_penyesuaian[Akun],buku_besar[[#This Row],[Nama Akun]],jurnal_penyesuaian[Debit (Rp)])</f>
        <v>0</v>
      </c>
      <c r="H52" s="23">
        <f>SUMIF(jurnal_penyesuaian[Akun],buku_besar[[#This Row],[Nama Akun]],jurnal_penyesuaian[Kredit (Rp)])</f>
        <v>0</v>
      </c>
      <c r="I52" s="23">
        <f>MAX(0,(buku_besar[[#This Row],[Debit JU]]+buku_besar[[#This Row],[Debit Penyesuaian]]-buku_besar[[#This Row],[Kredit JU]]-buku_besar[[#This Row],[Kredit Penyesuaian]]))</f>
        <v>450000</v>
      </c>
      <c r="J52" s="23">
        <f>MAX(0,(buku_besar[[#This Row],[Kredit JU]]+buku_besar[[#This Row],[Kredit Penyesuaian]]-buku_besar[[#This Row],[Debit JU]]-buku_besar[[#This Row],[Debit Penyesuaian]]))</f>
        <v>0</v>
      </c>
      <c r="K52" s="58">
        <f>MAX(0,(SUMIF(jurnal_penutup[Akun],buku_besar[[#This Row],[Nama Akun]],jurnal_penutup[Debit (Rp)])))</f>
        <v>0</v>
      </c>
      <c r="L52" s="58">
        <f>MAX(0,(SUMIF(jurnal_penutup[Akun],buku_besar[[#This Row],[Nama Akun]],jurnal_penutup[Kredit (Rp)])))</f>
        <v>450000</v>
      </c>
      <c r="M52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2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3" spans="1:14" x14ac:dyDescent="0.3">
      <c r="A53" t="s">
        <v>152</v>
      </c>
      <c r="B53" t="s">
        <v>153</v>
      </c>
      <c r="C53" t="s">
        <v>142</v>
      </c>
      <c r="D53" s="23" t="s">
        <v>42</v>
      </c>
      <c r="E53" s="23">
        <f>SUMIF(jurnal[Akun],buku_besar[[#This Row],[Nama Akun]],jurnal[Debit (Rp)])</f>
        <v>650000</v>
      </c>
      <c r="F53" s="23">
        <f>SUMIF(jurnal[Akun],buku_besar[[#This Row],[Nama Akun]],jurnal[Kredit (Rp)])</f>
        <v>0</v>
      </c>
      <c r="G53" s="23">
        <f>SUMIF(jurnal_penyesuaian[Akun],buku_besar[[#This Row],[Nama Akun]],jurnal_penyesuaian[Debit (Rp)])</f>
        <v>0</v>
      </c>
      <c r="H53" s="23">
        <f>SUMIF(jurnal_penyesuaian[Akun],buku_besar[[#This Row],[Nama Akun]],jurnal_penyesuaian[Kredit (Rp)])</f>
        <v>0</v>
      </c>
      <c r="I53" s="23">
        <f>MAX(0,(buku_besar[[#This Row],[Debit JU]]+buku_besar[[#This Row],[Debit Penyesuaian]]-buku_besar[[#This Row],[Kredit JU]]-buku_besar[[#This Row],[Kredit Penyesuaian]]))</f>
        <v>650000</v>
      </c>
      <c r="J53" s="23">
        <f>MAX(0,(buku_besar[[#This Row],[Kredit JU]]+buku_besar[[#This Row],[Kredit Penyesuaian]]-buku_besar[[#This Row],[Debit JU]]-buku_besar[[#This Row],[Debit Penyesuaian]]))</f>
        <v>0</v>
      </c>
      <c r="K53" s="58">
        <f>MAX(0,(SUMIF(jurnal_penutup[Akun],buku_besar[[#This Row],[Nama Akun]],jurnal_penutup[Debit (Rp)])))</f>
        <v>0</v>
      </c>
      <c r="L53" s="58">
        <f>MAX(0,(SUMIF(jurnal_penutup[Akun],buku_besar[[#This Row],[Nama Akun]],jurnal_penutup[Kredit (Rp)])))</f>
        <v>650000</v>
      </c>
      <c r="M53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3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4" spans="1:14" x14ac:dyDescent="0.3">
      <c r="A54" t="s">
        <v>154</v>
      </c>
      <c r="B54" t="s">
        <v>155</v>
      </c>
      <c r="C54" t="s">
        <v>142</v>
      </c>
      <c r="D54" s="23" t="s">
        <v>42</v>
      </c>
      <c r="E54" s="23">
        <f>SUMIF(jurnal[Akun],buku_besar[[#This Row],[Nama Akun]],jurnal[Debit (Rp)])</f>
        <v>900000</v>
      </c>
      <c r="F54" s="23">
        <f>SUMIF(jurnal[Akun],buku_besar[[#This Row],[Nama Akun]],jurnal[Kredit (Rp)])</f>
        <v>0</v>
      </c>
      <c r="G54" s="23">
        <f>SUMIF(jurnal_penyesuaian[Akun],buku_besar[[#This Row],[Nama Akun]],jurnal_penyesuaian[Debit (Rp)])</f>
        <v>0</v>
      </c>
      <c r="H54" s="23">
        <f>SUMIF(jurnal_penyesuaian[Akun],buku_besar[[#This Row],[Nama Akun]],jurnal_penyesuaian[Kredit (Rp)])</f>
        <v>0</v>
      </c>
      <c r="I54" s="23">
        <f>MAX(0,(buku_besar[[#This Row],[Debit JU]]+buku_besar[[#This Row],[Debit Penyesuaian]]-buku_besar[[#This Row],[Kredit JU]]-buku_besar[[#This Row],[Kredit Penyesuaian]]))</f>
        <v>900000</v>
      </c>
      <c r="J54" s="23">
        <f>MAX(0,(buku_besar[[#This Row],[Kredit JU]]+buku_besar[[#This Row],[Kredit Penyesuaian]]-buku_besar[[#This Row],[Debit JU]]-buku_besar[[#This Row],[Debit Penyesuaian]]))</f>
        <v>0</v>
      </c>
      <c r="K54" s="58">
        <f>MAX(0,(SUMIF(jurnal_penutup[Akun],buku_besar[[#This Row],[Nama Akun]],jurnal_penutup[Debit (Rp)])))</f>
        <v>0</v>
      </c>
      <c r="L54" s="58">
        <f>MAX(0,(SUMIF(jurnal_penutup[Akun],buku_besar[[#This Row],[Nama Akun]],jurnal_penutup[Kredit (Rp)])))</f>
        <v>900000</v>
      </c>
      <c r="M5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5" spans="1:14" x14ac:dyDescent="0.3">
      <c r="A55" t="s">
        <v>156</v>
      </c>
      <c r="B55" t="s">
        <v>157</v>
      </c>
      <c r="C55" t="s">
        <v>142</v>
      </c>
      <c r="D55" s="23" t="s">
        <v>42</v>
      </c>
      <c r="E55" s="23">
        <f>SUMIF(jurnal[Akun],buku_besar[[#This Row],[Nama Akun]],jurnal[Debit (Rp)])</f>
        <v>0</v>
      </c>
      <c r="F55" s="23">
        <f>SUMIF(jurnal[Akun],buku_besar[[#This Row],[Nama Akun]],jurnal[Kredit (Rp)])</f>
        <v>0</v>
      </c>
      <c r="G55" s="23">
        <f>SUMIF(jurnal_penyesuaian[Akun],buku_besar[[#This Row],[Nama Akun]],jurnal_penyesuaian[Debit (Rp)])</f>
        <v>2000000</v>
      </c>
      <c r="H55" s="23">
        <f>SUMIF(jurnal_penyesuaian[Akun],buku_besar[[#This Row],[Nama Akun]],jurnal_penyesuaian[Kredit (Rp)])</f>
        <v>0</v>
      </c>
      <c r="I55" s="23">
        <f>MAX(0,(buku_besar[[#This Row],[Debit JU]]+buku_besar[[#This Row],[Debit Penyesuaian]]-buku_besar[[#This Row],[Kredit JU]]-buku_besar[[#This Row],[Kredit Penyesuaian]]))</f>
        <v>2000000</v>
      </c>
      <c r="J55" s="23">
        <f>MAX(0,(buku_besar[[#This Row],[Kredit JU]]+buku_besar[[#This Row],[Kredit Penyesuaian]]-buku_besar[[#This Row],[Debit JU]]-buku_besar[[#This Row],[Debit Penyesuaian]]))</f>
        <v>0</v>
      </c>
      <c r="K55" s="58">
        <f>MAX(0,(SUMIF(jurnal_penutup[Akun],buku_besar[[#This Row],[Nama Akun]],jurnal_penutup[Debit (Rp)])))</f>
        <v>0</v>
      </c>
      <c r="L55" s="58">
        <f>MAX(0,(SUMIF(jurnal_penutup[Akun],buku_besar[[#This Row],[Nama Akun]],jurnal_penutup[Kredit (Rp)])))</f>
        <v>2000000</v>
      </c>
      <c r="M5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6" spans="1:14" x14ac:dyDescent="0.3">
      <c r="A56" t="s">
        <v>158</v>
      </c>
      <c r="B56" t="s">
        <v>159</v>
      </c>
      <c r="C56" t="s">
        <v>142</v>
      </c>
      <c r="D56" s="23" t="s">
        <v>42</v>
      </c>
      <c r="E56" s="23">
        <f>SUMIF(jurnal[Akun],buku_besar[[#This Row],[Nama Akun]],jurnal[Debit (Rp)])</f>
        <v>0</v>
      </c>
      <c r="F56" s="23">
        <f>SUMIF(jurnal[Akun],buku_besar[[#This Row],[Nama Akun]],jurnal[Kredit (Rp)])</f>
        <v>0</v>
      </c>
      <c r="G56" s="23">
        <f>SUMIF(jurnal_penyesuaian[Akun],buku_besar[[#This Row],[Nama Akun]],jurnal_penyesuaian[Debit (Rp)])</f>
        <v>1800000</v>
      </c>
      <c r="H56" s="23">
        <f>SUMIF(jurnal_penyesuaian[Akun],buku_besar[[#This Row],[Nama Akun]],jurnal_penyesuaian[Kredit (Rp)])</f>
        <v>0</v>
      </c>
      <c r="I56" s="23">
        <f>MAX(0,(buku_besar[[#This Row],[Debit JU]]+buku_besar[[#This Row],[Debit Penyesuaian]]-buku_besar[[#This Row],[Kredit JU]]-buku_besar[[#This Row],[Kredit Penyesuaian]]))</f>
        <v>1800000</v>
      </c>
      <c r="J56" s="23">
        <f>MAX(0,(buku_besar[[#This Row],[Kredit JU]]+buku_besar[[#This Row],[Kredit Penyesuaian]]-buku_besar[[#This Row],[Debit JU]]-buku_besar[[#This Row],[Debit Penyesuaian]]))</f>
        <v>0</v>
      </c>
      <c r="K56" s="58">
        <f>MAX(0,(SUMIF(jurnal_penutup[Akun],buku_besar[[#This Row],[Nama Akun]],jurnal_penutup[Debit (Rp)])))</f>
        <v>0</v>
      </c>
      <c r="L56" s="58">
        <f>MAX(0,(SUMIF(jurnal_penutup[Akun],buku_besar[[#This Row],[Nama Akun]],jurnal_penutup[Kredit (Rp)])))</f>
        <v>1800000</v>
      </c>
      <c r="M5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7" spans="1:14" x14ac:dyDescent="0.3">
      <c r="A57" t="s">
        <v>160</v>
      </c>
      <c r="B57" t="s">
        <v>161</v>
      </c>
      <c r="C57" t="s">
        <v>142</v>
      </c>
      <c r="D57" s="23" t="s">
        <v>42</v>
      </c>
      <c r="E57" s="23">
        <f>SUMIF(jurnal[Akun],buku_besar[[#This Row],[Nama Akun]],jurnal[Debit (Rp)])</f>
        <v>1150000</v>
      </c>
      <c r="F57" s="23">
        <f>SUMIF(jurnal[Akun],buku_besar[[#This Row],[Nama Akun]],jurnal[Kredit (Rp)])</f>
        <v>0</v>
      </c>
      <c r="G57" s="23">
        <f>SUMIF(jurnal_penyesuaian[Akun],buku_besar[[#This Row],[Nama Akun]],jurnal_penyesuaian[Debit (Rp)])</f>
        <v>0</v>
      </c>
      <c r="H57" s="23">
        <f>SUMIF(jurnal_penyesuaian[Akun],buku_besar[[#This Row],[Nama Akun]],jurnal_penyesuaian[Kredit (Rp)])</f>
        <v>0</v>
      </c>
      <c r="I57" s="23">
        <f>MAX(0,(buku_besar[[#This Row],[Debit JU]]+buku_besar[[#This Row],[Debit Penyesuaian]]-buku_besar[[#This Row],[Kredit JU]]-buku_besar[[#This Row],[Kredit Penyesuaian]]))</f>
        <v>1150000</v>
      </c>
      <c r="J57" s="23">
        <f>MAX(0,(buku_besar[[#This Row],[Kredit JU]]+buku_besar[[#This Row],[Kredit Penyesuaian]]-buku_besar[[#This Row],[Debit JU]]-buku_besar[[#This Row],[Debit Penyesuaian]]))</f>
        <v>0</v>
      </c>
      <c r="K57" s="58">
        <f>MAX(0,(SUMIF(jurnal_penutup[Akun],buku_besar[[#This Row],[Nama Akun]],jurnal_penutup[Debit (Rp)])))</f>
        <v>0</v>
      </c>
      <c r="L57" s="58">
        <f>MAX(0,(SUMIF(jurnal_penutup[Akun],buku_besar[[#This Row],[Nama Akun]],jurnal_penutup[Kredit (Rp)])))</f>
        <v>1150000</v>
      </c>
      <c r="M5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8" spans="1:14" x14ac:dyDescent="0.3">
      <c r="A58" t="s">
        <v>162</v>
      </c>
      <c r="B58" t="s">
        <v>163</v>
      </c>
      <c r="C58" t="s">
        <v>142</v>
      </c>
      <c r="D58" s="23" t="s">
        <v>42</v>
      </c>
      <c r="E58" s="23">
        <f>SUMIF(jurnal[Akun],buku_besar[[#This Row],[Nama Akun]],jurnal[Debit (Rp)])</f>
        <v>1000000</v>
      </c>
      <c r="F58" s="23">
        <f>SUMIF(jurnal[Akun],buku_besar[[#This Row],[Nama Akun]],jurnal[Kredit (Rp)])</f>
        <v>0</v>
      </c>
      <c r="G58" s="23">
        <f>SUMIF(jurnal_penyesuaian[Akun],buku_besar[[#This Row],[Nama Akun]],jurnal_penyesuaian[Debit (Rp)])</f>
        <v>0</v>
      </c>
      <c r="H58" s="23">
        <f>SUMIF(jurnal_penyesuaian[Akun],buku_besar[[#This Row],[Nama Akun]],jurnal_penyesuaian[Kredit (Rp)])</f>
        <v>0</v>
      </c>
      <c r="I58" s="23">
        <f>MAX(0,(buku_besar[[#This Row],[Debit JU]]+buku_besar[[#This Row],[Debit Penyesuaian]]-buku_besar[[#This Row],[Kredit JU]]-buku_besar[[#This Row],[Kredit Penyesuaian]]))</f>
        <v>1000000</v>
      </c>
      <c r="J58" s="23">
        <f>MAX(0,(buku_besar[[#This Row],[Kredit JU]]+buku_besar[[#This Row],[Kredit Penyesuaian]]-buku_besar[[#This Row],[Debit JU]]-buku_besar[[#This Row],[Debit Penyesuaian]]))</f>
        <v>0</v>
      </c>
      <c r="K58" s="58">
        <f>MAX(0,(SUMIF(jurnal_penutup[Akun],buku_besar[[#This Row],[Nama Akun]],jurnal_penutup[Debit (Rp)])))</f>
        <v>0</v>
      </c>
      <c r="L58" s="58">
        <f>MAX(0,(SUMIF(jurnal_penutup[Akun],buku_besar[[#This Row],[Nama Akun]],jurnal_penutup[Kredit (Rp)])))</f>
        <v>1000000</v>
      </c>
      <c r="M58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8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59" spans="1:14" x14ac:dyDescent="0.3">
      <c r="A59" t="s">
        <v>164</v>
      </c>
      <c r="B59" t="s">
        <v>165</v>
      </c>
      <c r="C59" t="s">
        <v>142</v>
      </c>
      <c r="D59" s="23" t="s">
        <v>42</v>
      </c>
      <c r="E59" s="23">
        <f>SUMIF(jurnal[Akun],buku_besar[[#This Row],[Nama Akun]],jurnal[Debit (Rp)])</f>
        <v>0</v>
      </c>
      <c r="F59" s="23">
        <f>SUMIF(jurnal[Akun],buku_besar[[#This Row],[Nama Akun]],jurnal[Kredit (Rp)])</f>
        <v>0</v>
      </c>
      <c r="G59" s="23">
        <f>SUMIF(jurnal_penyesuaian[Akun],buku_besar[[#This Row],[Nama Akun]],jurnal_penyesuaian[Debit (Rp)])</f>
        <v>1500000</v>
      </c>
      <c r="H59" s="23">
        <f>SUMIF(jurnal_penyesuaian[Akun],buku_besar[[#This Row],[Nama Akun]],jurnal_penyesuaian[Kredit (Rp)])</f>
        <v>0</v>
      </c>
      <c r="I59" s="23">
        <f>MAX(0,(buku_besar[[#This Row],[Debit JU]]+buku_besar[[#This Row],[Debit Penyesuaian]]-buku_besar[[#This Row],[Kredit JU]]-buku_besar[[#This Row],[Kredit Penyesuaian]]))</f>
        <v>1500000</v>
      </c>
      <c r="J59" s="23">
        <f>MAX(0,(buku_besar[[#This Row],[Kredit JU]]+buku_besar[[#This Row],[Kredit Penyesuaian]]-buku_besar[[#This Row],[Debit JU]]-buku_besar[[#This Row],[Debit Penyesuaian]]))</f>
        <v>0</v>
      </c>
      <c r="K59" s="58">
        <f>MAX(0,(SUMIF(jurnal_penutup[Akun],buku_besar[[#This Row],[Nama Akun]],jurnal_penutup[Debit (Rp)])))</f>
        <v>0</v>
      </c>
      <c r="L59" s="58">
        <f>MAX(0,(SUMIF(jurnal_penutup[Akun],buku_besar[[#This Row],[Nama Akun]],jurnal_penutup[Kredit (Rp)])))</f>
        <v>1500000</v>
      </c>
      <c r="M59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59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0" spans="1:14" x14ac:dyDescent="0.3">
      <c r="A60" t="s">
        <v>166</v>
      </c>
      <c r="B60" t="s">
        <v>167</v>
      </c>
      <c r="C60" t="s">
        <v>142</v>
      </c>
      <c r="D60" s="23" t="s">
        <v>42</v>
      </c>
      <c r="E60" s="23">
        <f>SUMIF(jurnal[Akun],buku_besar[[#This Row],[Nama Akun]],jurnal[Debit (Rp)])</f>
        <v>300000</v>
      </c>
      <c r="F60" s="23">
        <f>SUMIF(jurnal[Akun],buku_besar[[#This Row],[Nama Akun]],jurnal[Kredit (Rp)])</f>
        <v>0</v>
      </c>
      <c r="G60" s="23">
        <f>SUMIF(jurnal_penyesuaian[Akun],buku_besar[[#This Row],[Nama Akun]],jurnal_penyesuaian[Debit (Rp)])</f>
        <v>0</v>
      </c>
      <c r="H60" s="23">
        <f>SUMIF(jurnal_penyesuaian[Akun],buku_besar[[#This Row],[Nama Akun]],jurnal_penyesuaian[Kredit (Rp)])</f>
        <v>0</v>
      </c>
      <c r="I60" s="23">
        <f>MAX(0,(buku_besar[[#This Row],[Debit JU]]+buku_besar[[#This Row],[Debit Penyesuaian]]-buku_besar[[#This Row],[Kredit JU]]-buku_besar[[#This Row],[Kredit Penyesuaian]]))</f>
        <v>300000</v>
      </c>
      <c r="J60" s="23">
        <f>MAX(0,(buku_besar[[#This Row],[Kredit JU]]+buku_besar[[#This Row],[Kredit Penyesuaian]]-buku_besar[[#This Row],[Debit JU]]-buku_besar[[#This Row],[Debit Penyesuaian]]))</f>
        <v>0</v>
      </c>
      <c r="K60" s="58">
        <f>MAX(0,(SUMIF(jurnal_penutup[Akun],buku_besar[[#This Row],[Nama Akun]],jurnal_penutup[Debit (Rp)])))</f>
        <v>0</v>
      </c>
      <c r="L60" s="58">
        <f>MAX(0,(SUMIF(jurnal_penutup[Akun],buku_besar[[#This Row],[Nama Akun]],jurnal_penutup[Kredit (Rp)])))</f>
        <v>300000</v>
      </c>
      <c r="M60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0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1" spans="1:14" x14ac:dyDescent="0.3">
      <c r="A61" t="s">
        <v>168</v>
      </c>
      <c r="B61" t="s">
        <v>169</v>
      </c>
      <c r="C61" t="s">
        <v>142</v>
      </c>
      <c r="D61" s="23" t="s">
        <v>42</v>
      </c>
      <c r="E61" s="23">
        <f>SUMIF(jurnal[Akun],buku_besar[[#This Row],[Nama Akun]],jurnal[Debit (Rp)])</f>
        <v>550000</v>
      </c>
      <c r="F61" s="23">
        <f>SUMIF(jurnal[Akun],buku_besar[[#This Row],[Nama Akun]],jurnal[Kredit (Rp)])</f>
        <v>0</v>
      </c>
      <c r="G61" s="23">
        <f>SUMIF(jurnal_penyesuaian[Akun],buku_besar[[#This Row],[Nama Akun]],jurnal_penyesuaian[Debit (Rp)])</f>
        <v>0</v>
      </c>
      <c r="H61" s="23">
        <f>SUMIF(jurnal_penyesuaian[Akun],buku_besar[[#This Row],[Nama Akun]],jurnal_penyesuaian[Kredit (Rp)])</f>
        <v>0</v>
      </c>
      <c r="I61" s="23">
        <f>MAX(0,(buku_besar[[#This Row],[Debit JU]]+buku_besar[[#This Row],[Debit Penyesuaian]]-buku_besar[[#This Row],[Kredit JU]]-buku_besar[[#This Row],[Kredit Penyesuaian]]))</f>
        <v>550000</v>
      </c>
      <c r="J61" s="23">
        <f>MAX(0,(buku_besar[[#This Row],[Kredit JU]]+buku_besar[[#This Row],[Kredit Penyesuaian]]-buku_besar[[#This Row],[Debit JU]]-buku_besar[[#This Row],[Debit Penyesuaian]]))</f>
        <v>0</v>
      </c>
      <c r="K61" s="58">
        <f>MAX(0,(SUMIF(jurnal_penutup[Akun],buku_besar[[#This Row],[Nama Akun]],jurnal_penutup[Debit (Rp)])))</f>
        <v>0</v>
      </c>
      <c r="L61" s="58">
        <f>MAX(0,(SUMIF(jurnal_penutup[Akun],buku_besar[[#This Row],[Nama Akun]],jurnal_penutup[Kredit (Rp)])))</f>
        <v>550000</v>
      </c>
      <c r="M61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1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2" spans="1:14" x14ac:dyDescent="0.3">
      <c r="A62" t="s">
        <v>170</v>
      </c>
      <c r="B62" t="s">
        <v>171</v>
      </c>
      <c r="C62" t="s">
        <v>142</v>
      </c>
      <c r="D62" s="23" t="s">
        <v>42</v>
      </c>
      <c r="E62" s="23">
        <f>SUMIF(jurnal[Akun],buku_besar[[#This Row],[Nama Akun]],jurnal[Debit (Rp)])</f>
        <v>2300000</v>
      </c>
      <c r="F62" s="23">
        <f>SUMIF(jurnal[Akun],buku_besar[[#This Row],[Nama Akun]],jurnal[Kredit (Rp)])</f>
        <v>0</v>
      </c>
      <c r="G62" s="23">
        <f>SUMIF(jurnal_penyesuaian[Akun],buku_besar[[#This Row],[Nama Akun]],jurnal_penyesuaian[Debit (Rp)])</f>
        <v>0</v>
      </c>
      <c r="H62" s="23">
        <f>SUMIF(jurnal_penyesuaian[Akun],buku_besar[[#This Row],[Nama Akun]],jurnal_penyesuaian[Kredit (Rp)])</f>
        <v>0</v>
      </c>
      <c r="I62" s="23">
        <f>MAX(0,(buku_besar[[#This Row],[Debit JU]]+buku_besar[[#This Row],[Debit Penyesuaian]]-buku_besar[[#This Row],[Kredit JU]]-buku_besar[[#This Row],[Kredit Penyesuaian]]))</f>
        <v>2300000</v>
      </c>
      <c r="J62" s="23">
        <f>MAX(0,(buku_besar[[#This Row],[Kredit JU]]+buku_besar[[#This Row],[Kredit Penyesuaian]]-buku_besar[[#This Row],[Debit JU]]-buku_besar[[#This Row],[Debit Penyesuaian]]))</f>
        <v>0</v>
      </c>
      <c r="K62" s="58">
        <f>MAX(0,(SUMIF(jurnal_penutup[Akun],buku_besar[[#This Row],[Nama Akun]],jurnal_penutup[Debit (Rp)])))</f>
        <v>0</v>
      </c>
      <c r="L62" s="58">
        <f>MAX(0,(SUMIF(jurnal_penutup[Akun],buku_besar[[#This Row],[Nama Akun]],jurnal_penutup[Kredit (Rp)])))</f>
        <v>2300000</v>
      </c>
      <c r="M62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2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3" spans="1:14" x14ac:dyDescent="0.3">
      <c r="A63" t="s">
        <v>172</v>
      </c>
      <c r="B63" t="s">
        <v>173</v>
      </c>
      <c r="C63" t="s">
        <v>142</v>
      </c>
      <c r="D63" s="23" t="s">
        <v>42</v>
      </c>
      <c r="E63" s="23">
        <f>SUMIF(jurnal[Akun],buku_besar[[#This Row],[Nama Akun]],jurnal[Debit (Rp)])</f>
        <v>2100000</v>
      </c>
      <c r="F63" s="23">
        <f>SUMIF(jurnal[Akun],buku_besar[[#This Row],[Nama Akun]],jurnal[Kredit (Rp)])</f>
        <v>0</v>
      </c>
      <c r="G63" s="23">
        <f>SUMIF(jurnal_penyesuaian[Akun],buku_besar[[#This Row],[Nama Akun]],jurnal_penyesuaian[Debit (Rp)])</f>
        <v>1200000</v>
      </c>
      <c r="H63" s="23">
        <f>SUMIF(jurnal_penyesuaian[Akun],buku_besar[[#This Row],[Nama Akun]],jurnal_penyesuaian[Kredit (Rp)])</f>
        <v>0</v>
      </c>
      <c r="I63" s="23">
        <f>MAX(0,(buku_besar[[#This Row],[Debit JU]]+buku_besar[[#This Row],[Debit Penyesuaian]]-buku_besar[[#This Row],[Kredit JU]]-buku_besar[[#This Row],[Kredit Penyesuaian]]))</f>
        <v>3300000</v>
      </c>
      <c r="J63" s="23">
        <f>MAX(0,(buku_besar[[#This Row],[Kredit JU]]+buku_besar[[#This Row],[Kredit Penyesuaian]]-buku_besar[[#This Row],[Debit JU]]-buku_besar[[#This Row],[Debit Penyesuaian]]))</f>
        <v>0</v>
      </c>
      <c r="K63" s="58">
        <f>MAX(0,(SUMIF(jurnal_penutup[Akun],buku_besar[[#This Row],[Nama Akun]],jurnal_penutup[Debit (Rp)])))</f>
        <v>0</v>
      </c>
      <c r="L63" s="58">
        <f>MAX(0,(SUMIF(jurnal_penutup[Akun],buku_besar[[#This Row],[Nama Akun]],jurnal_penutup[Kredit (Rp)])))</f>
        <v>3300000</v>
      </c>
      <c r="M63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3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4" spans="1:14" x14ac:dyDescent="0.3">
      <c r="A64" t="s">
        <v>174</v>
      </c>
      <c r="B64" t="s">
        <v>175</v>
      </c>
      <c r="C64" t="s">
        <v>142</v>
      </c>
      <c r="D64" s="23" t="s">
        <v>42</v>
      </c>
      <c r="E64" s="23">
        <f>SUMIF(jurnal[Akun],buku_besar[[#This Row],[Nama Akun]],jurnal[Debit (Rp)])</f>
        <v>2000000</v>
      </c>
      <c r="F64" s="23">
        <f>SUMIF(jurnal[Akun],buku_besar[[#This Row],[Nama Akun]],jurnal[Kredit (Rp)])</f>
        <v>0</v>
      </c>
      <c r="G64" s="23">
        <f>SUMIF(jurnal_penyesuaian[Akun],buku_besar[[#This Row],[Nama Akun]],jurnal_penyesuaian[Debit (Rp)])</f>
        <v>0</v>
      </c>
      <c r="H64" s="23">
        <f>SUMIF(jurnal_penyesuaian[Akun],buku_besar[[#This Row],[Nama Akun]],jurnal_penyesuaian[Kredit (Rp)])</f>
        <v>0</v>
      </c>
      <c r="I64" s="23">
        <f>MAX(0,(buku_besar[[#This Row],[Debit JU]]+buku_besar[[#This Row],[Debit Penyesuaian]]-buku_besar[[#This Row],[Kredit JU]]-buku_besar[[#This Row],[Kredit Penyesuaian]]))</f>
        <v>2000000</v>
      </c>
      <c r="J64" s="23">
        <f>MAX(0,(buku_besar[[#This Row],[Kredit JU]]+buku_besar[[#This Row],[Kredit Penyesuaian]]-buku_besar[[#This Row],[Debit JU]]-buku_besar[[#This Row],[Debit Penyesuaian]]))</f>
        <v>0</v>
      </c>
      <c r="K64" s="58">
        <f>MAX(0,(SUMIF(jurnal_penutup[Akun],buku_besar[[#This Row],[Nama Akun]],jurnal_penutup[Debit (Rp)])))</f>
        <v>0</v>
      </c>
      <c r="L64" s="58">
        <f>MAX(0,(SUMIF(jurnal_penutup[Akun],buku_besar[[#This Row],[Nama Akun]],jurnal_penutup[Kredit (Rp)])))</f>
        <v>2000000</v>
      </c>
      <c r="M64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4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5" spans="1:14" x14ac:dyDescent="0.3">
      <c r="A65" t="s">
        <v>176</v>
      </c>
      <c r="B65" t="s">
        <v>177</v>
      </c>
      <c r="C65" t="s">
        <v>142</v>
      </c>
      <c r="D65" s="23" t="s">
        <v>42</v>
      </c>
      <c r="E65" s="23">
        <f>SUMIF(jurnal[Akun],buku_besar[[#This Row],[Nama Akun]],jurnal[Debit (Rp)])</f>
        <v>0</v>
      </c>
      <c r="F65" s="23">
        <f>SUMIF(jurnal[Akun],buku_besar[[#This Row],[Nama Akun]],jurnal[Kredit (Rp)])</f>
        <v>0</v>
      </c>
      <c r="G65" s="23">
        <f>SUMIF(jurnal_penyesuaian[Akun],buku_besar[[#This Row],[Nama Akun]],jurnal_penyesuaian[Debit (Rp)])</f>
        <v>1000000</v>
      </c>
      <c r="H65" s="23">
        <f>SUMIF(jurnal_penyesuaian[Akun],buku_besar[[#This Row],[Nama Akun]],jurnal_penyesuaian[Kredit (Rp)])</f>
        <v>0</v>
      </c>
      <c r="I65" s="23">
        <f>MAX(0,(buku_besar[[#This Row],[Debit JU]]+buku_besar[[#This Row],[Debit Penyesuaian]]-buku_besar[[#This Row],[Kredit JU]]-buku_besar[[#This Row],[Kredit Penyesuaian]]))</f>
        <v>1000000</v>
      </c>
      <c r="J65" s="23">
        <f>MAX(0,(buku_besar[[#This Row],[Kredit JU]]+buku_besar[[#This Row],[Kredit Penyesuaian]]-buku_besar[[#This Row],[Debit JU]]-buku_besar[[#This Row],[Debit Penyesuaian]]))</f>
        <v>0</v>
      </c>
      <c r="K65" s="58">
        <f>MAX(0,(SUMIF(jurnal_penutup[Akun],buku_besar[[#This Row],[Nama Akun]],jurnal_penutup[Debit (Rp)])))</f>
        <v>0</v>
      </c>
      <c r="L65" s="58">
        <f>MAX(0,(SUMIF(jurnal_penutup[Akun],buku_besar[[#This Row],[Nama Akun]],jurnal_penutup[Kredit (Rp)])))</f>
        <v>1000000</v>
      </c>
      <c r="M65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5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6" spans="1:14" x14ac:dyDescent="0.3">
      <c r="A66" t="s">
        <v>178</v>
      </c>
      <c r="B66" t="s">
        <v>179</v>
      </c>
      <c r="C66" t="s">
        <v>142</v>
      </c>
      <c r="D66" s="23" t="s">
        <v>42</v>
      </c>
      <c r="E66" s="23">
        <f>SUMIF(jurnal[Akun],buku_besar[[#This Row],[Nama Akun]],jurnal[Debit (Rp)])</f>
        <v>750000</v>
      </c>
      <c r="F66" s="23">
        <f>SUMIF(jurnal[Akun],buku_besar[[#This Row],[Nama Akun]],jurnal[Kredit (Rp)])</f>
        <v>0</v>
      </c>
      <c r="G66" s="23">
        <f>SUMIF(jurnal_penyesuaian[Akun],buku_besar[[#This Row],[Nama Akun]],jurnal_penyesuaian[Debit (Rp)])</f>
        <v>0</v>
      </c>
      <c r="H66" s="23">
        <f>SUMIF(jurnal_penyesuaian[Akun],buku_besar[[#This Row],[Nama Akun]],jurnal_penyesuaian[Kredit (Rp)])</f>
        <v>0</v>
      </c>
      <c r="I66" s="23">
        <f>MAX(0,(buku_besar[[#This Row],[Debit JU]]+buku_besar[[#This Row],[Debit Penyesuaian]]-buku_besar[[#This Row],[Kredit JU]]-buku_besar[[#This Row],[Kredit Penyesuaian]]))</f>
        <v>750000</v>
      </c>
      <c r="J66" s="23">
        <f>MAX(0,(buku_besar[[#This Row],[Kredit JU]]+buku_besar[[#This Row],[Kredit Penyesuaian]]-buku_besar[[#This Row],[Debit JU]]-buku_besar[[#This Row],[Debit Penyesuaian]]))</f>
        <v>0</v>
      </c>
      <c r="K66" s="58">
        <f>MAX(0,(SUMIF(jurnal_penutup[Akun],buku_besar[[#This Row],[Nama Akun]],jurnal_penutup[Debit (Rp)])))</f>
        <v>0</v>
      </c>
      <c r="L66" s="58">
        <f>MAX(0,(SUMIF(jurnal_penutup[Akun],buku_besar[[#This Row],[Nama Akun]],jurnal_penutup[Kredit (Rp)])))</f>
        <v>750000</v>
      </c>
      <c r="M66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6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7" spans="1:14" x14ac:dyDescent="0.3">
      <c r="A67" t="s">
        <v>180</v>
      </c>
      <c r="B67" t="s">
        <v>181</v>
      </c>
      <c r="C67" t="s">
        <v>142</v>
      </c>
      <c r="D67" s="23" t="s">
        <v>42</v>
      </c>
      <c r="E67" s="23">
        <f>SUMIF(jurnal[Akun],buku_besar[[#This Row],[Nama Akun]],jurnal[Debit (Rp)])</f>
        <v>0</v>
      </c>
      <c r="F67" s="23">
        <f>SUMIF(jurnal[Akun],buku_besar[[#This Row],[Nama Akun]],jurnal[Kredit (Rp)])</f>
        <v>0</v>
      </c>
      <c r="G67" s="23">
        <f>SUMIF(jurnal_penyesuaian[Akun],buku_besar[[#This Row],[Nama Akun]],jurnal_penyesuaian[Debit (Rp)])</f>
        <v>5900000</v>
      </c>
      <c r="H67" s="23">
        <f>SUMIF(jurnal_penyesuaian[Akun],buku_besar[[#This Row],[Nama Akun]],jurnal_penyesuaian[Kredit (Rp)])</f>
        <v>0</v>
      </c>
      <c r="I67" s="23">
        <f>MAX(0,(buku_besar[[#This Row],[Debit JU]]+buku_besar[[#This Row],[Debit Penyesuaian]]-buku_besar[[#This Row],[Kredit JU]]-buku_besar[[#This Row],[Kredit Penyesuaian]]))</f>
        <v>5900000</v>
      </c>
      <c r="J67" s="23">
        <f>MAX(0,(buku_besar[[#This Row],[Kredit JU]]+buku_besar[[#This Row],[Kredit Penyesuaian]]-buku_besar[[#This Row],[Debit JU]]-buku_besar[[#This Row],[Debit Penyesuaian]]))</f>
        <v>0</v>
      </c>
      <c r="K67" s="58">
        <f>MAX(0,(SUMIF(jurnal_penutup[Akun],buku_besar[[#This Row],[Nama Akun]],jurnal_penutup[Debit (Rp)])))</f>
        <v>0</v>
      </c>
      <c r="L67" s="58">
        <f>MAX(0,(SUMIF(jurnal_penutup[Akun],buku_besar[[#This Row],[Nama Akun]],jurnal_penutup[Kredit (Rp)])))</f>
        <v>5900000</v>
      </c>
      <c r="M67" s="59">
        <f>MAX(0,(buku_besar[[#This Row],[Debit JU]]+buku_besar[[#This Row],[Debit Penyesuaian]]+buku_besar[[#This Row],[Debit Penutup]])-(buku_besar[[#This Row],[Kredit JU]]+buku_besar[[#This Row],[Kredit Penyesuaian]]+buku_besar[[#This Row],[Kredit Penutup]]))</f>
        <v>0</v>
      </c>
      <c r="N67" s="58">
        <f>MAX(0,(buku_besar[[#This Row],[Kredit JU]]+buku_besar[[#This Row],[Kredit Penyesuaian]]+buku_besar[[#This Row],[Kredit Penutup]])-(buku_besar[[#This Row],[Debit JU]]+buku_besar[[#This Row],[Debit Penyesuaian]]+buku_besar[[#This Row],[Debit Penutup]]))</f>
        <v>0</v>
      </c>
    </row>
    <row r="68" spans="1:14" x14ac:dyDescent="0.3">
      <c r="D68" s="23"/>
      <c r="E68" s="23"/>
      <c r="F68" s="23"/>
      <c r="G68" s="23"/>
      <c r="H68" s="23"/>
      <c r="I68" s="23"/>
      <c r="J68" s="23"/>
      <c r="K68" s="58"/>
      <c r="L68" s="58"/>
      <c r="M68" s="59"/>
      <c r="N68" s="58"/>
    </row>
    <row r="69" spans="1:14" x14ac:dyDescent="0.3">
      <c r="A69" s="31" t="s">
        <v>447</v>
      </c>
      <c r="B69" s="31"/>
      <c r="C69" s="31"/>
      <c r="D69" s="32"/>
      <c r="E69" s="32">
        <f t="shared" ref="E69:N69" si="0">SUM(E4:E67)</f>
        <v>1308430000</v>
      </c>
      <c r="F69" s="32">
        <f t="shared" si="0"/>
        <v>1308430000</v>
      </c>
      <c r="G69" s="32">
        <f t="shared" si="0"/>
        <v>24400000</v>
      </c>
      <c r="H69" s="32">
        <f t="shared" si="0"/>
        <v>24400000</v>
      </c>
      <c r="I69" s="32">
        <f t="shared" si="0"/>
        <v>1164980000</v>
      </c>
      <c r="J69" s="32">
        <f t="shared" si="0"/>
        <v>1164980000</v>
      </c>
      <c r="K69" s="32">
        <f t="shared" si="0"/>
        <v>125350000</v>
      </c>
      <c r="L69" s="32">
        <f t="shared" si="0"/>
        <v>125350000</v>
      </c>
      <c r="M69" s="32">
        <f t="shared" si="0"/>
        <v>1093130000</v>
      </c>
      <c r="N69" s="32">
        <f t="shared" si="0"/>
        <v>1093130000</v>
      </c>
    </row>
  </sheetData>
  <mergeCells count="4">
    <mergeCell ref="A1:J1"/>
    <mergeCell ref="E2:F2"/>
    <mergeCell ref="G2:H2"/>
    <mergeCell ref="K2:L2"/>
  </mergeCells>
  <dataValidations count="6">
    <dataValidation allowBlank="1" showInputMessage="1" showErrorMessage="1" prompt="Kolom ini berisi total transaksi dari jurnal umum untuk setiap akun." sqref="E3:F3" xr:uid="{42881BD3-CDC5-4645-8F1B-656782A6BFA7}"/>
    <dataValidation allowBlank="1" showInputMessage="1" showErrorMessage="1" prompt="Kolom ini berasal dari Jurnal Penyesuaian" sqref="G3:H3" xr:uid="{A689C6BE-BF3F-4910-872A-E929120DFAD8}"/>
    <dataValidation allowBlank="1" showInputMessage="1" showErrorMessage="1" prompt="Saldo Debit  = Debit JU + Debit Penyesuaian - Kredit JU - Kredit Penyesuaian" sqref="I3" xr:uid="{3FEE2FB4-8D01-444A-ABAB-3DE30C48D5B5}"/>
    <dataValidation allowBlank="1" showInputMessage="1" showErrorMessage="1" prompt="Saldo Debit  = Kredit JU + Kredit Penyesuaian - Debit JU - Debit Penyesuaian" sqref="J3" xr:uid="{FFD0FEEF-54E2-41E0-ACA3-158724BF72DB}"/>
    <dataValidation allowBlank="1" showInputMessage="1" showErrorMessage="1" prompt="Debit Akhir = (debit JU+debit penyesuaian+debit penutup)-(kredit JU+kredit penyesuaian+kredit penutup)" sqref="M3" xr:uid="{10AC06F8-CC54-49EA-AA02-EAE5C8293E80}"/>
    <dataValidation allowBlank="1" showInputMessage="1" showErrorMessage="1" prompt="Debit Akhir = (kredit JU+kredit penyesuaian+kredit penutup)-(debit JU+debit penyesuaian+debit penutup)" sqref="N3" xr:uid="{48B8D561-CD49-431D-98CC-3E63DF993D71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embar7">
    <tabColor rgb="FF00B0F0"/>
  </sheetPr>
  <dimension ref="A1:J70"/>
  <sheetViews>
    <sheetView workbookViewId="0">
      <selection activeCell="F4" sqref="F4"/>
    </sheetView>
  </sheetViews>
  <sheetFormatPr defaultRowHeight="14.4" x14ac:dyDescent="0.3"/>
  <cols>
    <col min="1" max="1" width="12.109375" customWidth="1"/>
    <col min="2" max="2" width="43.88671875" customWidth="1"/>
    <col min="3" max="4" width="18.77734375" customWidth="1"/>
    <col min="5" max="5" width="12.6640625" bestFit="1" customWidth="1"/>
    <col min="6" max="6" width="18.44140625" customWidth="1"/>
  </cols>
  <sheetData>
    <row r="1" spans="1:10" ht="24" customHeight="1" x14ac:dyDescent="0.3">
      <c r="A1" s="83" t="s">
        <v>565</v>
      </c>
      <c r="B1" s="81"/>
      <c r="C1" s="81"/>
      <c r="D1" s="81"/>
      <c r="E1" s="81"/>
      <c r="F1" s="81"/>
    </row>
    <row r="2" spans="1:10" x14ac:dyDescent="0.3">
      <c r="J2" s="49"/>
    </row>
    <row r="3" spans="1:10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193</v>
      </c>
      <c r="F3" s="1" t="s">
        <v>194</v>
      </c>
      <c r="J3" s="49"/>
    </row>
    <row r="4" spans="1:10" x14ac:dyDescent="0.3">
      <c r="A4" t="s">
        <v>39</v>
      </c>
      <c r="B4" t="s">
        <v>40</v>
      </c>
      <c r="C4" t="s">
        <v>41</v>
      </c>
      <c r="D4" s="23" t="s">
        <v>42</v>
      </c>
      <c r="E4" s="23">
        <f>MAX(0,(SUMIF(buku_besar[Nama Akun],Table17[[#This Row],[Nama Akun]],buku_besar[Debit JU])-SUMIF(buku_besar[Nama Akun],Table17[[#This Row],[Nama Akun]],buku_besar[Kredit JU])))</f>
        <v>35150000</v>
      </c>
      <c r="F4" s="23">
        <f>MAX(0,(SUMIF(buku_besar[Nama Akun],Table17[[#This Row],[Nama Akun]],buku_besar[Kredit JU])-SUMIF(buku_besar[Nama Akun],Table17[[#This Row],[Nama Akun]],buku_besar[Debit JU])))</f>
        <v>0</v>
      </c>
    </row>
    <row r="5" spans="1:10" x14ac:dyDescent="0.3">
      <c r="A5" t="s">
        <v>45</v>
      </c>
      <c r="B5" t="s">
        <v>46</v>
      </c>
      <c r="C5" t="s">
        <v>41</v>
      </c>
      <c r="D5" s="23" t="s">
        <v>42</v>
      </c>
      <c r="E5" s="23">
        <f>MAX(0,(SUMIF(buku_besar[Nama Akun],Table17[[#This Row],[Nama Akun]],buku_besar[Debit JU])-SUMIF(buku_besar[Nama Akun],Table17[[#This Row],[Nama Akun]],buku_besar[Kredit JU])))</f>
        <v>175850000</v>
      </c>
      <c r="F5" s="23">
        <f>MAX(0,(SUMIF(buku_besar[Nama Akun],Table17[[#This Row],[Nama Akun]],buku_besar[Kredit JU])-SUMIF(buku_besar[Nama Akun],Table17[[#This Row],[Nama Akun]],buku_besar[Debit JU])))</f>
        <v>0</v>
      </c>
    </row>
    <row r="6" spans="1:10" x14ac:dyDescent="0.3">
      <c r="A6" t="s">
        <v>47</v>
      </c>
      <c r="B6" t="s">
        <v>48</v>
      </c>
      <c r="C6" t="s">
        <v>41</v>
      </c>
      <c r="D6" s="23" t="s">
        <v>42</v>
      </c>
      <c r="E6" s="23">
        <f>MAX(0,(SUMIF(buku_besar[Nama Akun],Table17[[#This Row],[Nama Akun]],buku_besar[Debit JU])-SUMIF(buku_besar[Nama Akun],Table17[[#This Row],[Nama Akun]],buku_besar[Kredit JU])))</f>
        <v>23080000</v>
      </c>
      <c r="F6" s="23">
        <f>MAX(0,(SUMIF(buku_besar[Nama Akun],Table17[[#This Row],[Nama Akun]],buku_besar[Kredit JU])-SUMIF(buku_besar[Nama Akun],Table17[[#This Row],[Nama Akun]],buku_besar[Debit JU])))</f>
        <v>0</v>
      </c>
    </row>
    <row r="7" spans="1:10" x14ac:dyDescent="0.3">
      <c r="A7" t="s">
        <v>49</v>
      </c>
      <c r="B7" t="s">
        <v>50</v>
      </c>
      <c r="C7" t="s">
        <v>41</v>
      </c>
      <c r="D7" s="23" t="s">
        <v>42</v>
      </c>
      <c r="E7" s="23">
        <f>MAX(0,(SUMIF(buku_besar[Nama Akun],Table17[[#This Row],[Nama Akun]],buku_besar[Debit JU])-SUMIF(buku_besar[Nama Akun],Table17[[#This Row],[Nama Akun]],buku_besar[Kredit JU])))</f>
        <v>2500000</v>
      </c>
      <c r="F7" s="23">
        <f>MAX(0,(SUMIF(buku_besar[Nama Akun],Table17[[#This Row],[Nama Akun]],buku_besar[Kredit JU])-SUMIF(buku_besar[Nama Akun],Table17[[#This Row],[Nama Akun]],buku_besar[Debit JU])))</f>
        <v>0</v>
      </c>
    </row>
    <row r="8" spans="1:10" x14ac:dyDescent="0.3">
      <c r="A8" t="s">
        <v>51</v>
      </c>
      <c r="B8" t="s">
        <v>52</v>
      </c>
      <c r="C8" t="s">
        <v>41</v>
      </c>
      <c r="D8" s="23" t="s">
        <v>42</v>
      </c>
      <c r="E8" s="23">
        <f>MAX(0,(SUMIF(buku_besar[Nama Akun],Table17[[#This Row],[Nama Akun]],buku_besar[Debit JU])-SUMIF(buku_besar[Nama Akun],Table17[[#This Row],[Nama Akun]],buku_besar[Kredit JU])))</f>
        <v>2400000</v>
      </c>
      <c r="F8" s="23">
        <f>MAX(0,(SUMIF(buku_besar[Nama Akun],Table17[[#This Row],[Nama Akun]],buku_besar[Kredit JU])-SUMIF(buku_besar[Nama Akun],Table17[[#This Row],[Nama Akun]],buku_besar[Debit JU])))</f>
        <v>0</v>
      </c>
    </row>
    <row r="9" spans="1:10" x14ac:dyDescent="0.3">
      <c r="A9" t="s">
        <v>53</v>
      </c>
      <c r="B9" t="s">
        <v>54</v>
      </c>
      <c r="C9" t="s">
        <v>41</v>
      </c>
      <c r="D9" s="23" t="s">
        <v>42</v>
      </c>
      <c r="E9" s="23">
        <f>MAX(0,(SUMIF(buku_besar[Nama Akun],Table17[[#This Row],[Nama Akun]],buku_besar[Debit JU])-SUMIF(buku_besar[Nama Akun],Table17[[#This Row],[Nama Akun]],buku_besar[Kredit JU])))</f>
        <v>35000000</v>
      </c>
      <c r="F9" s="23">
        <f>MAX(0,(SUMIF(buku_besar[Nama Akun],Table17[[#This Row],[Nama Akun]],buku_besar[Kredit JU])-SUMIF(buku_besar[Nama Akun],Table17[[#This Row],[Nama Akun]],buku_besar[Debit JU])))</f>
        <v>0</v>
      </c>
    </row>
    <row r="10" spans="1:10" x14ac:dyDescent="0.3">
      <c r="A10" t="s">
        <v>55</v>
      </c>
      <c r="B10" t="s">
        <v>56</v>
      </c>
      <c r="C10" t="s">
        <v>41</v>
      </c>
      <c r="D10" s="23" t="s">
        <v>42</v>
      </c>
      <c r="E10" s="23">
        <f>MAX(0,(SUMIF(buku_besar[Nama Akun],Table17[[#This Row],[Nama Akun]],buku_besar[Debit JU])-SUMIF(buku_besar[Nama Akun],Table17[[#This Row],[Nama Akun]],buku_besar[Kredit JU])))</f>
        <v>4500000</v>
      </c>
      <c r="F10" s="23">
        <f>MAX(0,(SUMIF(buku_besar[Nama Akun],Table17[[#This Row],[Nama Akun]],buku_besar[Kredit JU])-SUMIF(buku_besar[Nama Akun],Table17[[#This Row],[Nama Akun]],buku_besar[Debit JU])))</f>
        <v>0</v>
      </c>
    </row>
    <row r="11" spans="1:10" x14ac:dyDescent="0.3">
      <c r="A11" t="s">
        <v>57</v>
      </c>
      <c r="B11" t="s">
        <v>58</v>
      </c>
      <c r="C11" t="s">
        <v>41</v>
      </c>
      <c r="D11" s="23" t="s">
        <v>42</v>
      </c>
      <c r="E11" s="23">
        <f>MAX(0,(SUMIF(buku_besar[Nama Akun],Table17[[#This Row],[Nama Akun]],buku_besar[Debit JU])-SUMIF(buku_besar[Nama Akun],Table17[[#This Row],[Nama Akun]],buku_besar[Kredit JU])))</f>
        <v>12000000</v>
      </c>
      <c r="F11" s="23">
        <f>MAX(0,(SUMIF(buku_besar[Nama Akun],Table17[[#This Row],[Nama Akun]],buku_besar[Kredit JU])-SUMIF(buku_besar[Nama Akun],Table17[[#This Row],[Nama Akun]],buku_besar[Debit JU])))</f>
        <v>0</v>
      </c>
    </row>
    <row r="12" spans="1:10" x14ac:dyDescent="0.3">
      <c r="A12" t="s">
        <v>59</v>
      </c>
      <c r="B12" t="s">
        <v>60</v>
      </c>
      <c r="C12" t="s">
        <v>41</v>
      </c>
      <c r="D12" s="23" t="s">
        <v>42</v>
      </c>
      <c r="E12" s="23">
        <f>MAX(0,(SUMIF(buku_besar[Nama Akun],Table17[[#This Row],[Nama Akun]],buku_besar[Debit JU])-SUMIF(buku_besar[Nama Akun],Table17[[#This Row],[Nama Akun]],buku_besar[Kredit JU])))</f>
        <v>6000000</v>
      </c>
      <c r="F12" s="23">
        <f>MAX(0,(SUMIF(buku_besar[Nama Akun],Table17[[#This Row],[Nama Akun]],buku_besar[Kredit JU])-SUMIF(buku_besar[Nama Akun],Table17[[#This Row],[Nama Akun]],buku_besar[Debit JU])))</f>
        <v>0</v>
      </c>
    </row>
    <row r="13" spans="1:10" x14ac:dyDescent="0.3">
      <c r="A13" t="s">
        <v>61</v>
      </c>
      <c r="B13" t="s">
        <v>62</v>
      </c>
      <c r="C13" t="s">
        <v>41</v>
      </c>
      <c r="D13" s="23" t="s">
        <v>42</v>
      </c>
      <c r="E13" s="23">
        <f>MAX(0,(SUMIF(buku_besar[Nama Akun],Table17[[#This Row],[Nama Akun]],buku_besar[Debit JU])-SUMIF(buku_besar[Nama Akun],Table17[[#This Row],[Nama Akun]],buku_besar[Kredit JU])))</f>
        <v>7500000</v>
      </c>
      <c r="F13" s="23">
        <f>MAX(0,(SUMIF(buku_besar[Nama Akun],Table17[[#This Row],[Nama Akun]],buku_besar[Kredit JU])-SUMIF(buku_besar[Nama Akun],Table17[[#This Row],[Nama Akun]],buku_besar[Debit JU])))</f>
        <v>0</v>
      </c>
    </row>
    <row r="14" spans="1:10" x14ac:dyDescent="0.3">
      <c r="A14" t="s">
        <v>63</v>
      </c>
      <c r="B14" t="s">
        <v>64</v>
      </c>
      <c r="C14" t="s">
        <v>41</v>
      </c>
      <c r="D14" s="23" t="s">
        <v>42</v>
      </c>
      <c r="E14" s="23">
        <f>MAX(0,(SUMIF(buku_besar[Nama Akun],Table17[[#This Row],[Nama Akun]],buku_besar[Debit JU])-SUMIF(buku_besar[Nama Akun],Table17[[#This Row],[Nama Akun]],buku_besar[Kredit JU])))</f>
        <v>8000000</v>
      </c>
      <c r="F14" s="23">
        <f>MAX(0,(SUMIF(buku_besar[Nama Akun],Table17[[#This Row],[Nama Akun]],buku_besar[Kredit JU])-SUMIF(buku_besar[Nama Akun],Table17[[#This Row],[Nama Akun]],buku_besar[Debit JU])))</f>
        <v>0</v>
      </c>
    </row>
    <row r="15" spans="1:10" x14ac:dyDescent="0.3">
      <c r="A15" t="s">
        <v>65</v>
      </c>
      <c r="B15" t="s">
        <v>66</v>
      </c>
      <c r="C15" t="s">
        <v>41</v>
      </c>
      <c r="D15" s="23" t="s">
        <v>42</v>
      </c>
      <c r="E15" s="23">
        <f>MAX(0,(SUMIF(buku_besar[Nama Akun],Table17[[#This Row],[Nama Akun]],buku_besar[Debit JU])-SUMIF(buku_besar[Nama Akun],Table17[[#This Row],[Nama Akun]],buku_besar[Kredit JU])))</f>
        <v>22000000</v>
      </c>
      <c r="F15" s="23">
        <f>MAX(0,(SUMIF(buku_besar[Nama Akun],Table17[[#This Row],[Nama Akun]],buku_besar[Kredit JU])-SUMIF(buku_besar[Nama Akun],Table17[[#This Row],[Nama Akun]],buku_besar[Debit JU])))</f>
        <v>0</v>
      </c>
    </row>
    <row r="16" spans="1:10" x14ac:dyDescent="0.3">
      <c r="A16" t="s">
        <v>67</v>
      </c>
      <c r="B16" t="s">
        <v>68</v>
      </c>
      <c r="C16" t="s">
        <v>41</v>
      </c>
      <c r="D16" s="23" t="s">
        <v>42</v>
      </c>
      <c r="E16" s="23">
        <f>MAX(0,(SUMIF(buku_besar[Nama Akun],Table17[[#This Row],[Nama Akun]],buku_besar[Debit JU])-SUMIF(buku_besar[Nama Akun],Table17[[#This Row],[Nama Akun]],buku_besar[Kredit JU])))</f>
        <v>15000000</v>
      </c>
      <c r="F16" s="23">
        <f>MAX(0,(SUMIF(buku_besar[Nama Akun],Table17[[#This Row],[Nama Akun]],buku_besar[Kredit JU])-SUMIF(buku_besar[Nama Akun],Table17[[#This Row],[Nama Akun]],buku_besar[Debit JU])))</f>
        <v>0</v>
      </c>
    </row>
    <row r="17" spans="1:6" x14ac:dyDescent="0.3">
      <c r="A17" t="s">
        <v>69</v>
      </c>
      <c r="B17" t="s">
        <v>70</v>
      </c>
      <c r="C17" t="s">
        <v>41</v>
      </c>
      <c r="D17" s="23" t="s">
        <v>42</v>
      </c>
      <c r="E17" s="23">
        <f>MAX(0,(SUMIF(buku_besar[Nama Akun],Table17[[#This Row],[Nama Akun]],buku_besar[Debit JU])-SUMIF(buku_besar[Nama Akun],Table17[[#This Row],[Nama Akun]],buku_besar[Kredit JU])))</f>
        <v>180000000</v>
      </c>
      <c r="F17" s="23">
        <f>MAX(0,(SUMIF(buku_besar[Nama Akun],Table17[[#This Row],[Nama Akun]],buku_besar[Kredit JU])-SUMIF(buku_besar[Nama Akun],Table17[[#This Row],[Nama Akun]],buku_besar[Debit JU])))</f>
        <v>0</v>
      </c>
    </row>
    <row r="18" spans="1:6" x14ac:dyDescent="0.3">
      <c r="A18" t="s">
        <v>71</v>
      </c>
      <c r="B18" t="s">
        <v>72</v>
      </c>
      <c r="C18" t="s">
        <v>41</v>
      </c>
      <c r="D18" s="23" t="s">
        <v>42</v>
      </c>
      <c r="E18" s="23">
        <f>MAX(0,(SUMIF(buku_besar[Nama Akun],Table17[[#This Row],[Nama Akun]],buku_besar[Debit JU])-SUMIF(buku_besar[Nama Akun],Table17[[#This Row],[Nama Akun]],buku_besar[Kredit JU])))</f>
        <v>350000000</v>
      </c>
      <c r="F18" s="23">
        <f>MAX(0,(SUMIF(buku_besar[Nama Akun],Table17[[#This Row],[Nama Akun]],buku_besar[Kredit JU])-SUMIF(buku_besar[Nama Akun],Table17[[#This Row],[Nama Akun]],buku_besar[Debit JU])))</f>
        <v>0</v>
      </c>
    </row>
    <row r="19" spans="1:6" x14ac:dyDescent="0.3">
      <c r="A19" t="s">
        <v>73</v>
      </c>
      <c r="B19" t="s">
        <v>74</v>
      </c>
      <c r="C19" t="s">
        <v>41</v>
      </c>
      <c r="D19" s="23" t="s">
        <v>42</v>
      </c>
      <c r="E19" s="23">
        <f>MAX(0,(SUMIF(buku_besar[Nama Akun],Table17[[#This Row],[Nama Akun]],buku_besar[Debit JU])-SUMIF(buku_besar[Nama Akun],Table17[[#This Row],[Nama Akun]],buku_besar[Kredit JU])))</f>
        <v>220000000</v>
      </c>
      <c r="F19" s="23">
        <f>MAX(0,(SUMIF(buku_besar[Nama Akun],Table17[[#This Row],[Nama Akun]],buku_besar[Kredit JU])-SUMIF(buku_besar[Nama Akun],Table17[[#This Row],[Nama Akun]],buku_besar[Debit JU])))</f>
        <v>0</v>
      </c>
    </row>
    <row r="20" spans="1:6" x14ac:dyDescent="0.3">
      <c r="A20" t="s">
        <v>75</v>
      </c>
      <c r="B20" t="s">
        <v>76</v>
      </c>
      <c r="C20" t="s">
        <v>77</v>
      </c>
      <c r="D20" s="23" t="s">
        <v>78</v>
      </c>
      <c r="E20" s="23">
        <f>MAX(0,(SUMIF(buku_besar[Nama Akun],Table17[[#This Row],[Nama Akun]],buku_besar[Debit JU])-SUMIF(buku_besar[Nama Akun],Table17[[#This Row],[Nama Akun]],buku_besar[Kredit JU])))</f>
        <v>0</v>
      </c>
      <c r="F20" s="23">
        <f>MAX(0,(SUMIF(buku_besar[Nama Akun],Table17[[#This Row],[Nama Akun]],buku_besar[Kredit JU])-SUMIF(buku_besar[Nama Akun],Table17[[#This Row],[Nama Akun]],buku_besar[Debit JU])))</f>
        <v>0</v>
      </c>
    </row>
    <row r="21" spans="1:6" x14ac:dyDescent="0.3">
      <c r="A21" t="s">
        <v>79</v>
      </c>
      <c r="B21" t="s">
        <v>80</v>
      </c>
      <c r="C21" t="s">
        <v>77</v>
      </c>
      <c r="D21" s="23" t="s">
        <v>78</v>
      </c>
      <c r="E21" s="23">
        <f>MAX(0,(SUMIF(buku_besar[Nama Akun],Table17[[#This Row],[Nama Akun]],buku_besar[Debit JU])-SUMIF(buku_besar[Nama Akun],Table17[[#This Row],[Nama Akun]],buku_besar[Kredit JU])))</f>
        <v>0</v>
      </c>
      <c r="F21" s="23">
        <f>MAX(0,(SUMIF(buku_besar[Nama Akun],Table17[[#This Row],[Nama Akun]],buku_besar[Kredit JU])-SUMIF(buku_besar[Nama Akun],Table17[[#This Row],[Nama Akun]],buku_besar[Debit JU])))</f>
        <v>0</v>
      </c>
    </row>
    <row r="22" spans="1:6" x14ac:dyDescent="0.3">
      <c r="A22" t="s">
        <v>81</v>
      </c>
      <c r="B22" t="s">
        <v>82</v>
      </c>
      <c r="C22" t="s">
        <v>77</v>
      </c>
      <c r="D22" s="23" t="s">
        <v>78</v>
      </c>
      <c r="E22" s="23">
        <f>MAX(0,(SUMIF(buku_besar[Nama Akun],Table17[[#This Row],[Nama Akun]],buku_besar[Debit JU])-SUMIF(buku_besar[Nama Akun],Table17[[#This Row],[Nama Akun]],buku_besar[Kredit JU])))</f>
        <v>0</v>
      </c>
      <c r="F22" s="23">
        <f>MAX(0,(SUMIF(buku_besar[Nama Akun],Table17[[#This Row],[Nama Akun]],buku_besar[Kredit JU])-SUMIF(buku_besar[Nama Akun],Table17[[#This Row],[Nama Akun]],buku_besar[Debit JU])))</f>
        <v>0</v>
      </c>
    </row>
    <row r="23" spans="1:6" x14ac:dyDescent="0.3">
      <c r="A23" t="s">
        <v>83</v>
      </c>
      <c r="B23" t="s">
        <v>84</v>
      </c>
      <c r="C23" t="s">
        <v>85</v>
      </c>
      <c r="D23" s="23" t="s">
        <v>78</v>
      </c>
      <c r="E23" s="23">
        <f>MAX(0,(SUMIF(buku_besar[Nama Akun],Table17[[#This Row],[Nama Akun]],buku_besar[Debit JU])-SUMIF(buku_besar[Nama Akun],Table17[[#This Row],[Nama Akun]],buku_besar[Kredit JU])))</f>
        <v>0</v>
      </c>
      <c r="F23" s="23">
        <f>MAX(0,(SUMIF(buku_besar[Nama Akun],Table17[[#This Row],[Nama Akun]],buku_besar[Kredit JU])-SUMIF(buku_besar[Nama Akun],Table17[[#This Row],[Nama Akun]],buku_besar[Debit JU])))</f>
        <v>47050000</v>
      </c>
    </row>
    <row r="24" spans="1:6" x14ac:dyDescent="0.3">
      <c r="A24" t="s">
        <v>87</v>
      </c>
      <c r="B24" t="s">
        <v>88</v>
      </c>
      <c r="C24" t="s">
        <v>85</v>
      </c>
      <c r="D24" s="23" t="s">
        <v>78</v>
      </c>
      <c r="E24" s="23">
        <f>MAX(0,(SUMIF(buku_besar[Nama Akun],Table17[[#This Row],[Nama Akun]],buku_besar[Debit JU])-SUMIF(buku_besar[Nama Akun],Table17[[#This Row],[Nama Akun]],buku_besar[Kredit JU])))</f>
        <v>0</v>
      </c>
      <c r="F24" s="23">
        <f>MAX(0,(SUMIF(buku_besar[Nama Akun],Table17[[#This Row],[Nama Akun]],buku_besar[Kredit JU])-SUMIF(buku_besar[Nama Akun],Table17[[#This Row],[Nama Akun]],buku_besar[Debit JU])))</f>
        <v>10100000</v>
      </c>
    </row>
    <row r="25" spans="1:6" x14ac:dyDescent="0.3">
      <c r="A25" t="s">
        <v>89</v>
      </c>
      <c r="B25" t="s">
        <v>90</v>
      </c>
      <c r="C25" t="s">
        <v>85</v>
      </c>
      <c r="D25" s="23" t="s">
        <v>78</v>
      </c>
      <c r="E25" s="23">
        <f>MAX(0,(SUMIF(buku_besar[Nama Akun],Table17[[#This Row],[Nama Akun]],buku_besar[Debit JU])-SUMIF(buku_besar[Nama Akun],Table17[[#This Row],[Nama Akun]],buku_besar[Kredit JU])))</f>
        <v>0</v>
      </c>
      <c r="F25" s="23">
        <f>MAX(0,(SUMIF(buku_besar[Nama Akun],Table17[[#This Row],[Nama Akun]],buku_besar[Kredit JU])-SUMIF(buku_besar[Nama Akun],Table17[[#This Row],[Nama Akun]],buku_besar[Debit JU])))</f>
        <v>2000000</v>
      </c>
    </row>
    <row r="26" spans="1:6" x14ac:dyDescent="0.3">
      <c r="A26" t="s">
        <v>91</v>
      </c>
      <c r="B26" t="s">
        <v>92</v>
      </c>
      <c r="C26" t="s">
        <v>85</v>
      </c>
      <c r="D26" s="23" t="s">
        <v>78</v>
      </c>
      <c r="E26" s="23">
        <f>MAX(0,(SUMIF(buku_besar[Nama Akun],Table17[[#This Row],[Nama Akun]],buku_besar[Debit JU])-SUMIF(buku_besar[Nama Akun],Table17[[#This Row],[Nama Akun]],buku_besar[Kredit JU])))</f>
        <v>0</v>
      </c>
      <c r="F26" s="23">
        <f>MAX(0,(SUMIF(buku_besar[Nama Akun],Table17[[#This Row],[Nama Akun]],buku_besar[Kredit JU])-SUMIF(buku_besar[Nama Akun],Table17[[#This Row],[Nama Akun]],buku_besar[Debit JU])))</f>
        <v>1100000</v>
      </c>
    </row>
    <row r="27" spans="1:6" x14ac:dyDescent="0.3">
      <c r="A27" t="s">
        <v>93</v>
      </c>
      <c r="B27" t="s">
        <v>94</v>
      </c>
      <c r="C27" t="s">
        <v>85</v>
      </c>
      <c r="D27" s="23" t="s">
        <v>78</v>
      </c>
      <c r="E27" s="23">
        <f>MAX(0,(SUMIF(buku_besar[Nama Akun],Table17[[#This Row],[Nama Akun]],buku_besar[Debit JU])-SUMIF(buku_besar[Nama Akun],Table17[[#This Row],[Nama Akun]],buku_besar[Kredit JU])))</f>
        <v>0</v>
      </c>
      <c r="F27" s="23">
        <f>MAX(0,(SUMIF(buku_besar[Nama Akun],Table17[[#This Row],[Nama Akun]],buku_besar[Kredit JU])-SUMIF(buku_besar[Nama Akun],Table17[[#This Row],[Nama Akun]],buku_besar[Debit JU])))</f>
        <v>3080000</v>
      </c>
    </row>
    <row r="28" spans="1:6" x14ac:dyDescent="0.3">
      <c r="A28" t="s">
        <v>95</v>
      </c>
      <c r="B28" t="s">
        <v>96</v>
      </c>
      <c r="C28" t="s">
        <v>85</v>
      </c>
      <c r="D28" s="23" t="s">
        <v>78</v>
      </c>
      <c r="E28" s="23">
        <f>MAX(0,(SUMIF(buku_besar[Nama Akun],Table17[[#This Row],[Nama Akun]],buku_besar[Debit JU])-SUMIF(buku_besar[Nama Akun],Table17[[#This Row],[Nama Akun]],buku_besar[Kredit JU])))</f>
        <v>0</v>
      </c>
      <c r="F28" s="23">
        <f>MAX(0,(SUMIF(buku_besar[Nama Akun],Table17[[#This Row],[Nama Akun]],buku_besar[Kredit JU])-SUMIF(buku_besar[Nama Akun],Table17[[#This Row],[Nama Akun]],buku_besar[Debit JU])))</f>
        <v>800000</v>
      </c>
    </row>
    <row r="29" spans="1:6" x14ac:dyDescent="0.3">
      <c r="A29" t="s">
        <v>97</v>
      </c>
      <c r="B29" t="s">
        <v>98</v>
      </c>
      <c r="C29" t="s">
        <v>85</v>
      </c>
      <c r="D29" s="23" t="s">
        <v>78</v>
      </c>
      <c r="E29" s="23">
        <f>MAX(0,(SUMIF(buku_besar[Nama Akun],Table17[[#This Row],[Nama Akun]],buku_besar[Debit JU])-SUMIF(buku_besar[Nama Akun],Table17[[#This Row],[Nama Akun]],buku_besar[Kredit JU])))</f>
        <v>0</v>
      </c>
      <c r="F29" s="23">
        <f>MAX(0,(SUMIF(buku_besar[Nama Akun],Table17[[#This Row],[Nama Akun]],buku_besar[Kredit JU])-SUMIF(buku_besar[Nama Akun],Table17[[#This Row],[Nama Akun]],buku_besar[Debit JU])))</f>
        <v>4000000</v>
      </c>
    </row>
    <row r="30" spans="1:6" x14ac:dyDescent="0.3">
      <c r="A30" t="s">
        <v>99</v>
      </c>
      <c r="B30" t="s">
        <v>100</v>
      </c>
      <c r="C30" t="s">
        <v>85</v>
      </c>
      <c r="D30" s="23" t="s">
        <v>78</v>
      </c>
      <c r="E30" s="23">
        <f>MAX(0,(SUMIF(buku_besar[Nama Akun],Table17[[#This Row],[Nama Akun]],buku_besar[Debit JU])-SUMIF(buku_besar[Nama Akun],Table17[[#This Row],[Nama Akun]],buku_besar[Kredit JU])))</f>
        <v>0</v>
      </c>
      <c r="F30" s="23">
        <f>MAX(0,(SUMIF(buku_besar[Nama Akun],Table17[[#This Row],[Nama Akun]],buku_besar[Kredit JU])-SUMIF(buku_besar[Nama Akun],Table17[[#This Row],[Nama Akun]],buku_besar[Debit JU])))</f>
        <v>2100000</v>
      </c>
    </row>
    <row r="31" spans="1:6" x14ac:dyDescent="0.3">
      <c r="A31" t="s">
        <v>101</v>
      </c>
      <c r="B31" t="s">
        <v>102</v>
      </c>
      <c r="C31" t="s">
        <v>85</v>
      </c>
      <c r="D31" s="23" t="s">
        <v>78</v>
      </c>
      <c r="E31" s="23">
        <f>MAX(0,(SUMIF(buku_besar[Nama Akun],Table17[[#This Row],[Nama Akun]],buku_besar[Debit JU])-SUMIF(buku_besar[Nama Akun],Table17[[#This Row],[Nama Akun]],buku_besar[Kredit JU])))</f>
        <v>0</v>
      </c>
      <c r="F31" s="23">
        <f>MAX(0,(SUMIF(buku_besar[Nama Akun],Table17[[#This Row],[Nama Akun]],buku_besar[Kredit JU])-SUMIF(buku_besar[Nama Akun],Table17[[#This Row],[Nama Akun]],buku_besar[Debit JU])))</f>
        <v>394000000</v>
      </c>
    </row>
    <row r="32" spans="1:6" x14ac:dyDescent="0.3">
      <c r="A32" t="s">
        <v>103</v>
      </c>
      <c r="B32" t="s">
        <v>104</v>
      </c>
      <c r="C32" t="s">
        <v>85</v>
      </c>
      <c r="D32" s="23" t="s">
        <v>78</v>
      </c>
      <c r="E32" s="23">
        <f>MAX(0,(SUMIF(buku_besar[Nama Akun],Table17[[#This Row],[Nama Akun]],buku_besar[Debit JU])-SUMIF(buku_besar[Nama Akun],Table17[[#This Row],[Nama Akun]],buku_besar[Kredit JU])))</f>
        <v>0</v>
      </c>
      <c r="F32" s="23">
        <f>MAX(0,(SUMIF(buku_besar[Nama Akun],Table17[[#This Row],[Nama Akun]],buku_besar[Kredit JU])-SUMIF(buku_besar[Nama Akun],Table17[[#This Row],[Nama Akun]],buku_besar[Debit JU])))</f>
        <v>17000000</v>
      </c>
    </row>
    <row r="33" spans="1:6" x14ac:dyDescent="0.3">
      <c r="A33" t="s">
        <v>105</v>
      </c>
      <c r="B33" t="s">
        <v>106</v>
      </c>
      <c r="C33" t="s">
        <v>85</v>
      </c>
      <c r="D33" s="23" t="s">
        <v>78</v>
      </c>
      <c r="E33" s="23">
        <f>MAX(0,(SUMIF(buku_besar[Nama Akun],Table17[[#This Row],[Nama Akun]],buku_besar[Debit JU])-SUMIF(buku_besar[Nama Akun],Table17[[#This Row],[Nama Akun]],buku_besar[Kredit JU])))</f>
        <v>0</v>
      </c>
      <c r="F33" s="23">
        <f>MAX(0,(SUMIF(buku_besar[Nama Akun],Table17[[#This Row],[Nama Akun]],buku_besar[Kredit JU])-SUMIF(buku_besar[Nama Akun],Table17[[#This Row],[Nama Akun]],buku_besar[Debit JU])))</f>
        <v>350000000</v>
      </c>
    </row>
    <row r="34" spans="1:6" x14ac:dyDescent="0.3">
      <c r="A34" t="s">
        <v>107</v>
      </c>
      <c r="B34" t="s">
        <v>108</v>
      </c>
      <c r="C34" t="s">
        <v>85</v>
      </c>
      <c r="D34" s="23" t="s">
        <v>78</v>
      </c>
      <c r="E34" s="23">
        <f>MAX(0,(SUMIF(buku_besar[Nama Akun],Table17[[#This Row],[Nama Akun]],buku_besar[Debit JU])-SUMIF(buku_besar[Nama Akun],Table17[[#This Row],[Nama Akun]],buku_besar[Kredit JU])))</f>
        <v>0</v>
      </c>
      <c r="F34" s="23">
        <f>MAX(0,(SUMIF(buku_besar[Nama Akun],Table17[[#This Row],[Nama Akun]],buku_besar[Kredit JU])-SUMIF(buku_besar[Nama Akun],Table17[[#This Row],[Nama Akun]],buku_besar[Debit JU])))</f>
        <v>16000000</v>
      </c>
    </row>
    <row r="35" spans="1:6" x14ac:dyDescent="0.3">
      <c r="A35" t="s">
        <v>109</v>
      </c>
      <c r="B35" t="s">
        <v>110</v>
      </c>
      <c r="C35" t="s">
        <v>111</v>
      </c>
      <c r="D35" s="23" t="s">
        <v>78</v>
      </c>
      <c r="E35" s="23">
        <f>MAX(0,(SUMIF(buku_besar[Nama Akun],Table17[[#This Row],[Nama Akun]],buku_besar[Debit JU])-SUMIF(buku_besar[Nama Akun],Table17[[#This Row],[Nama Akun]],buku_besar[Kredit JU])))</f>
        <v>0</v>
      </c>
      <c r="F35" s="23">
        <f>MAX(0,(SUMIF(buku_besar[Nama Akun],Table17[[#This Row],[Nama Akun]],buku_besar[Kredit JU])-SUMIF(buku_besar[Nama Akun],Table17[[#This Row],[Nama Akun]],buku_besar[Debit JU])))</f>
        <v>80000000</v>
      </c>
    </row>
    <row r="36" spans="1:6" x14ac:dyDescent="0.3">
      <c r="A36" t="s">
        <v>113</v>
      </c>
      <c r="B36" t="s">
        <v>114</v>
      </c>
      <c r="C36" t="s">
        <v>111</v>
      </c>
      <c r="D36" s="23" t="s">
        <v>78</v>
      </c>
      <c r="E36" s="23">
        <f>MAX(0,(SUMIF(buku_besar[Nama Akun],Table17[[#This Row],[Nama Akun]],buku_besar[Debit JU])-SUMIF(buku_besar[Nama Akun],Table17[[#This Row],[Nama Akun]],buku_besar[Kredit JU])))</f>
        <v>0</v>
      </c>
      <c r="F36" s="23">
        <f>MAX(0,(SUMIF(buku_besar[Nama Akun],Table17[[#This Row],[Nama Akun]],buku_besar[Kredit JU])-SUMIF(buku_besar[Nama Akun],Table17[[#This Row],[Nama Akun]],buku_besar[Debit JU])))</f>
        <v>120000000</v>
      </c>
    </row>
    <row r="37" spans="1:6" x14ac:dyDescent="0.3">
      <c r="A37" t="s">
        <v>115</v>
      </c>
      <c r="B37" t="s">
        <v>116</v>
      </c>
      <c r="C37" t="s">
        <v>111</v>
      </c>
      <c r="D37" s="23" t="s">
        <v>78</v>
      </c>
      <c r="E37" s="23">
        <f>MAX(0,(SUMIF(buku_besar[Nama Akun],Table17[[#This Row],[Nama Akun]],buku_besar[Debit JU])-SUMIF(buku_besar[Nama Akun],Table17[[#This Row],[Nama Akun]],buku_besar[Kredit JU])))</f>
        <v>0</v>
      </c>
      <c r="F37" s="23">
        <f>MAX(0,(SUMIF(buku_besar[Nama Akun],Table17[[#This Row],[Nama Akun]],buku_besar[Kredit JU])-SUMIF(buku_besar[Nama Akun],Table17[[#This Row],[Nama Akun]],buku_besar[Debit JU])))</f>
        <v>25000000</v>
      </c>
    </row>
    <row r="38" spans="1:6" x14ac:dyDescent="0.3">
      <c r="A38" t="s">
        <v>117</v>
      </c>
      <c r="B38" t="s">
        <v>118</v>
      </c>
      <c r="C38" t="s">
        <v>111</v>
      </c>
      <c r="D38" s="23" t="s">
        <v>78</v>
      </c>
      <c r="E38" s="23">
        <f>MAX(0,(SUMIF(buku_besar[Nama Akun],Table17[[#This Row],[Nama Akun]],buku_besar[Debit JU])-SUMIF(buku_besar[Nama Akun],Table17[[#This Row],[Nama Akun]],buku_besar[Kredit JU])))</f>
        <v>0</v>
      </c>
      <c r="F38" s="23">
        <f>MAX(0,(SUMIF(buku_besar[Nama Akun],Table17[[#This Row],[Nama Akun]],buku_besar[Kredit JU])-SUMIF(buku_besar[Nama Akun],Table17[[#This Row],[Nama Akun]],buku_besar[Debit JU])))</f>
        <v>18000000</v>
      </c>
    </row>
    <row r="39" spans="1:6" x14ac:dyDescent="0.3">
      <c r="A39" t="s">
        <v>119</v>
      </c>
      <c r="B39" t="s">
        <v>120</v>
      </c>
      <c r="C39" t="s">
        <v>121</v>
      </c>
      <c r="D39" s="23" t="s">
        <v>42</v>
      </c>
      <c r="E39" s="23">
        <f>MAX(0,(SUMIF(buku_besar[Nama Akun],Table17[[#This Row],[Nama Akun]],buku_besar[Debit JU])-SUMIF(buku_besar[Nama Akun],Table17[[#This Row],[Nama Akun]],buku_besar[Kredit JU])))</f>
        <v>3000000</v>
      </c>
      <c r="F39" s="23">
        <f>MAX(0,(SUMIF(buku_besar[Nama Akun],Table17[[#This Row],[Nama Akun]],buku_besar[Kredit JU])-SUMIF(buku_besar[Nama Akun],Table17[[#This Row],[Nama Akun]],buku_besar[Debit JU])))</f>
        <v>0</v>
      </c>
    </row>
    <row r="40" spans="1:6" x14ac:dyDescent="0.3">
      <c r="A40" t="s">
        <v>122</v>
      </c>
      <c r="B40" t="s">
        <v>123</v>
      </c>
      <c r="C40" t="s">
        <v>111</v>
      </c>
      <c r="D40" s="23" t="s">
        <v>78</v>
      </c>
      <c r="E40" s="23">
        <f>MAX(0,(SUMIF(buku_besar[Nama Akun],Table17[[#This Row],[Nama Akun]],buku_besar[Debit JU])-SUMIF(buku_besar[Nama Akun],Table17[[#This Row],[Nama Akun]],buku_besar[Kredit JU])))</f>
        <v>18000000</v>
      </c>
      <c r="F40" s="23">
        <f>MAX(0,(SUMIF(buku_besar[Nama Akun],Table17[[#This Row],[Nama Akun]],buku_besar[Kredit JU])-SUMIF(buku_besar[Nama Akun],Table17[[#This Row],[Nama Akun]],buku_besar[Debit JU])))</f>
        <v>0</v>
      </c>
    </row>
    <row r="41" spans="1:6" x14ac:dyDescent="0.3">
      <c r="A41" t="s">
        <v>124</v>
      </c>
      <c r="B41" t="s">
        <v>125</v>
      </c>
      <c r="C41" t="s">
        <v>126</v>
      </c>
      <c r="D41" s="23" t="s">
        <v>78</v>
      </c>
      <c r="E41" s="23">
        <f>MAX(0,(SUMIF(buku_besar[Nama Akun],Table17[[#This Row],[Nama Akun]],buku_besar[Debit JU])-SUMIF(buku_besar[Nama Akun],Table17[[#This Row],[Nama Akun]],buku_besar[Kredit JU])))</f>
        <v>0</v>
      </c>
      <c r="F41" s="23">
        <f>MAX(0,(SUMIF(buku_besar[Nama Akun],Table17[[#This Row],[Nama Akun]],buku_besar[Kredit JU])-SUMIF(buku_besar[Nama Akun],Table17[[#This Row],[Nama Akun]],buku_besar[Debit JU])))</f>
        <v>14000000</v>
      </c>
    </row>
    <row r="42" spans="1:6" x14ac:dyDescent="0.3">
      <c r="A42" t="s">
        <v>128</v>
      </c>
      <c r="B42" t="s">
        <v>129</v>
      </c>
      <c r="C42" t="s">
        <v>126</v>
      </c>
      <c r="D42" s="23" t="s">
        <v>78</v>
      </c>
      <c r="E42" s="23">
        <f>MAX(0,(SUMIF(buku_besar[Nama Akun],Table17[[#This Row],[Nama Akun]],buku_besar[Debit JU])-SUMIF(buku_besar[Nama Akun],Table17[[#This Row],[Nama Akun]],buku_besar[Kredit JU])))</f>
        <v>0</v>
      </c>
      <c r="F42" s="23">
        <f>MAX(0,(SUMIF(buku_besar[Nama Akun],Table17[[#This Row],[Nama Akun]],buku_besar[Kredit JU])-SUMIF(buku_besar[Nama Akun],Table17[[#This Row],[Nama Akun]],buku_besar[Debit JU])))</f>
        <v>28000000</v>
      </c>
    </row>
    <row r="43" spans="1:6" x14ac:dyDescent="0.3">
      <c r="A43" t="s">
        <v>130</v>
      </c>
      <c r="B43" t="s">
        <v>131</v>
      </c>
      <c r="C43" t="s">
        <v>126</v>
      </c>
      <c r="D43" s="23" t="s">
        <v>78</v>
      </c>
      <c r="E43" s="23">
        <f>MAX(0,(SUMIF(buku_besar[Nama Akun],Table17[[#This Row],[Nama Akun]],buku_besar[Debit JU])-SUMIF(buku_besar[Nama Akun],Table17[[#This Row],[Nama Akun]],buku_besar[Kredit JU])))</f>
        <v>0</v>
      </c>
      <c r="F43" s="23">
        <f>MAX(0,(SUMIF(buku_besar[Nama Akun],Table17[[#This Row],[Nama Akun]],buku_besar[Kredit JU])-SUMIF(buku_besar[Nama Akun],Table17[[#This Row],[Nama Akun]],buku_besar[Debit JU])))</f>
        <v>3400000</v>
      </c>
    </row>
    <row r="44" spans="1:6" x14ac:dyDescent="0.3">
      <c r="A44" t="s">
        <v>132</v>
      </c>
      <c r="B44" t="s">
        <v>133</v>
      </c>
      <c r="C44" t="s">
        <v>126</v>
      </c>
      <c r="D44" s="23" t="s">
        <v>78</v>
      </c>
      <c r="E44" s="23">
        <f>MAX(0,(SUMIF(buku_besar[Nama Akun],Table17[[#This Row],[Nama Akun]],buku_besar[Debit JU])-SUMIF(buku_besar[Nama Akun],Table17[[#This Row],[Nama Akun]],buku_besar[Kredit JU])))</f>
        <v>0</v>
      </c>
      <c r="F44" s="23">
        <f>MAX(0,(SUMIF(buku_besar[Nama Akun],Table17[[#This Row],[Nama Akun]],buku_besar[Kredit JU])-SUMIF(buku_besar[Nama Akun],Table17[[#This Row],[Nama Akun]],buku_besar[Debit JU])))</f>
        <v>1200000</v>
      </c>
    </row>
    <row r="45" spans="1:6" x14ac:dyDescent="0.3">
      <c r="A45" t="s">
        <v>134</v>
      </c>
      <c r="B45" t="s">
        <v>135</v>
      </c>
      <c r="C45" t="s">
        <v>126</v>
      </c>
      <c r="D45" s="23" t="s">
        <v>78</v>
      </c>
      <c r="E45" s="23">
        <f>MAX(0,(SUMIF(buku_besar[Nama Akun],Table17[[#This Row],[Nama Akun]],buku_besar[Debit JU])-SUMIF(buku_besar[Nama Akun],Table17[[#This Row],[Nama Akun]],buku_besar[Kredit JU])))</f>
        <v>0</v>
      </c>
      <c r="F45" s="23">
        <f>MAX(0,(SUMIF(buku_besar[Nama Akun],Table17[[#This Row],[Nama Akun]],buku_besar[Kredit JU])-SUMIF(buku_besar[Nama Akun],Table17[[#This Row],[Nama Akun]],buku_besar[Debit JU])))</f>
        <v>9000000</v>
      </c>
    </row>
    <row r="46" spans="1:6" x14ac:dyDescent="0.3">
      <c r="A46" t="s">
        <v>136</v>
      </c>
      <c r="B46" t="s">
        <v>137</v>
      </c>
      <c r="C46" t="s">
        <v>126</v>
      </c>
      <c r="D46" s="23" t="s">
        <v>78</v>
      </c>
      <c r="E46" s="23">
        <f>MAX(0,(SUMIF(buku_besar[Nama Akun],Table17[[#This Row],[Nama Akun]],buku_besar[Debit JU])-SUMIF(buku_besar[Nama Akun],Table17[[#This Row],[Nama Akun]],buku_besar[Kredit JU])))</f>
        <v>0</v>
      </c>
      <c r="F46" s="23">
        <f>MAX(0,(SUMIF(buku_besar[Nama Akun],Table17[[#This Row],[Nama Akun]],buku_besar[Kredit JU])-SUMIF(buku_besar[Nama Akun],Table17[[#This Row],[Nama Akun]],buku_besar[Debit JU])))</f>
        <v>5500000</v>
      </c>
    </row>
    <row r="47" spans="1:6" x14ac:dyDescent="0.3">
      <c r="A47" t="s">
        <v>138</v>
      </c>
      <c r="B47" t="s">
        <v>139</v>
      </c>
      <c r="C47" t="s">
        <v>126</v>
      </c>
      <c r="D47" s="23" t="s">
        <v>78</v>
      </c>
      <c r="E47" s="23">
        <f>MAX(0,(SUMIF(buku_besar[Nama Akun],Table17[[#This Row],[Nama Akun]],buku_besar[Debit JU])-SUMIF(buku_besar[Nama Akun],Table17[[#This Row],[Nama Akun]],buku_besar[Kredit JU])))</f>
        <v>0</v>
      </c>
      <c r="F47" s="23">
        <f>MAX(0,(SUMIF(buku_besar[Nama Akun],Table17[[#This Row],[Nama Akun]],buku_besar[Kredit JU])-SUMIF(buku_besar[Nama Akun],Table17[[#This Row],[Nama Akun]],buku_besar[Debit JU])))</f>
        <v>2750000</v>
      </c>
    </row>
    <row r="48" spans="1:6" x14ac:dyDescent="0.3">
      <c r="A48" t="s">
        <v>140</v>
      </c>
      <c r="B48" t="s">
        <v>141</v>
      </c>
      <c r="C48" t="s">
        <v>142</v>
      </c>
      <c r="D48" s="23" t="s">
        <v>42</v>
      </c>
      <c r="E48" s="23">
        <f>MAX(0,(SUMIF(buku_besar[Nama Akun],Table17[[#This Row],[Nama Akun]],buku_besar[Debit JU])-SUMIF(buku_besar[Nama Akun],Table17[[#This Row],[Nama Akun]],buku_besar[Kredit JU])))</f>
        <v>12000000</v>
      </c>
      <c r="F48" s="23">
        <f>MAX(0,(SUMIF(buku_besar[Nama Akun],Table17[[#This Row],[Nama Akun]],buku_besar[Kredit JU])-SUMIF(buku_besar[Nama Akun],Table17[[#This Row],[Nama Akun]],buku_besar[Debit JU])))</f>
        <v>0</v>
      </c>
    </row>
    <row r="49" spans="1:6" x14ac:dyDescent="0.3">
      <c r="A49" t="s">
        <v>144</v>
      </c>
      <c r="B49" t="s">
        <v>145</v>
      </c>
      <c r="C49" t="s">
        <v>142</v>
      </c>
      <c r="D49" s="23" t="s">
        <v>42</v>
      </c>
      <c r="E49" s="23">
        <f>MAX(0,(SUMIF(buku_besar[Nama Akun],Table17[[#This Row],[Nama Akun]],buku_besar[Debit JU])-SUMIF(buku_besar[Nama Akun],Table17[[#This Row],[Nama Akun]],buku_besar[Kredit JU])))</f>
        <v>4200000</v>
      </c>
      <c r="F49" s="23">
        <f>MAX(0,(SUMIF(buku_besar[Nama Akun],Table17[[#This Row],[Nama Akun]],buku_besar[Kredit JU])-SUMIF(buku_besar[Nama Akun],Table17[[#This Row],[Nama Akun]],buku_besar[Debit JU])))</f>
        <v>0</v>
      </c>
    </row>
    <row r="50" spans="1:6" x14ac:dyDescent="0.3">
      <c r="A50" t="s">
        <v>146</v>
      </c>
      <c r="B50" t="s">
        <v>147</v>
      </c>
      <c r="C50" t="s">
        <v>142</v>
      </c>
      <c r="D50" s="23" t="s">
        <v>42</v>
      </c>
      <c r="E50" s="23">
        <f>MAX(0,(SUMIF(buku_besar[Nama Akun],Table17[[#This Row],[Nama Akun]],buku_besar[Debit JU])-SUMIF(buku_besar[Nama Akun],Table17[[#This Row],[Nama Akun]],buku_besar[Kredit JU])))</f>
        <v>4000000</v>
      </c>
      <c r="F50" s="23">
        <f>MAX(0,(SUMIF(buku_besar[Nama Akun],Table17[[#This Row],[Nama Akun]],buku_besar[Kredit JU])-SUMIF(buku_besar[Nama Akun],Table17[[#This Row],[Nama Akun]],buku_besar[Debit JU])))</f>
        <v>0</v>
      </c>
    </row>
    <row r="51" spans="1:6" x14ac:dyDescent="0.3">
      <c r="A51" t="s">
        <v>148</v>
      </c>
      <c r="B51" t="s">
        <v>149</v>
      </c>
      <c r="C51" t="s">
        <v>142</v>
      </c>
      <c r="D51" s="23" t="s">
        <v>42</v>
      </c>
      <c r="E51" s="23">
        <f>MAX(0,(SUMIF(buku_besar[Nama Akun],Table17[[#This Row],[Nama Akun]],buku_besar[Debit JU])-SUMIF(buku_besar[Nama Akun],Table17[[#This Row],[Nama Akun]],buku_besar[Kredit JU])))</f>
        <v>1750000</v>
      </c>
      <c r="F51" s="23">
        <f>MAX(0,(SUMIF(buku_besar[Nama Akun],Table17[[#This Row],[Nama Akun]],buku_besar[Kredit JU])-SUMIF(buku_besar[Nama Akun],Table17[[#This Row],[Nama Akun]],buku_besar[Debit JU])))</f>
        <v>0</v>
      </c>
    </row>
    <row r="52" spans="1:6" x14ac:dyDescent="0.3">
      <c r="A52" t="s">
        <v>150</v>
      </c>
      <c r="B52" t="s">
        <v>151</v>
      </c>
      <c r="C52" t="s">
        <v>142</v>
      </c>
      <c r="D52" s="23" t="s">
        <v>42</v>
      </c>
      <c r="E52" s="23">
        <f>MAX(0,(SUMIF(buku_besar[Nama Akun],Table17[[#This Row],[Nama Akun]],buku_besar[Debit JU])-SUMIF(buku_besar[Nama Akun],Table17[[#This Row],[Nama Akun]],buku_besar[Kredit JU])))</f>
        <v>450000</v>
      </c>
      <c r="F52" s="23">
        <f>MAX(0,(SUMIF(buku_besar[Nama Akun],Table17[[#This Row],[Nama Akun]],buku_besar[Kredit JU])-SUMIF(buku_besar[Nama Akun],Table17[[#This Row],[Nama Akun]],buku_besar[Debit JU])))</f>
        <v>0</v>
      </c>
    </row>
    <row r="53" spans="1:6" x14ac:dyDescent="0.3">
      <c r="A53" t="s">
        <v>152</v>
      </c>
      <c r="B53" t="s">
        <v>153</v>
      </c>
      <c r="C53" t="s">
        <v>142</v>
      </c>
      <c r="D53" s="23" t="s">
        <v>42</v>
      </c>
      <c r="E53" s="23">
        <f>MAX(0,(SUMIF(buku_besar[Nama Akun],Table17[[#This Row],[Nama Akun]],buku_besar[Debit JU])-SUMIF(buku_besar[Nama Akun],Table17[[#This Row],[Nama Akun]],buku_besar[Kredit JU])))</f>
        <v>650000</v>
      </c>
      <c r="F53" s="23">
        <f>MAX(0,(SUMIF(buku_besar[Nama Akun],Table17[[#This Row],[Nama Akun]],buku_besar[Kredit JU])-SUMIF(buku_besar[Nama Akun],Table17[[#This Row],[Nama Akun]],buku_besar[Debit JU])))</f>
        <v>0</v>
      </c>
    </row>
    <row r="54" spans="1:6" x14ac:dyDescent="0.3">
      <c r="A54" t="s">
        <v>154</v>
      </c>
      <c r="B54" t="s">
        <v>155</v>
      </c>
      <c r="C54" t="s">
        <v>142</v>
      </c>
      <c r="D54" s="23" t="s">
        <v>42</v>
      </c>
      <c r="E54" s="23">
        <f>MAX(0,(SUMIF(buku_besar[Nama Akun],Table17[[#This Row],[Nama Akun]],buku_besar[Debit JU])-SUMIF(buku_besar[Nama Akun],Table17[[#This Row],[Nama Akun]],buku_besar[Kredit JU])))</f>
        <v>900000</v>
      </c>
      <c r="F54" s="23">
        <f>MAX(0,(SUMIF(buku_besar[Nama Akun],Table17[[#This Row],[Nama Akun]],buku_besar[Kredit JU])-SUMIF(buku_besar[Nama Akun],Table17[[#This Row],[Nama Akun]],buku_besar[Debit JU])))</f>
        <v>0</v>
      </c>
    </row>
    <row r="55" spans="1:6" x14ac:dyDescent="0.3">
      <c r="A55" t="s">
        <v>156</v>
      </c>
      <c r="B55" t="s">
        <v>157</v>
      </c>
      <c r="C55" t="s">
        <v>142</v>
      </c>
      <c r="D55" s="23" t="s">
        <v>42</v>
      </c>
      <c r="E55" s="23">
        <f>MAX(0,(SUMIF(buku_besar[Nama Akun],Table17[[#This Row],[Nama Akun]],buku_besar[Debit JU])-SUMIF(buku_besar[Nama Akun],Table17[[#This Row],[Nama Akun]],buku_besar[Kredit JU])))</f>
        <v>0</v>
      </c>
      <c r="F55" s="23">
        <f>MAX(0,(SUMIF(buku_besar[Nama Akun],Table17[[#This Row],[Nama Akun]],buku_besar[Kredit JU])-SUMIF(buku_besar[Nama Akun],Table17[[#This Row],[Nama Akun]],buku_besar[Debit JU])))</f>
        <v>0</v>
      </c>
    </row>
    <row r="56" spans="1:6" x14ac:dyDescent="0.3">
      <c r="A56" t="s">
        <v>158</v>
      </c>
      <c r="B56" t="s">
        <v>159</v>
      </c>
      <c r="C56" t="s">
        <v>142</v>
      </c>
      <c r="D56" s="23" t="s">
        <v>42</v>
      </c>
      <c r="E56" s="23">
        <f>MAX(0,(SUMIF(buku_besar[Nama Akun],Table17[[#This Row],[Nama Akun]],buku_besar[Debit JU])-SUMIF(buku_besar[Nama Akun],Table17[[#This Row],[Nama Akun]],buku_besar[Kredit JU])))</f>
        <v>0</v>
      </c>
      <c r="F56" s="23">
        <f>MAX(0,(SUMIF(buku_besar[Nama Akun],Table17[[#This Row],[Nama Akun]],buku_besar[Kredit JU])-SUMIF(buku_besar[Nama Akun],Table17[[#This Row],[Nama Akun]],buku_besar[Debit JU])))</f>
        <v>0</v>
      </c>
    </row>
    <row r="57" spans="1:6" x14ac:dyDescent="0.3">
      <c r="A57" t="s">
        <v>160</v>
      </c>
      <c r="B57" t="s">
        <v>161</v>
      </c>
      <c r="C57" t="s">
        <v>142</v>
      </c>
      <c r="D57" s="23" t="s">
        <v>42</v>
      </c>
      <c r="E57" s="23">
        <f>MAX(0,(SUMIF(buku_besar[Nama Akun],Table17[[#This Row],[Nama Akun]],buku_besar[Debit JU])-SUMIF(buku_besar[Nama Akun],Table17[[#This Row],[Nama Akun]],buku_besar[Kredit JU])))</f>
        <v>1150000</v>
      </c>
      <c r="F57" s="23">
        <f>MAX(0,(SUMIF(buku_besar[Nama Akun],Table17[[#This Row],[Nama Akun]],buku_besar[Kredit JU])-SUMIF(buku_besar[Nama Akun],Table17[[#This Row],[Nama Akun]],buku_besar[Debit JU])))</f>
        <v>0</v>
      </c>
    </row>
    <row r="58" spans="1:6" x14ac:dyDescent="0.3">
      <c r="A58" t="s">
        <v>162</v>
      </c>
      <c r="B58" t="s">
        <v>163</v>
      </c>
      <c r="C58" t="s">
        <v>142</v>
      </c>
      <c r="D58" s="23" t="s">
        <v>42</v>
      </c>
      <c r="E58" s="23">
        <f>MAX(0,(SUMIF(buku_besar[Nama Akun],Table17[[#This Row],[Nama Akun]],buku_besar[Debit JU])-SUMIF(buku_besar[Nama Akun],Table17[[#This Row],[Nama Akun]],buku_besar[Kredit JU])))</f>
        <v>1000000</v>
      </c>
      <c r="F58" s="23">
        <f>MAX(0,(SUMIF(buku_besar[Nama Akun],Table17[[#This Row],[Nama Akun]],buku_besar[Kredit JU])-SUMIF(buku_besar[Nama Akun],Table17[[#This Row],[Nama Akun]],buku_besar[Debit JU])))</f>
        <v>0</v>
      </c>
    </row>
    <row r="59" spans="1:6" x14ac:dyDescent="0.3">
      <c r="A59" t="s">
        <v>164</v>
      </c>
      <c r="B59" t="s">
        <v>165</v>
      </c>
      <c r="C59" t="s">
        <v>142</v>
      </c>
      <c r="D59" s="23" t="s">
        <v>42</v>
      </c>
      <c r="E59" s="23">
        <f>MAX(0,(SUMIF(buku_besar[Nama Akun],Table17[[#This Row],[Nama Akun]],buku_besar[Debit JU])-SUMIF(buku_besar[Nama Akun],Table17[[#This Row],[Nama Akun]],buku_besar[Kredit JU])))</f>
        <v>0</v>
      </c>
      <c r="F59" s="23">
        <f>MAX(0,(SUMIF(buku_besar[Nama Akun],Table17[[#This Row],[Nama Akun]],buku_besar[Kredit JU])-SUMIF(buku_besar[Nama Akun],Table17[[#This Row],[Nama Akun]],buku_besar[Debit JU])))</f>
        <v>0</v>
      </c>
    </row>
    <row r="60" spans="1:6" x14ac:dyDescent="0.3">
      <c r="A60" t="s">
        <v>166</v>
      </c>
      <c r="B60" t="s">
        <v>167</v>
      </c>
      <c r="C60" t="s">
        <v>142</v>
      </c>
      <c r="D60" s="23" t="s">
        <v>42</v>
      </c>
      <c r="E60" s="23">
        <f>MAX(0,(SUMIF(buku_besar[Nama Akun],Table17[[#This Row],[Nama Akun]],buku_besar[Debit JU])-SUMIF(buku_besar[Nama Akun],Table17[[#This Row],[Nama Akun]],buku_besar[Kredit JU])))</f>
        <v>300000</v>
      </c>
      <c r="F60" s="23">
        <f>MAX(0,(SUMIF(buku_besar[Nama Akun],Table17[[#This Row],[Nama Akun]],buku_besar[Kredit JU])-SUMIF(buku_besar[Nama Akun],Table17[[#This Row],[Nama Akun]],buku_besar[Debit JU])))</f>
        <v>0</v>
      </c>
    </row>
    <row r="61" spans="1:6" x14ac:dyDescent="0.3">
      <c r="A61" t="s">
        <v>168</v>
      </c>
      <c r="B61" t="s">
        <v>169</v>
      </c>
      <c r="C61" t="s">
        <v>142</v>
      </c>
      <c r="D61" s="23" t="s">
        <v>42</v>
      </c>
      <c r="E61" s="23">
        <f>MAX(0,(SUMIF(buku_besar[Nama Akun],Table17[[#This Row],[Nama Akun]],buku_besar[Debit JU])-SUMIF(buku_besar[Nama Akun],Table17[[#This Row],[Nama Akun]],buku_besar[Kredit JU])))</f>
        <v>550000</v>
      </c>
      <c r="F61" s="23">
        <f>MAX(0,(SUMIF(buku_besar[Nama Akun],Table17[[#This Row],[Nama Akun]],buku_besar[Kredit JU])-SUMIF(buku_besar[Nama Akun],Table17[[#This Row],[Nama Akun]],buku_besar[Debit JU])))</f>
        <v>0</v>
      </c>
    </row>
    <row r="62" spans="1:6" x14ac:dyDescent="0.3">
      <c r="A62" t="s">
        <v>170</v>
      </c>
      <c r="B62" t="s">
        <v>171</v>
      </c>
      <c r="C62" t="s">
        <v>142</v>
      </c>
      <c r="D62" s="23" t="s">
        <v>42</v>
      </c>
      <c r="E62" s="23">
        <f>MAX(0,(SUMIF(buku_besar[Nama Akun],Table17[[#This Row],[Nama Akun]],buku_besar[Debit JU])-SUMIF(buku_besar[Nama Akun],Table17[[#This Row],[Nama Akun]],buku_besar[Kredit JU])))</f>
        <v>2300000</v>
      </c>
      <c r="F62" s="23">
        <f>MAX(0,(SUMIF(buku_besar[Nama Akun],Table17[[#This Row],[Nama Akun]],buku_besar[Kredit JU])-SUMIF(buku_besar[Nama Akun],Table17[[#This Row],[Nama Akun]],buku_besar[Debit JU])))</f>
        <v>0</v>
      </c>
    </row>
    <row r="63" spans="1:6" x14ac:dyDescent="0.3">
      <c r="A63" t="s">
        <v>172</v>
      </c>
      <c r="B63" t="s">
        <v>173</v>
      </c>
      <c r="C63" t="s">
        <v>142</v>
      </c>
      <c r="D63" s="23" t="s">
        <v>42</v>
      </c>
      <c r="E63" s="23">
        <f>MAX(0,(SUMIF(buku_besar[Nama Akun],Table17[[#This Row],[Nama Akun]],buku_besar[Debit JU])-SUMIF(buku_besar[Nama Akun],Table17[[#This Row],[Nama Akun]],buku_besar[Kredit JU])))</f>
        <v>2100000</v>
      </c>
      <c r="F63" s="23">
        <f>MAX(0,(SUMIF(buku_besar[Nama Akun],Table17[[#This Row],[Nama Akun]],buku_besar[Kredit JU])-SUMIF(buku_besar[Nama Akun],Table17[[#This Row],[Nama Akun]],buku_besar[Debit JU])))</f>
        <v>0</v>
      </c>
    </row>
    <row r="64" spans="1:6" x14ac:dyDescent="0.3">
      <c r="A64" t="s">
        <v>174</v>
      </c>
      <c r="B64" t="s">
        <v>175</v>
      </c>
      <c r="C64" t="s">
        <v>142</v>
      </c>
      <c r="D64" s="23" t="s">
        <v>42</v>
      </c>
      <c r="E64" s="23">
        <f>MAX(0,(SUMIF(buku_besar[Nama Akun],Table17[[#This Row],[Nama Akun]],buku_besar[Debit JU])-SUMIF(buku_besar[Nama Akun],Table17[[#This Row],[Nama Akun]],buku_besar[Kredit JU])))</f>
        <v>2000000</v>
      </c>
      <c r="F64" s="23">
        <f>MAX(0,(SUMIF(buku_besar[Nama Akun],Table17[[#This Row],[Nama Akun]],buku_besar[Kredit JU])-SUMIF(buku_besar[Nama Akun],Table17[[#This Row],[Nama Akun]],buku_besar[Debit JU])))</f>
        <v>0</v>
      </c>
    </row>
    <row r="65" spans="1:6" x14ac:dyDescent="0.3">
      <c r="A65" t="s">
        <v>176</v>
      </c>
      <c r="B65" t="s">
        <v>177</v>
      </c>
      <c r="C65" t="s">
        <v>142</v>
      </c>
      <c r="D65" s="23" t="s">
        <v>42</v>
      </c>
      <c r="E65" s="23">
        <f>MAX(0,(SUMIF(buku_besar[Nama Akun],Table17[[#This Row],[Nama Akun]],buku_besar[Debit JU])-SUMIF(buku_besar[Nama Akun],Table17[[#This Row],[Nama Akun]],buku_besar[Kredit JU])))</f>
        <v>0</v>
      </c>
      <c r="F65" s="23">
        <f>MAX(0,(SUMIF(buku_besar[Nama Akun],Table17[[#This Row],[Nama Akun]],buku_besar[Kredit JU])-SUMIF(buku_besar[Nama Akun],Table17[[#This Row],[Nama Akun]],buku_besar[Debit JU])))</f>
        <v>0</v>
      </c>
    </row>
    <row r="66" spans="1:6" x14ac:dyDescent="0.3">
      <c r="A66" t="s">
        <v>178</v>
      </c>
      <c r="B66" t="s">
        <v>179</v>
      </c>
      <c r="C66" t="s">
        <v>142</v>
      </c>
      <c r="D66" s="23" t="s">
        <v>42</v>
      </c>
      <c r="E66" s="23">
        <f>MAX(0,(SUMIF(buku_besar[Nama Akun],Table17[[#This Row],[Nama Akun]],buku_besar[Debit JU])-SUMIF(buku_besar[Nama Akun],Table17[[#This Row],[Nama Akun]],buku_besar[Kredit JU])))</f>
        <v>750000</v>
      </c>
      <c r="F66" s="23">
        <f>MAX(0,(SUMIF(buku_besar[Nama Akun],Table17[[#This Row],[Nama Akun]],buku_besar[Kredit JU])-SUMIF(buku_besar[Nama Akun],Table17[[#This Row],[Nama Akun]],buku_besar[Debit JU])))</f>
        <v>0</v>
      </c>
    </row>
    <row r="67" spans="1:6" x14ac:dyDescent="0.3">
      <c r="A67" t="s">
        <v>180</v>
      </c>
      <c r="B67" t="s">
        <v>181</v>
      </c>
      <c r="C67" t="s">
        <v>142</v>
      </c>
      <c r="D67" s="23" t="s">
        <v>42</v>
      </c>
      <c r="E67" s="23">
        <f>MAX(0,(SUMIF(buku_besar[Nama Akun],Table17[[#This Row],[Nama Akun]],buku_besar[Debit JU])-SUMIF(buku_besar[Nama Akun],Table17[[#This Row],[Nama Akun]],buku_besar[Kredit JU])))</f>
        <v>0</v>
      </c>
      <c r="F67" s="23">
        <f>MAX(0,(SUMIF(buku_besar[Nama Akun],Table17[[#This Row],[Nama Akun]],buku_besar[Kredit JU])-SUMIF(buku_besar[Nama Akun],Table17[[#This Row],[Nama Akun]],buku_besar[Debit JU])))</f>
        <v>0</v>
      </c>
    </row>
    <row r="68" spans="1:6" x14ac:dyDescent="0.3">
      <c r="D68" s="23"/>
      <c r="E68" s="23"/>
      <c r="F68" s="23"/>
    </row>
    <row r="69" spans="1:6" x14ac:dyDescent="0.3">
      <c r="A69" s="31" t="s">
        <v>447</v>
      </c>
      <c r="B69" s="31"/>
      <c r="C69" s="31"/>
      <c r="D69" s="32"/>
      <c r="E69" s="32">
        <f>SUM(E4:E67)</f>
        <v>1154080000</v>
      </c>
      <c r="F69" s="32">
        <f>SUM(F4:F67)</f>
        <v>1154080000</v>
      </c>
    </row>
    <row r="70" spans="1:6" x14ac:dyDescent="0.3">
      <c r="A70" t="s">
        <v>505</v>
      </c>
      <c r="D70" s="23"/>
      <c r="E70" s="23"/>
      <c r="F70" s="23" t="str">
        <f>IF(E69=F69,"BALANCE","SELISIH "&amp;TEXT(E69-F69,"#,##0"))</f>
        <v>BALANCE</v>
      </c>
    </row>
  </sheetData>
  <mergeCells count="1">
    <mergeCell ref="A1:F1"/>
  </mergeCells>
  <dataValidations xWindow="913" yWindow="426" count="2">
    <dataValidation allowBlank="1" showInputMessage="1" showErrorMessage="1" prompt="ambil dari buku besar kredit JU - debit JU" sqref="F3" xr:uid="{97E1A70F-412D-4905-84E4-913C88F48EBC}"/>
    <dataValidation allowBlank="1" showInputMessage="1" showErrorMessage="1" prompt="ambil dari buku besar debit JU - kredit JU" sqref="E3" xr:uid="{C29550B6-9487-423A-A01C-CA3CC6295463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embar5">
    <tabColor rgb="FF00B0F0"/>
  </sheetPr>
  <dimension ref="A1:O45"/>
  <sheetViews>
    <sheetView topLeftCell="D1" workbookViewId="0">
      <pane ySplit="3" topLeftCell="A4" activePane="bottomLeft" state="frozen"/>
      <selection pane="bottomLeft" activeCell="L5" sqref="L5"/>
    </sheetView>
  </sheetViews>
  <sheetFormatPr defaultRowHeight="14.4" x14ac:dyDescent="0.3"/>
  <cols>
    <col min="1" max="1" width="6" customWidth="1"/>
    <col min="2" max="2" width="12" customWidth="1"/>
    <col min="3" max="3" width="22" customWidth="1"/>
    <col min="4" max="4" width="60.6640625" customWidth="1"/>
    <col min="5" max="5" width="16" customWidth="1"/>
    <col min="6" max="6" width="6.33203125" style="36" customWidth="1"/>
    <col min="7" max="7" width="42.21875" customWidth="1"/>
    <col min="8" max="8" width="3.109375" customWidth="1"/>
    <col min="9" max="9" width="2" customWidth="1"/>
    <col min="10" max="10" width="6" customWidth="1"/>
    <col min="11" max="11" width="12" customWidth="1"/>
    <col min="12" max="12" width="28" customWidth="1"/>
    <col min="13" max="14" width="16" customWidth="1"/>
    <col min="15" max="15" width="14" customWidth="1"/>
  </cols>
  <sheetData>
    <row r="1" spans="1:15" ht="24" customHeight="1" x14ac:dyDescent="0.3">
      <c r="A1" s="87" t="s">
        <v>566</v>
      </c>
      <c r="B1" s="81"/>
      <c r="C1" s="81"/>
      <c r="D1" s="81"/>
      <c r="E1" s="81"/>
      <c r="F1" s="81"/>
      <c r="G1" s="81"/>
      <c r="J1" s="88" t="s">
        <v>448</v>
      </c>
      <c r="K1" s="81"/>
      <c r="L1" s="81"/>
      <c r="M1" s="81"/>
      <c r="N1" s="81"/>
      <c r="O1" s="81"/>
    </row>
    <row r="2" spans="1:15" x14ac:dyDescent="0.3">
      <c r="A2" s="86" t="s">
        <v>449</v>
      </c>
      <c r="B2" s="81"/>
      <c r="C2" s="81"/>
      <c r="D2" s="81"/>
      <c r="E2" s="81"/>
      <c r="F2" s="81"/>
      <c r="G2" s="81"/>
      <c r="J2" s="86" t="s">
        <v>450</v>
      </c>
      <c r="K2" s="81"/>
      <c r="L2" s="81"/>
      <c r="M2" s="81"/>
      <c r="N2" s="81"/>
      <c r="O2" s="81"/>
    </row>
    <row r="3" spans="1:15" x14ac:dyDescent="0.3">
      <c r="A3" s="74" t="s">
        <v>185</v>
      </c>
      <c r="B3" s="75" t="s">
        <v>186</v>
      </c>
      <c r="C3" s="75" t="s">
        <v>451</v>
      </c>
      <c r="D3" s="75" t="s">
        <v>452</v>
      </c>
      <c r="E3" s="75" t="s">
        <v>190</v>
      </c>
      <c r="F3" s="75" t="s">
        <v>595</v>
      </c>
      <c r="G3" s="75" t="s">
        <v>191</v>
      </c>
      <c r="J3" s="74" t="s">
        <v>185</v>
      </c>
      <c r="K3" s="74" t="s">
        <v>186</v>
      </c>
      <c r="L3" s="74" t="s">
        <v>192</v>
      </c>
      <c r="M3" s="74" t="s">
        <v>193</v>
      </c>
      <c r="N3" s="74" t="s">
        <v>194</v>
      </c>
      <c r="O3" s="74" t="s">
        <v>195</v>
      </c>
    </row>
    <row r="4" spans="1:15" ht="43.2" x14ac:dyDescent="0.3">
      <c r="A4" s="60">
        <v>1</v>
      </c>
      <c r="B4" s="62">
        <v>46660</v>
      </c>
      <c r="C4" s="63" t="s">
        <v>453</v>
      </c>
      <c r="D4" s="69" t="s">
        <v>454</v>
      </c>
      <c r="E4" s="64">
        <v>2000000</v>
      </c>
      <c r="F4" s="63">
        <v>1</v>
      </c>
      <c r="G4" s="63" t="s">
        <v>455</v>
      </c>
      <c r="J4" s="11">
        <v>1</v>
      </c>
      <c r="K4" s="12">
        <v>46660</v>
      </c>
      <c r="L4" s="13" t="s">
        <v>157</v>
      </c>
      <c r="M4" s="14">
        <f>Table8[[#This Row],[Nominal (Rp)]]</f>
        <v>2000000</v>
      </c>
      <c r="N4" s="14"/>
      <c r="O4" s="15" t="str">
        <f>IF($L4="","",IF(AND($L4=Kunci_Penyesuaian!$C4,IF($M4="",0,$M4)=IF(Kunci_Penyesuaian!$D4="",0,Kunci_Penyesuaian!$D4),IF($N4="",0,$N4)=IF(Kunci_Penyesuaian!$E4="",0,Kunci_Penyesuaian!$E4)),"Benar","Cek lagi"))</f>
        <v>Benar</v>
      </c>
    </row>
    <row r="5" spans="1:15" x14ac:dyDescent="0.3">
      <c r="A5" s="61">
        <v>2</v>
      </c>
      <c r="B5" s="65"/>
      <c r="C5" s="65"/>
      <c r="D5" s="70"/>
      <c r="E5" s="65"/>
      <c r="F5" s="65"/>
      <c r="G5" s="65"/>
      <c r="J5" s="11">
        <v>1</v>
      </c>
      <c r="K5" s="12">
        <v>46660</v>
      </c>
      <c r="L5" s="13" t="s">
        <v>56</v>
      </c>
      <c r="M5" s="14"/>
      <c r="N5" s="14">
        <f>M4</f>
        <v>2000000</v>
      </c>
      <c r="O5" s="15" t="str">
        <f>IF($L5="","",IF(AND($L5=Kunci_Penyesuaian!$C5,IF($M5="",0,$M5)=IF(Kunci_Penyesuaian!$D5="",0,Kunci_Penyesuaian!$D5),IF($N5="",0,$N5)=IF(Kunci_Penyesuaian!$E5="",0,Kunci_Penyesuaian!$E5)),"Benar","Cek lagi"))</f>
        <v>Benar</v>
      </c>
    </row>
    <row r="6" spans="1:15" ht="28.8" x14ac:dyDescent="0.3">
      <c r="A6" s="60">
        <v>3</v>
      </c>
      <c r="B6" s="66">
        <v>46660</v>
      </c>
      <c r="C6" s="67" t="s">
        <v>456</v>
      </c>
      <c r="D6" s="71" t="s">
        <v>457</v>
      </c>
      <c r="E6" s="68">
        <v>4000000</v>
      </c>
      <c r="F6" s="67">
        <v>2</v>
      </c>
      <c r="G6" s="67" t="s">
        <v>458</v>
      </c>
      <c r="J6" s="11">
        <v>2</v>
      </c>
      <c r="K6" s="12">
        <v>46660</v>
      </c>
      <c r="L6" s="13" t="s">
        <v>147</v>
      </c>
      <c r="M6" s="14">
        <f>Table8[[#This Row],[Nominal (Rp)]]</f>
        <v>4000000</v>
      </c>
      <c r="N6" s="14"/>
      <c r="O6" s="15" t="str">
        <f>IF($L6="","",IF(AND($L6=Kunci_Penyesuaian!$C6,IF($M6="",0,$M6)=IF(Kunci_Penyesuaian!$D6="",0,Kunci_Penyesuaian!$D6),IF($N6="",0,$N6)=IF(Kunci_Penyesuaian!$E6="",0,Kunci_Penyesuaian!$E6)),"Benar","Cek lagi"))</f>
        <v>Benar</v>
      </c>
    </row>
    <row r="7" spans="1:15" x14ac:dyDescent="0.3">
      <c r="A7" s="61">
        <v>4</v>
      </c>
      <c r="B7" s="65"/>
      <c r="C7" s="65"/>
      <c r="D7" s="70"/>
      <c r="E7" s="65"/>
      <c r="F7" s="65"/>
      <c r="G7" s="65"/>
      <c r="J7" s="11">
        <v>2</v>
      </c>
      <c r="K7" s="12">
        <v>46660</v>
      </c>
      <c r="L7" s="13" t="s">
        <v>58</v>
      </c>
      <c r="M7" s="14"/>
      <c r="N7" s="14">
        <f>M6</f>
        <v>4000000</v>
      </c>
      <c r="O7" s="15" t="str">
        <f>IF($L7="","",IF(AND($L7=Kunci_Penyesuaian!$C7,IF($M7="",0,$M7)=IF(Kunci_Penyesuaian!$D7="",0,Kunci_Penyesuaian!$D7),IF($N7="",0,$N7)=IF(Kunci_Penyesuaian!$E7="",0,Kunci_Penyesuaian!$E7)),"Benar","Cek lagi"))</f>
        <v>Benar</v>
      </c>
    </row>
    <row r="8" spans="1:15" ht="28.8" x14ac:dyDescent="0.3">
      <c r="A8" s="60">
        <v>5</v>
      </c>
      <c r="B8" s="62">
        <v>46660</v>
      </c>
      <c r="C8" s="63" t="s">
        <v>459</v>
      </c>
      <c r="D8" s="69" t="s">
        <v>460</v>
      </c>
      <c r="E8" s="64">
        <v>1000000</v>
      </c>
      <c r="F8" s="63">
        <v>3</v>
      </c>
      <c r="G8" s="63" t="s">
        <v>461</v>
      </c>
      <c r="J8" s="11">
        <v>3</v>
      </c>
      <c r="K8" s="12">
        <v>46660</v>
      </c>
      <c r="L8" s="13" t="s">
        <v>177</v>
      </c>
      <c r="M8" s="14">
        <f>Table8[[#This Row],[Nominal (Rp)]]</f>
        <v>1000000</v>
      </c>
      <c r="N8" s="14"/>
      <c r="O8" s="15" t="str">
        <f>IF($L8="","",IF(AND($L8=Kunci_Penyesuaian!$C8,IF($M8="",0,$M8)=IF(Kunci_Penyesuaian!$D8="",0,Kunci_Penyesuaian!$D8),IF($N8="",0,$N8)=IF(Kunci_Penyesuaian!$E8="",0,Kunci_Penyesuaian!$E8)),"Benar","Cek lagi"))</f>
        <v>Benar</v>
      </c>
    </row>
    <row r="9" spans="1:15" x14ac:dyDescent="0.3">
      <c r="A9" s="61">
        <v>6</v>
      </c>
      <c r="B9" s="65"/>
      <c r="C9" s="65"/>
      <c r="D9" s="70"/>
      <c r="E9" s="65"/>
      <c r="F9" s="65"/>
      <c r="G9" s="65"/>
      <c r="J9" s="11">
        <v>3</v>
      </c>
      <c r="K9" s="12">
        <v>46660</v>
      </c>
      <c r="L9" s="13" t="s">
        <v>60</v>
      </c>
      <c r="M9" s="14"/>
      <c r="N9" s="14">
        <f>M8</f>
        <v>1000000</v>
      </c>
      <c r="O9" s="15" t="str">
        <f>IF($L9="","",IF(AND($L9=Kunci_Penyesuaian!$C9,IF($M9="",0,$M9)=IF(Kunci_Penyesuaian!$D9="",0,Kunci_Penyesuaian!$D9),IF($N9="",0,$N9)=IF(Kunci_Penyesuaian!$E9="",0,Kunci_Penyesuaian!$E9)),"Benar","Cek lagi"))</f>
        <v>Benar</v>
      </c>
    </row>
    <row r="10" spans="1:15" ht="28.8" x14ac:dyDescent="0.3">
      <c r="A10" s="60">
        <v>7</v>
      </c>
      <c r="B10" s="66">
        <v>46660</v>
      </c>
      <c r="C10" s="67" t="s">
        <v>462</v>
      </c>
      <c r="D10" s="71" t="s">
        <v>463</v>
      </c>
      <c r="E10" s="68">
        <v>1500000</v>
      </c>
      <c r="F10" s="67">
        <v>4</v>
      </c>
      <c r="G10" s="67" t="s">
        <v>464</v>
      </c>
      <c r="J10" s="11">
        <v>4</v>
      </c>
      <c r="K10" s="12">
        <v>46660</v>
      </c>
      <c r="L10" s="13" t="s">
        <v>165</v>
      </c>
      <c r="M10" s="14">
        <f>Table8[[#This Row],[Nominal (Rp)]]</f>
        <v>1500000</v>
      </c>
      <c r="N10" s="14"/>
      <c r="O10" s="15" t="str">
        <f>IF($L10="","",IF(AND($L10=Kunci_Penyesuaian!$C10,IF($M10="",0,$M10)=IF(Kunci_Penyesuaian!$D10="",0,Kunci_Penyesuaian!$D10),IF($N10="",0,$N10)=IF(Kunci_Penyesuaian!$E10="",0,Kunci_Penyesuaian!$E10)),"Benar","Cek lagi"))</f>
        <v>Benar</v>
      </c>
    </row>
    <row r="11" spans="1:15" x14ac:dyDescent="0.3">
      <c r="A11" s="61">
        <v>8</v>
      </c>
      <c r="B11" s="65"/>
      <c r="C11" s="65"/>
      <c r="D11" s="70"/>
      <c r="E11" s="65"/>
      <c r="F11" s="65"/>
      <c r="G11" s="65"/>
      <c r="J11" s="11">
        <v>4</v>
      </c>
      <c r="K11" s="12">
        <v>46660</v>
      </c>
      <c r="L11" s="13" t="s">
        <v>62</v>
      </c>
      <c r="M11" s="14"/>
      <c r="N11" s="14">
        <f>M10</f>
        <v>1500000</v>
      </c>
      <c r="O11" s="15" t="str">
        <f>IF($L11="","",IF(AND($L11=Kunci_Penyesuaian!$C11,IF($M11="",0,$M11)=IF(Kunci_Penyesuaian!$D11="",0,Kunci_Penyesuaian!$D11),IF($N11="",0,$N11)=IF(Kunci_Penyesuaian!$E11="",0,Kunci_Penyesuaian!$E11)),"Benar","Cek lagi"))</f>
        <v>Benar</v>
      </c>
    </row>
    <row r="12" spans="1:15" x14ac:dyDescent="0.3">
      <c r="A12" s="60">
        <v>9</v>
      </c>
      <c r="B12" s="62">
        <v>46660</v>
      </c>
      <c r="C12" s="63" t="s">
        <v>465</v>
      </c>
      <c r="D12" s="69" t="s">
        <v>466</v>
      </c>
      <c r="E12" s="64">
        <v>1800000</v>
      </c>
      <c r="F12" s="63">
        <v>5</v>
      </c>
      <c r="G12" s="63" t="s">
        <v>467</v>
      </c>
      <c r="J12" s="11">
        <v>5</v>
      </c>
      <c r="K12" s="12">
        <v>46660</v>
      </c>
      <c r="L12" s="13" t="s">
        <v>159</v>
      </c>
      <c r="M12" s="14">
        <f>Table8[[#This Row],[Nominal (Rp)]]</f>
        <v>1800000</v>
      </c>
      <c r="N12" s="14"/>
      <c r="O12" s="15" t="str">
        <f>IF($L12="","",IF(AND($L12=Kunci_Penyesuaian!$C12,IF($M12="",0,$M12)=IF(Kunci_Penyesuaian!$D12="",0,Kunci_Penyesuaian!$D12),IF($N12="",0,$N12)=IF(Kunci_Penyesuaian!$E12="",0,Kunci_Penyesuaian!$E12)),"Benar","Cek lagi"))</f>
        <v>Benar</v>
      </c>
    </row>
    <row r="13" spans="1:15" x14ac:dyDescent="0.3">
      <c r="A13" s="61">
        <v>10</v>
      </c>
      <c r="B13" s="65"/>
      <c r="C13" s="65"/>
      <c r="D13" s="70"/>
      <c r="E13" s="65"/>
      <c r="F13" s="65"/>
      <c r="G13" s="65"/>
      <c r="J13" s="11">
        <v>5</v>
      </c>
      <c r="K13" s="12">
        <v>46660</v>
      </c>
      <c r="L13" s="13" t="s">
        <v>76</v>
      </c>
      <c r="M13" s="14"/>
      <c r="N13" s="14">
        <f>M12</f>
        <v>1800000</v>
      </c>
      <c r="O13" s="15" t="str">
        <f>IF($L13="","",IF(AND($L13=Kunci_Penyesuaian!$C13,IF($M13="",0,$M13)=IF(Kunci_Penyesuaian!$D13="",0,Kunci_Penyesuaian!$D13),IF($N13="",0,$N13)=IF(Kunci_Penyesuaian!$E13="",0,Kunci_Penyesuaian!$E13)),"Benar","Cek lagi"))</f>
        <v>Benar</v>
      </c>
    </row>
    <row r="14" spans="1:15" ht="22.05" customHeight="1" x14ac:dyDescent="0.3">
      <c r="A14" s="16"/>
      <c r="B14" s="66">
        <v>46660</v>
      </c>
      <c r="C14" s="67" t="s">
        <v>468</v>
      </c>
      <c r="D14" s="71" t="s">
        <v>469</v>
      </c>
      <c r="E14" s="68">
        <v>2400000</v>
      </c>
      <c r="F14" s="67">
        <v>6</v>
      </c>
      <c r="G14" s="67" t="s">
        <v>470</v>
      </c>
      <c r="J14" s="11">
        <v>6</v>
      </c>
      <c r="K14" s="12">
        <v>46660</v>
      </c>
      <c r="L14" s="13" t="s">
        <v>181</v>
      </c>
      <c r="M14" s="14">
        <f>Table8[[#This Row],[Nominal (Rp)]]</f>
        <v>2400000</v>
      </c>
      <c r="N14" s="14"/>
      <c r="O14" s="15" t="str">
        <f>IF($L14="","",IF(AND($L14=Kunci_Penyesuaian!$C14,IF($M14="",0,$M14)=IF(Kunci_Penyesuaian!$D14="",0,Kunci_Penyesuaian!$D14),IF($N14="",0,$N14)=IF(Kunci_Penyesuaian!$E14="",0,Kunci_Penyesuaian!$E14)),"Benar","Cek lagi"))</f>
        <v>Benar</v>
      </c>
    </row>
    <row r="15" spans="1:15" ht="22.05" customHeight="1" x14ac:dyDescent="0.3">
      <c r="A15" s="16"/>
      <c r="B15" s="65"/>
      <c r="C15" s="65"/>
      <c r="D15" s="70"/>
      <c r="E15" s="65"/>
      <c r="F15" s="65"/>
      <c r="G15" s="65"/>
      <c r="J15" s="11">
        <v>6</v>
      </c>
      <c r="K15" s="12">
        <v>46660</v>
      </c>
      <c r="L15" s="13" t="s">
        <v>80</v>
      </c>
      <c r="M15" s="14"/>
      <c r="N15" s="14">
        <f>M14</f>
        <v>2400000</v>
      </c>
      <c r="O15" s="15" t="str">
        <f>IF($L15="","",IF(AND($L15=Kunci_Penyesuaian!$C15,IF($M15="",0,$M15)=IF(Kunci_Penyesuaian!$D15="",0,Kunci_Penyesuaian!$D15),IF($N15="",0,$N15)=IF(Kunci_Penyesuaian!$E15="",0,Kunci_Penyesuaian!$E15)),"Benar","Cek lagi"))</f>
        <v>Benar</v>
      </c>
    </row>
    <row r="16" spans="1:15" ht="22.05" customHeight="1" x14ac:dyDescent="0.3">
      <c r="A16" s="16"/>
      <c r="B16" s="62">
        <v>46660</v>
      </c>
      <c r="C16" s="63" t="s">
        <v>471</v>
      </c>
      <c r="D16" s="69" t="s">
        <v>472</v>
      </c>
      <c r="E16" s="64">
        <v>3500000</v>
      </c>
      <c r="F16" s="63">
        <v>7</v>
      </c>
      <c r="G16" s="63" t="s">
        <v>473</v>
      </c>
      <c r="J16" s="11">
        <v>7</v>
      </c>
      <c r="K16" s="12">
        <v>46660</v>
      </c>
      <c r="L16" s="13" t="s">
        <v>181</v>
      </c>
      <c r="M16" s="14">
        <f>Table8[[#This Row],[Nominal (Rp)]]</f>
        <v>3500000</v>
      </c>
      <c r="N16" s="14"/>
      <c r="O16" s="15" t="str">
        <f>IF($L16="","",IF(AND($L16=Kunci_Penyesuaian!$C16,IF($M16="",0,$M16)=IF(Kunci_Penyesuaian!$D16="",0,Kunci_Penyesuaian!$D16),IF($N16="",0,$N16)=IF(Kunci_Penyesuaian!$E16="",0,Kunci_Penyesuaian!$E16)),"Benar","Cek lagi"))</f>
        <v>Benar</v>
      </c>
    </row>
    <row r="17" spans="1:15" ht="22.05" customHeight="1" x14ac:dyDescent="0.3">
      <c r="A17" s="16"/>
      <c r="B17" s="65"/>
      <c r="C17" s="65"/>
      <c r="D17" s="70"/>
      <c r="E17" s="65"/>
      <c r="F17" s="65"/>
      <c r="G17" s="65"/>
      <c r="J17" s="11">
        <v>7</v>
      </c>
      <c r="K17" s="12">
        <v>46660</v>
      </c>
      <c r="L17" s="13" t="s">
        <v>82</v>
      </c>
      <c r="M17" s="14"/>
      <c r="N17" s="14">
        <f>M16</f>
        <v>3500000</v>
      </c>
      <c r="O17" s="15" t="str">
        <f>IF($L17="","",IF(AND($L17=Kunci_Penyesuaian!$C17,IF($M17="",0,$M17)=IF(Kunci_Penyesuaian!$D17="",0,Kunci_Penyesuaian!$D17),IF($N17="",0,$N17)=IF(Kunci_Penyesuaian!$E17="",0,Kunci_Penyesuaian!$E17)),"Benar","Cek lagi"))</f>
        <v>Benar</v>
      </c>
    </row>
    <row r="18" spans="1:15" ht="28.8" x14ac:dyDescent="0.3">
      <c r="A18" s="16"/>
      <c r="B18" s="66">
        <v>46660</v>
      </c>
      <c r="C18" s="67" t="s">
        <v>474</v>
      </c>
      <c r="D18" s="71" t="s">
        <v>475</v>
      </c>
      <c r="E18" s="68">
        <v>2000000</v>
      </c>
      <c r="F18" s="67">
        <v>8</v>
      </c>
      <c r="G18" s="67" t="s">
        <v>476</v>
      </c>
      <c r="J18" s="11">
        <v>8</v>
      </c>
      <c r="K18" s="12">
        <v>46660</v>
      </c>
      <c r="L18" s="13" t="s">
        <v>141</v>
      </c>
      <c r="M18" s="14">
        <f>Table8[[#This Row],[Nominal (Rp)]]</f>
        <v>2000000</v>
      </c>
      <c r="N18" s="14"/>
      <c r="O18" s="15" t="str">
        <f>IF($L18="","",IF(AND($L18=Kunci_Penyesuaian!$C18,IF($M18="",0,$M18)=IF(Kunci_Penyesuaian!$D18="",0,Kunci_Penyesuaian!$D18),IF($N18="",0,$N18)=IF(Kunci_Penyesuaian!$E18="",0,Kunci_Penyesuaian!$E18)),"Benar","Cek lagi"))</f>
        <v>Benar</v>
      </c>
    </row>
    <row r="19" spans="1:15" x14ac:dyDescent="0.3">
      <c r="A19" s="16"/>
      <c r="B19" s="65"/>
      <c r="C19" s="65"/>
      <c r="D19" s="70"/>
      <c r="E19" s="65"/>
      <c r="F19" s="65"/>
      <c r="G19" s="65"/>
      <c r="J19" s="11">
        <v>8</v>
      </c>
      <c r="K19" s="12">
        <v>46660</v>
      </c>
      <c r="L19" s="13" t="s">
        <v>88</v>
      </c>
      <c r="M19" s="14"/>
      <c r="N19" s="14">
        <f>M18</f>
        <v>2000000</v>
      </c>
      <c r="O19" s="15" t="str">
        <f>IF($L19="","",IF(AND($L19=Kunci_Penyesuaian!$C19,IF($M19="",0,$M19)=IF(Kunci_Penyesuaian!$D19="",0,Kunci_Penyesuaian!$D19),IF($N19="",0,$N19)=IF(Kunci_Penyesuaian!$E19="",0,Kunci_Penyesuaian!$E19)),"Benar","Cek lagi"))</f>
        <v>Benar</v>
      </c>
    </row>
    <row r="20" spans="1:15" ht="28.8" x14ac:dyDescent="0.3">
      <c r="A20" s="16"/>
      <c r="B20" s="62">
        <v>46660</v>
      </c>
      <c r="C20" s="63" t="s">
        <v>477</v>
      </c>
      <c r="D20" s="69" t="s">
        <v>478</v>
      </c>
      <c r="E20" s="64">
        <v>1200000</v>
      </c>
      <c r="F20" s="63">
        <v>9</v>
      </c>
      <c r="G20" s="63" t="s">
        <v>479</v>
      </c>
      <c r="J20" s="11">
        <v>9</v>
      </c>
      <c r="K20" s="12">
        <v>46660</v>
      </c>
      <c r="L20" s="13" t="s">
        <v>173</v>
      </c>
      <c r="M20" s="14">
        <f>Table8[[#This Row],[Nominal (Rp)]]</f>
        <v>1200000</v>
      </c>
      <c r="N20" s="14"/>
      <c r="O20" s="15" t="str">
        <f>IF($L20="","",IF(AND($L20=Kunci_Penyesuaian!$C20,IF($M20="",0,$M20)=IF(Kunci_Penyesuaian!$D20="",0,Kunci_Penyesuaian!$D20),IF($N20="",0,$N20)=IF(Kunci_Penyesuaian!$E20="",0,Kunci_Penyesuaian!$E20)),"Benar","Cek lagi"))</f>
        <v>Benar</v>
      </c>
    </row>
    <row r="21" spans="1:15" x14ac:dyDescent="0.3">
      <c r="A21" s="16"/>
      <c r="B21" s="65"/>
      <c r="C21" s="65"/>
      <c r="D21" s="70"/>
      <c r="E21" s="65"/>
      <c r="F21" s="65"/>
      <c r="G21" s="65"/>
      <c r="J21" s="11">
        <v>9</v>
      </c>
      <c r="K21" s="12">
        <v>46660</v>
      </c>
      <c r="L21" s="13" t="s">
        <v>100</v>
      </c>
      <c r="M21" s="14"/>
      <c r="N21" s="14">
        <f>M20</f>
        <v>1200000</v>
      </c>
      <c r="O21" s="15" t="str">
        <f>IF($L21="","",IF(AND($L21=Kunci_Penyesuaian!$C21,IF($M21="",0,$M21)=IF(Kunci_Penyesuaian!$D21="",0,Kunci_Penyesuaian!$D21),IF($N21="",0,$N21)=IF(Kunci_Penyesuaian!$E21="",0,Kunci_Penyesuaian!$E21)),"Benar","Cek lagi"))</f>
        <v>Benar</v>
      </c>
    </row>
    <row r="22" spans="1:15" ht="28.8" x14ac:dyDescent="0.3">
      <c r="A22" s="16"/>
      <c r="B22" s="66">
        <v>46660</v>
      </c>
      <c r="C22" s="67" t="s">
        <v>480</v>
      </c>
      <c r="D22" s="71" t="s">
        <v>481</v>
      </c>
      <c r="E22" s="68">
        <v>5000000</v>
      </c>
      <c r="F22" s="67">
        <v>10</v>
      </c>
      <c r="G22" s="67" t="s">
        <v>482</v>
      </c>
      <c r="J22" s="11">
        <v>10</v>
      </c>
      <c r="K22" s="12">
        <v>46660</v>
      </c>
      <c r="L22" s="13" t="s">
        <v>108</v>
      </c>
      <c r="M22" s="14">
        <f>Table8[[#This Row],[Nominal (Rp)]]</f>
        <v>5000000</v>
      </c>
      <c r="N22" s="14"/>
      <c r="O22" s="15" t="str">
        <f>IF($L22="","",IF(AND($L22=Kunci_Penyesuaian!$C22,IF($M22="",0,$M22)=IF(Kunci_Penyesuaian!$D22="",0,Kunci_Penyesuaian!$D22),IF($N22="",0,$N22)=IF(Kunci_Penyesuaian!$E22="",0,Kunci_Penyesuaian!$E22)),"Benar","Cek lagi"))</f>
        <v>Benar</v>
      </c>
    </row>
    <row r="23" spans="1:15" ht="22.05" customHeight="1" x14ac:dyDescent="0.3">
      <c r="A23" s="16"/>
      <c r="B23" s="16"/>
      <c r="C23" s="16"/>
      <c r="D23" s="16"/>
      <c r="E23" s="16"/>
      <c r="F23" s="16"/>
      <c r="G23" s="16"/>
      <c r="J23" s="11">
        <v>10</v>
      </c>
      <c r="K23" s="12">
        <v>46660</v>
      </c>
      <c r="L23" s="13" t="s">
        <v>125</v>
      </c>
      <c r="M23" s="14"/>
      <c r="N23" s="14">
        <f>M22</f>
        <v>5000000</v>
      </c>
      <c r="O23" s="15" t="str">
        <f>IF($L23="","",IF(AND($L23=Kunci_Penyesuaian!$C23,IF($M23="",0,$M23)=IF(Kunci_Penyesuaian!$D23="",0,Kunci_Penyesuaian!$D23),IF($N23="",0,$N23)=IF(Kunci_Penyesuaian!$E23="",0,Kunci_Penyesuaian!$E23)),"Benar","Cek lagi"))</f>
        <v>Benar</v>
      </c>
    </row>
    <row r="24" spans="1:15" x14ac:dyDescent="0.3">
      <c r="A24" s="16"/>
      <c r="B24" s="16"/>
      <c r="C24" s="16"/>
      <c r="D24" s="16"/>
      <c r="E24" s="16"/>
      <c r="F24" s="16"/>
      <c r="G24" s="16"/>
    </row>
    <row r="25" spans="1:15" x14ac:dyDescent="0.3">
      <c r="A25" s="89" t="s">
        <v>483</v>
      </c>
      <c r="B25" s="90"/>
      <c r="C25" s="90"/>
      <c r="D25" s="90"/>
      <c r="E25" s="90"/>
      <c r="F25" s="90"/>
      <c r="G25" s="90"/>
      <c r="J25" s="72" t="s">
        <v>447</v>
      </c>
      <c r="K25" s="72"/>
      <c r="L25" s="72"/>
      <c r="M25" s="73">
        <f>SUM(M4:M23)</f>
        <v>24400000</v>
      </c>
      <c r="N25" s="73">
        <f>SUM(N4:N23)</f>
        <v>24400000</v>
      </c>
      <c r="O25" s="72" t="str">
        <f>IF(M25=N25,"BALANCE","SELISIH")</f>
        <v>BALANCE</v>
      </c>
    </row>
    <row r="26" spans="1:15" x14ac:dyDescent="0.3">
      <c r="A26" s="90"/>
      <c r="B26" s="90"/>
      <c r="C26" s="90"/>
      <c r="D26" s="90"/>
      <c r="E26" s="90"/>
      <c r="F26" s="90"/>
      <c r="G26" s="90"/>
    </row>
    <row r="27" spans="1:15" x14ac:dyDescent="0.3">
      <c r="A27" s="90"/>
      <c r="B27" s="90"/>
      <c r="C27" s="90"/>
      <c r="D27" s="90"/>
      <c r="E27" s="90"/>
      <c r="F27" s="90"/>
      <c r="G27" s="90"/>
    </row>
    <row r="28" spans="1:15" x14ac:dyDescent="0.3">
      <c r="A28" s="16"/>
      <c r="B28" s="16"/>
      <c r="C28" s="16"/>
      <c r="D28" s="49"/>
      <c r="E28" s="16"/>
      <c r="F28" s="16"/>
      <c r="G28" s="16"/>
    </row>
    <row r="29" spans="1:15" x14ac:dyDescent="0.3">
      <c r="A29" s="16"/>
      <c r="B29" s="16"/>
      <c r="C29" s="16"/>
      <c r="D29" s="50"/>
      <c r="E29" s="16"/>
      <c r="F29" s="16"/>
      <c r="G29" s="16"/>
    </row>
    <row r="30" spans="1:15" x14ac:dyDescent="0.3">
      <c r="A30" s="16"/>
      <c r="B30" s="16"/>
      <c r="C30" s="16"/>
      <c r="D30" s="16"/>
      <c r="E30" s="16"/>
      <c r="F30" s="16"/>
      <c r="G30" s="16"/>
    </row>
    <row r="31" spans="1:15" x14ac:dyDescent="0.3">
      <c r="A31" s="16"/>
      <c r="B31" s="16"/>
      <c r="C31" s="16"/>
      <c r="D31" s="16"/>
      <c r="E31" s="16"/>
      <c r="F31" s="16"/>
      <c r="G31" s="16"/>
    </row>
    <row r="32" spans="1:15" x14ac:dyDescent="0.3">
      <c r="A32" s="16"/>
      <c r="B32" s="16"/>
      <c r="C32" s="16"/>
      <c r="D32" s="16"/>
      <c r="E32" s="16"/>
      <c r="F32" s="16"/>
      <c r="G32" s="16"/>
    </row>
    <row r="33" spans="1:7" x14ac:dyDescent="0.3">
      <c r="A33" s="16"/>
      <c r="B33" s="16"/>
      <c r="C33" s="16"/>
      <c r="D33" s="16"/>
      <c r="E33" s="16"/>
      <c r="F33" s="16"/>
      <c r="G33" s="16"/>
    </row>
    <row r="34" spans="1:7" x14ac:dyDescent="0.3">
      <c r="A34" s="16"/>
      <c r="B34" s="16"/>
      <c r="C34" s="16"/>
      <c r="D34" s="16"/>
      <c r="E34" s="16"/>
      <c r="F34" s="16"/>
      <c r="G34" s="16"/>
    </row>
    <row r="35" spans="1:7" x14ac:dyDescent="0.3">
      <c r="A35" s="16"/>
      <c r="B35" s="16"/>
      <c r="C35" s="16"/>
      <c r="D35" s="16"/>
      <c r="E35" s="16"/>
      <c r="F35" s="16"/>
      <c r="G35" s="16"/>
    </row>
    <row r="36" spans="1:7" x14ac:dyDescent="0.3">
      <c r="A36" s="16"/>
      <c r="B36" s="16"/>
      <c r="C36" s="16"/>
      <c r="D36" s="16"/>
      <c r="E36" s="16"/>
      <c r="F36" s="16"/>
      <c r="G36" s="16"/>
    </row>
    <row r="37" spans="1:7" x14ac:dyDescent="0.3">
      <c r="A37" s="16"/>
      <c r="B37" s="16"/>
      <c r="C37" s="16"/>
      <c r="D37" s="16"/>
      <c r="E37" s="16"/>
      <c r="F37" s="16"/>
      <c r="G37" s="16"/>
    </row>
    <row r="38" spans="1:7" x14ac:dyDescent="0.3">
      <c r="A38" s="16"/>
      <c r="B38" s="16"/>
      <c r="C38" s="16"/>
      <c r="D38" s="16"/>
      <c r="E38" s="16"/>
      <c r="F38" s="16"/>
      <c r="G38" s="16"/>
    </row>
    <row r="39" spans="1:7" x14ac:dyDescent="0.3">
      <c r="A39" s="16"/>
      <c r="B39" s="16"/>
      <c r="C39" s="16"/>
      <c r="D39" s="16"/>
      <c r="E39" s="16"/>
      <c r="F39" s="16"/>
      <c r="G39" s="16"/>
    </row>
    <row r="40" spans="1:7" x14ac:dyDescent="0.3">
      <c r="A40" s="16"/>
      <c r="B40" s="16"/>
      <c r="C40" s="16"/>
      <c r="D40" s="16"/>
      <c r="E40" s="16"/>
      <c r="F40" s="16"/>
      <c r="G40" s="16"/>
    </row>
    <row r="41" spans="1:7" x14ac:dyDescent="0.3">
      <c r="A41" s="16"/>
      <c r="B41" s="16"/>
      <c r="C41" s="16"/>
      <c r="D41" s="16"/>
      <c r="E41" s="16"/>
      <c r="F41" s="16"/>
      <c r="G41" s="16"/>
    </row>
    <row r="42" spans="1:7" x14ac:dyDescent="0.3">
      <c r="A42" s="16"/>
      <c r="B42" s="16"/>
      <c r="C42" s="16"/>
      <c r="D42" s="16"/>
      <c r="E42" s="16"/>
      <c r="F42" s="16"/>
      <c r="G42" s="16"/>
    </row>
    <row r="43" spans="1:7" x14ac:dyDescent="0.3">
      <c r="A43" s="16"/>
      <c r="B43" s="16"/>
      <c r="C43" s="16"/>
      <c r="D43" s="16"/>
      <c r="E43" s="16"/>
      <c r="F43" s="16"/>
      <c r="G43" s="16"/>
    </row>
    <row r="44" spans="1:7" x14ac:dyDescent="0.3">
      <c r="A44" s="16"/>
      <c r="B44" s="16"/>
      <c r="C44" s="16"/>
      <c r="D44" s="16"/>
      <c r="E44" s="16"/>
      <c r="F44" s="16"/>
      <c r="G44" s="16"/>
    </row>
    <row r="45" spans="1:7" x14ac:dyDescent="0.3">
      <c r="A45" s="16"/>
      <c r="B45" s="16"/>
      <c r="C45" s="16"/>
      <c r="D45" s="16"/>
      <c r="E45" s="16"/>
      <c r="F45" s="16"/>
      <c r="G45" s="16"/>
    </row>
  </sheetData>
  <mergeCells count="5">
    <mergeCell ref="A2:G2"/>
    <mergeCell ref="J2:O2"/>
    <mergeCell ref="A1:G1"/>
    <mergeCell ref="J1:O1"/>
    <mergeCell ref="A25:G27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Akun tidak valid" error="Pilih nama akun yang tersedia di COA." xr:uid="{00000000-0002-0000-0400-000000000000}">
          <x14:formula1>
            <xm:f>COA!$B$4:$B$67</xm:f>
          </x14:formula1>
          <xm:sqref>L4:L23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embar6"/>
  <dimension ref="A1:F24"/>
  <sheetViews>
    <sheetView workbookViewId="0">
      <pane ySplit="3" topLeftCell="A4" activePane="bottomLeft" state="frozen"/>
      <selection pane="bottomLeft" activeCell="H20" sqref="H20"/>
    </sheetView>
  </sheetViews>
  <sheetFormatPr defaultRowHeight="14.4" x14ac:dyDescent="0.3"/>
  <cols>
    <col min="1" max="1" width="6" customWidth="1"/>
    <col min="2" max="2" width="13" customWidth="1"/>
    <col min="3" max="3" width="32" customWidth="1"/>
    <col min="4" max="5" width="16" customWidth="1"/>
    <col min="6" max="6" width="56" customWidth="1"/>
  </cols>
  <sheetData>
    <row r="1" spans="1:6" x14ac:dyDescent="0.3">
      <c r="A1" s="92" t="s">
        <v>567</v>
      </c>
      <c r="B1" s="81"/>
      <c r="C1" s="81"/>
      <c r="D1" s="81"/>
      <c r="E1" s="81"/>
      <c r="F1" s="81"/>
    </row>
    <row r="2" spans="1:6" x14ac:dyDescent="0.3">
      <c r="A2" s="91" t="s">
        <v>484</v>
      </c>
      <c r="B2" s="81"/>
      <c r="C2" s="81"/>
      <c r="D2" s="81"/>
      <c r="E2" s="81"/>
      <c r="F2" s="81"/>
    </row>
    <row r="3" spans="1:6" x14ac:dyDescent="0.3">
      <c r="A3" s="10" t="s">
        <v>185</v>
      </c>
      <c r="B3" s="10" t="s">
        <v>186</v>
      </c>
      <c r="C3" s="10" t="s">
        <v>192</v>
      </c>
      <c r="D3" s="10" t="s">
        <v>193</v>
      </c>
      <c r="E3" s="10" t="s">
        <v>194</v>
      </c>
      <c r="F3" s="10" t="s">
        <v>347</v>
      </c>
    </row>
    <row r="4" spans="1:6" x14ac:dyDescent="0.3">
      <c r="A4" s="17">
        <v>1</v>
      </c>
      <c r="B4" s="18">
        <v>46660</v>
      </c>
      <c r="C4" s="17" t="s">
        <v>157</v>
      </c>
      <c r="D4" s="19">
        <v>2000000</v>
      </c>
      <c r="E4" s="19"/>
      <c r="F4" s="17" t="s">
        <v>485</v>
      </c>
    </row>
    <row r="5" spans="1:6" x14ac:dyDescent="0.3">
      <c r="A5" s="11">
        <v>1</v>
      </c>
      <c r="B5" s="12">
        <v>46660</v>
      </c>
      <c r="C5" s="11" t="s">
        <v>56</v>
      </c>
      <c r="D5" s="20"/>
      <c r="E5" s="20">
        <v>2000000</v>
      </c>
      <c r="F5" s="11" t="s">
        <v>486</v>
      </c>
    </row>
    <row r="6" spans="1:6" x14ac:dyDescent="0.3">
      <c r="A6" s="17">
        <v>2</v>
      </c>
      <c r="B6" s="18">
        <v>46660</v>
      </c>
      <c r="C6" s="17" t="s">
        <v>147</v>
      </c>
      <c r="D6" s="19">
        <v>4000000</v>
      </c>
      <c r="E6" s="19"/>
      <c r="F6" s="17" t="s">
        <v>487</v>
      </c>
    </row>
    <row r="7" spans="1:6" x14ac:dyDescent="0.3">
      <c r="A7" s="11">
        <v>2</v>
      </c>
      <c r="B7" s="12">
        <v>46660</v>
      </c>
      <c r="C7" s="11" t="s">
        <v>58</v>
      </c>
      <c r="D7" s="20"/>
      <c r="E7" s="20">
        <v>4000000</v>
      </c>
      <c r="F7" s="11" t="s">
        <v>488</v>
      </c>
    </row>
    <row r="8" spans="1:6" x14ac:dyDescent="0.3">
      <c r="A8" s="17">
        <v>3</v>
      </c>
      <c r="B8" s="18">
        <v>46660</v>
      </c>
      <c r="C8" s="17" t="s">
        <v>177</v>
      </c>
      <c r="D8" s="19">
        <v>1000000</v>
      </c>
      <c r="E8" s="19"/>
      <c r="F8" s="17" t="s">
        <v>489</v>
      </c>
    </row>
    <row r="9" spans="1:6" x14ac:dyDescent="0.3">
      <c r="A9" s="11">
        <v>3</v>
      </c>
      <c r="B9" s="12">
        <v>46660</v>
      </c>
      <c r="C9" s="11" t="s">
        <v>60</v>
      </c>
      <c r="D9" s="20"/>
      <c r="E9" s="20">
        <v>1000000</v>
      </c>
      <c r="F9" s="11" t="s">
        <v>490</v>
      </c>
    </row>
    <row r="10" spans="1:6" x14ac:dyDescent="0.3">
      <c r="A10" s="17">
        <v>4</v>
      </c>
      <c r="B10" s="18">
        <v>46660</v>
      </c>
      <c r="C10" s="17" t="s">
        <v>165</v>
      </c>
      <c r="D10" s="19">
        <v>1500000</v>
      </c>
      <c r="E10" s="19"/>
      <c r="F10" s="17" t="s">
        <v>491</v>
      </c>
    </row>
    <row r="11" spans="1:6" x14ac:dyDescent="0.3">
      <c r="A11" s="11">
        <v>4</v>
      </c>
      <c r="B11" s="12">
        <v>46660</v>
      </c>
      <c r="C11" s="11" t="s">
        <v>62</v>
      </c>
      <c r="D11" s="20"/>
      <c r="E11" s="20">
        <v>1500000</v>
      </c>
      <c r="F11" s="11" t="s">
        <v>492</v>
      </c>
    </row>
    <row r="12" spans="1:6" x14ac:dyDescent="0.3">
      <c r="A12" s="17">
        <v>5</v>
      </c>
      <c r="B12" s="18">
        <v>46660</v>
      </c>
      <c r="C12" s="17" t="s">
        <v>159</v>
      </c>
      <c r="D12" s="19">
        <v>1800000</v>
      </c>
      <c r="E12" s="19"/>
      <c r="F12" s="17" t="s">
        <v>493</v>
      </c>
    </row>
    <row r="13" spans="1:6" x14ac:dyDescent="0.3">
      <c r="A13" s="11">
        <v>5</v>
      </c>
      <c r="B13" s="12">
        <v>46660</v>
      </c>
      <c r="C13" s="11" t="s">
        <v>76</v>
      </c>
      <c r="D13" s="20"/>
      <c r="E13" s="20">
        <v>1800000</v>
      </c>
      <c r="F13" s="11" t="s">
        <v>494</v>
      </c>
    </row>
    <row r="14" spans="1:6" ht="28.8" x14ac:dyDescent="0.3">
      <c r="A14" s="17">
        <v>6</v>
      </c>
      <c r="B14" s="18">
        <v>46660</v>
      </c>
      <c r="C14" s="17" t="s">
        <v>181</v>
      </c>
      <c r="D14" s="19">
        <v>2400000</v>
      </c>
      <c r="E14" s="19"/>
      <c r="F14" s="17" t="s">
        <v>495</v>
      </c>
    </row>
    <row r="15" spans="1:6" x14ac:dyDescent="0.3">
      <c r="A15" s="11">
        <v>6</v>
      </c>
      <c r="B15" s="12">
        <v>46660</v>
      </c>
      <c r="C15" s="11" t="s">
        <v>80</v>
      </c>
      <c r="D15" s="20"/>
      <c r="E15" s="20">
        <v>2400000</v>
      </c>
      <c r="F15" s="11" t="s">
        <v>496</v>
      </c>
    </row>
    <row r="16" spans="1:6" ht="28.8" x14ac:dyDescent="0.3">
      <c r="A16" s="17">
        <v>7</v>
      </c>
      <c r="B16" s="18">
        <v>46660</v>
      </c>
      <c r="C16" s="17" t="s">
        <v>181</v>
      </c>
      <c r="D16" s="19">
        <v>3500000</v>
      </c>
      <c r="E16" s="19"/>
      <c r="F16" s="17" t="s">
        <v>497</v>
      </c>
    </row>
    <row r="17" spans="1:6" x14ac:dyDescent="0.3">
      <c r="A17" s="11">
        <v>7</v>
      </c>
      <c r="B17" s="12">
        <v>46660</v>
      </c>
      <c r="C17" s="11" t="s">
        <v>82</v>
      </c>
      <c r="D17" s="20"/>
      <c r="E17" s="20">
        <v>3500000</v>
      </c>
      <c r="F17" s="11" t="s">
        <v>498</v>
      </c>
    </row>
    <row r="18" spans="1:6" x14ac:dyDescent="0.3">
      <c r="A18" s="17">
        <v>8</v>
      </c>
      <c r="B18" s="18">
        <v>46660</v>
      </c>
      <c r="C18" s="17" t="s">
        <v>141</v>
      </c>
      <c r="D18" s="19">
        <v>2000000</v>
      </c>
      <c r="E18" s="19"/>
      <c r="F18" s="17" t="s">
        <v>499</v>
      </c>
    </row>
    <row r="19" spans="1:6" x14ac:dyDescent="0.3">
      <c r="A19" s="11">
        <v>8</v>
      </c>
      <c r="B19" s="12">
        <v>46660</v>
      </c>
      <c r="C19" s="11" t="s">
        <v>88</v>
      </c>
      <c r="D19" s="20"/>
      <c r="E19" s="20">
        <v>2000000</v>
      </c>
      <c r="F19" s="11" t="s">
        <v>500</v>
      </c>
    </row>
    <row r="20" spans="1:6" x14ac:dyDescent="0.3">
      <c r="A20" s="17">
        <v>9</v>
      </c>
      <c r="B20" s="18">
        <v>46660</v>
      </c>
      <c r="C20" s="17" t="s">
        <v>173</v>
      </c>
      <c r="D20" s="19">
        <v>1200000</v>
      </c>
      <c r="E20" s="19"/>
      <c r="F20" s="17" t="s">
        <v>501</v>
      </c>
    </row>
    <row r="21" spans="1:6" x14ac:dyDescent="0.3">
      <c r="A21" s="11">
        <v>9</v>
      </c>
      <c r="B21" s="12">
        <v>46660</v>
      </c>
      <c r="C21" s="11" t="s">
        <v>100</v>
      </c>
      <c r="D21" s="20"/>
      <c r="E21" s="20">
        <v>1200000</v>
      </c>
      <c r="F21" s="11" t="s">
        <v>502</v>
      </c>
    </row>
    <row r="22" spans="1:6" x14ac:dyDescent="0.3">
      <c r="A22" s="17">
        <v>10</v>
      </c>
      <c r="B22" s="18">
        <v>46660</v>
      </c>
      <c r="C22" s="17" t="s">
        <v>108</v>
      </c>
      <c r="D22" s="19">
        <v>5000000</v>
      </c>
      <c r="E22" s="19"/>
      <c r="F22" s="17" t="s">
        <v>503</v>
      </c>
    </row>
    <row r="23" spans="1:6" x14ac:dyDescent="0.3">
      <c r="A23" s="11">
        <v>10</v>
      </c>
      <c r="B23" s="12">
        <v>46660</v>
      </c>
      <c r="C23" s="11" t="s">
        <v>125</v>
      </c>
      <c r="D23" s="20"/>
      <c r="E23" s="20">
        <v>5000000</v>
      </c>
      <c r="F23" s="11" t="s">
        <v>504</v>
      </c>
    </row>
    <row r="24" spans="1:6" x14ac:dyDescent="0.3">
      <c r="A24" s="21" t="s">
        <v>447</v>
      </c>
      <c r="B24" s="21"/>
      <c r="C24" s="21"/>
      <c r="D24" s="22">
        <f>SUM(D4:D23)</f>
        <v>24400000</v>
      </c>
      <c r="E24" s="22">
        <f>SUM(E4:E23)</f>
        <v>24400000</v>
      </c>
      <c r="F24" s="21" t="str">
        <f>IF(D24=E24,"BALANCE","SELISIH")</f>
        <v>BALANCE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embar8">
    <tabColor theme="4" tint="0.39997558519241921"/>
  </sheetPr>
  <dimension ref="A1:I70"/>
  <sheetViews>
    <sheetView topLeftCell="A43" workbookViewId="0">
      <selection activeCell="H59" sqref="H59"/>
    </sheetView>
  </sheetViews>
  <sheetFormatPr defaultRowHeight="14.4" x14ac:dyDescent="0.3"/>
  <cols>
    <col min="1" max="1" width="12.109375" customWidth="1"/>
    <col min="2" max="2" width="28.5546875" bestFit="1" customWidth="1"/>
    <col min="3" max="3" width="18.5546875" bestFit="1" customWidth="1"/>
    <col min="4" max="4" width="14.21875" customWidth="1"/>
    <col min="5" max="6" width="12.6640625" bestFit="1" customWidth="1"/>
  </cols>
  <sheetData>
    <row r="1" spans="1:9" ht="24" customHeight="1" x14ac:dyDescent="0.3">
      <c r="A1" s="93" t="s">
        <v>568</v>
      </c>
      <c r="B1" s="93"/>
      <c r="C1" s="93"/>
      <c r="D1" s="93"/>
      <c r="E1" s="93"/>
      <c r="F1" s="93"/>
    </row>
    <row r="2" spans="1:9" x14ac:dyDescent="0.3">
      <c r="A2" s="93"/>
      <c r="B2" s="93"/>
      <c r="C2" s="93"/>
      <c r="D2" s="93"/>
      <c r="E2" s="93"/>
      <c r="F2" s="93"/>
    </row>
    <row r="3" spans="1:9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193</v>
      </c>
      <c r="F3" s="1" t="s">
        <v>194</v>
      </c>
    </row>
    <row r="4" spans="1:9" x14ac:dyDescent="0.3">
      <c r="A4" t="s">
        <v>39</v>
      </c>
      <c r="B4" t="s">
        <v>40</v>
      </c>
      <c r="C4" t="s">
        <v>41</v>
      </c>
      <c r="D4" s="23" t="s">
        <v>42</v>
      </c>
      <c r="E4" s="23">
        <f>SUMIF(buku_besar[Nama Akun],$B4,buku_besar[Saldo Debit])</f>
        <v>35150000</v>
      </c>
      <c r="F4" s="23">
        <f>SUMIF(buku_besar[Nama Akun],$B4,buku_besar[Saldo Kredit])</f>
        <v>0</v>
      </c>
    </row>
    <row r="5" spans="1:9" x14ac:dyDescent="0.3">
      <c r="A5" t="s">
        <v>45</v>
      </c>
      <c r="B5" t="s">
        <v>46</v>
      </c>
      <c r="C5" t="s">
        <v>41</v>
      </c>
      <c r="D5" s="23" t="s">
        <v>42</v>
      </c>
      <c r="E5" s="23">
        <f>SUMIF(buku_besar[Nama Akun],$B5,buku_besar[Saldo Debit])</f>
        <v>175850000</v>
      </c>
      <c r="F5" s="23">
        <f>SUMIF(buku_besar[Nama Akun],$B5,buku_besar[Saldo Kredit])</f>
        <v>0</v>
      </c>
    </row>
    <row r="6" spans="1:9" x14ac:dyDescent="0.3">
      <c r="A6" t="s">
        <v>47</v>
      </c>
      <c r="B6" t="s">
        <v>48</v>
      </c>
      <c r="C6" t="s">
        <v>41</v>
      </c>
      <c r="D6" s="23" t="s">
        <v>42</v>
      </c>
      <c r="E6" s="23">
        <f>SUMIF(buku_besar[Nama Akun],$B6,buku_besar[Saldo Debit])</f>
        <v>23080000</v>
      </c>
      <c r="F6" s="23">
        <f>SUMIF(buku_besar[Nama Akun],$B6,buku_besar[Saldo Kredit])</f>
        <v>0</v>
      </c>
    </row>
    <row r="7" spans="1:9" x14ac:dyDescent="0.3">
      <c r="A7" t="s">
        <v>49</v>
      </c>
      <c r="B7" t="s">
        <v>50</v>
      </c>
      <c r="C7" t="s">
        <v>41</v>
      </c>
      <c r="D7" s="23" t="s">
        <v>42</v>
      </c>
      <c r="E7" s="23">
        <f>SUMIF(buku_besar[Nama Akun],$B7,buku_besar[Saldo Debit])</f>
        <v>2500000</v>
      </c>
      <c r="F7" s="23">
        <f>SUMIF(buku_besar[Nama Akun],$B7,buku_besar[Saldo Kredit])</f>
        <v>0</v>
      </c>
      <c r="I7" s="49"/>
    </row>
    <row r="8" spans="1:9" x14ac:dyDescent="0.3">
      <c r="A8" t="s">
        <v>51</v>
      </c>
      <c r="B8" t="s">
        <v>52</v>
      </c>
      <c r="C8" t="s">
        <v>41</v>
      </c>
      <c r="D8" s="23" t="s">
        <v>42</v>
      </c>
      <c r="E8" s="23">
        <f>SUMIF(buku_besar[Nama Akun],$B8,buku_besar[Saldo Debit])</f>
        <v>2400000</v>
      </c>
      <c r="F8" s="23">
        <f>SUMIF(buku_besar[Nama Akun],$B8,buku_besar[Saldo Kredit])</f>
        <v>0</v>
      </c>
      <c r="I8" s="49"/>
    </row>
    <row r="9" spans="1:9" x14ac:dyDescent="0.3">
      <c r="A9" t="s">
        <v>53</v>
      </c>
      <c r="B9" t="s">
        <v>54</v>
      </c>
      <c r="C9" t="s">
        <v>41</v>
      </c>
      <c r="D9" s="23" t="s">
        <v>42</v>
      </c>
      <c r="E9" s="23">
        <f>SUMIF(buku_besar[Nama Akun],$B9,buku_besar[Saldo Debit])</f>
        <v>35000000</v>
      </c>
      <c r="F9" s="23">
        <f>SUMIF(buku_besar[Nama Akun],$B9,buku_besar[Saldo Kredit])</f>
        <v>0</v>
      </c>
    </row>
    <row r="10" spans="1:9" x14ac:dyDescent="0.3">
      <c r="A10" t="s">
        <v>55</v>
      </c>
      <c r="B10" t="s">
        <v>56</v>
      </c>
      <c r="C10" t="s">
        <v>41</v>
      </c>
      <c r="D10" s="23" t="s">
        <v>42</v>
      </c>
      <c r="E10" s="23">
        <f>SUMIF(buku_besar[Nama Akun],$B10,buku_besar[Saldo Debit])</f>
        <v>2500000</v>
      </c>
      <c r="F10" s="23">
        <f>SUMIF(buku_besar[Nama Akun],$B10,buku_besar[Saldo Kredit])</f>
        <v>0</v>
      </c>
    </row>
    <row r="11" spans="1:9" x14ac:dyDescent="0.3">
      <c r="A11" t="s">
        <v>57</v>
      </c>
      <c r="B11" t="s">
        <v>58</v>
      </c>
      <c r="C11" t="s">
        <v>41</v>
      </c>
      <c r="D11" s="23" t="s">
        <v>42</v>
      </c>
      <c r="E11" s="23">
        <f>SUMIF(buku_besar[Nama Akun],$B11,buku_besar[Saldo Debit])</f>
        <v>8000000</v>
      </c>
      <c r="F11" s="23">
        <f>SUMIF(buku_besar[Nama Akun],$B11,buku_besar[Saldo Kredit])</f>
        <v>0</v>
      </c>
    </row>
    <row r="12" spans="1:9" x14ac:dyDescent="0.3">
      <c r="A12" t="s">
        <v>59</v>
      </c>
      <c r="B12" t="s">
        <v>60</v>
      </c>
      <c r="C12" t="s">
        <v>41</v>
      </c>
      <c r="D12" s="23" t="s">
        <v>42</v>
      </c>
      <c r="E12" s="23">
        <f>SUMIF(buku_besar[Nama Akun],$B12,buku_besar[Saldo Debit])</f>
        <v>5000000</v>
      </c>
      <c r="F12" s="23">
        <f>SUMIF(buku_besar[Nama Akun],$B12,buku_besar[Saldo Kredit])</f>
        <v>0</v>
      </c>
    </row>
    <row r="13" spans="1:9" x14ac:dyDescent="0.3">
      <c r="A13" t="s">
        <v>61</v>
      </c>
      <c r="B13" t="s">
        <v>62</v>
      </c>
      <c r="C13" t="s">
        <v>41</v>
      </c>
      <c r="D13" s="23" t="s">
        <v>42</v>
      </c>
      <c r="E13" s="23">
        <f>SUMIF(buku_besar[Nama Akun],$B13,buku_besar[Saldo Debit])</f>
        <v>6000000</v>
      </c>
      <c r="F13" s="23">
        <f>SUMIF(buku_besar[Nama Akun],$B13,buku_besar[Saldo Kredit])</f>
        <v>0</v>
      </c>
    </row>
    <row r="14" spans="1:9" x14ac:dyDescent="0.3">
      <c r="A14" t="s">
        <v>63</v>
      </c>
      <c r="B14" t="s">
        <v>64</v>
      </c>
      <c r="C14" t="s">
        <v>41</v>
      </c>
      <c r="D14" s="23" t="s">
        <v>42</v>
      </c>
      <c r="E14" s="23">
        <f>SUMIF(buku_besar[Nama Akun],$B14,buku_besar[Saldo Debit])</f>
        <v>8000000</v>
      </c>
      <c r="F14" s="23">
        <f>SUMIF(buku_besar[Nama Akun],$B14,buku_besar[Saldo Kredit])</f>
        <v>0</v>
      </c>
    </row>
    <row r="15" spans="1:9" x14ac:dyDescent="0.3">
      <c r="A15" t="s">
        <v>65</v>
      </c>
      <c r="B15" t="s">
        <v>66</v>
      </c>
      <c r="C15" t="s">
        <v>41</v>
      </c>
      <c r="D15" s="23" t="s">
        <v>42</v>
      </c>
      <c r="E15" s="23">
        <f>SUMIF(buku_besar[Nama Akun],$B15,buku_besar[Saldo Debit])</f>
        <v>22000000</v>
      </c>
      <c r="F15" s="23">
        <f>SUMIF(buku_besar[Nama Akun],$B15,buku_besar[Saldo Kredit])</f>
        <v>0</v>
      </c>
    </row>
    <row r="16" spans="1:9" x14ac:dyDescent="0.3">
      <c r="A16" t="s">
        <v>67</v>
      </c>
      <c r="B16" t="s">
        <v>68</v>
      </c>
      <c r="C16" t="s">
        <v>41</v>
      </c>
      <c r="D16" s="23" t="s">
        <v>42</v>
      </c>
      <c r="E16" s="23">
        <f>SUMIF(buku_besar[Nama Akun],$B16,buku_besar[Saldo Debit])</f>
        <v>15000000</v>
      </c>
      <c r="F16" s="23">
        <f>SUMIF(buku_besar[Nama Akun],$B16,buku_besar[Saldo Kredit])</f>
        <v>0</v>
      </c>
    </row>
    <row r="17" spans="1:6" x14ac:dyDescent="0.3">
      <c r="A17" t="s">
        <v>69</v>
      </c>
      <c r="B17" t="s">
        <v>70</v>
      </c>
      <c r="C17" t="s">
        <v>41</v>
      </c>
      <c r="D17" s="23" t="s">
        <v>42</v>
      </c>
      <c r="E17" s="23">
        <f>SUMIF(buku_besar[Nama Akun],$B17,buku_besar[Saldo Debit])</f>
        <v>180000000</v>
      </c>
      <c r="F17" s="23">
        <f>SUMIF(buku_besar[Nama Akun],$B17,buku_besar[Saldo Kredit])</f>
        <v>0</v>
      </c>
    </row>
    <row r="18" spans="1:6" x14ac:dyDescent="0.3">
      <c r="A18" t="s">
        <v>71</v>
      </c>
      <c r="B18" t="s">
        <v>72</v>
      </c>
      <c r="C18" t="s">
        <v>41</v>
      </c>
      <c r="D18" s="23" t="s">
        <v>42</v>
      </c>
      <c r="E18" s="23">
        <f>SUMIF(buku_besar[Nama Akun],$B18,buku_besar[Saldo Debit])</f>
        <v>350000000</v>
      </c>
      <c r="F18" s="23">
        <f>SUMIF(buku_besar[Nama Akun],$B18,buku_besar[Saldo Kredit])</f>
        <v>0</v>
      </c>
    </row>
    <row r="19" spans="1:6" x14ac:dyDescent="0.3">
      <c r="A19" t="s">
        <v>73</v>
      </c>
      <c r="B19" t="s">
        <v>74</v>
      </c>
      <c r="C19" t="s">
        <v>41</v>
      </c>
      <c r="D19" s="23" t="s">
        <v>42</v>
      </c>
      <c r="E19" s="23">
        <f>SUMIF(buku_besar[Nama Akun],$B19,buku_besar[Saldo Debit])</f>
        <v>220000000</v>
      </c>
      <c r="F19" s="23">
        <f>SUMIF(buku_besar[Nama Akun],$B19,buku_besar[Saldo Kredit])</f>
        <v>0</v>
      </c>
    </row>
    <row r="20" spans="1:6" x14ac:dyDescent="0.3">
      <c r="A20" t="s">
        <v>75</v>
      </c>
      <c r="B20" t="s">
        <v>76</v>
      </c>
      <c r="C20" t="s">
        <v>77</v>
      </c>
      <c r="D20" s="23" t="s">
        <v>78</v>
      </c>
      <c r="E20" s="23">
        <f>SUMIF(buku_besar[Nama Akun],$B20,buku_besar[Saldo Debit])</f>
        <v>0</v>
      </c>
      <c r="F20" s="23">
        <f>SUMIF(buku_besar[Nama Akun],$B20,buku_besar[Saldo Kredit])</f>
        <v>1800000</v>
      </c>
    </row>
    <row r="21" spans="1:6" x14ac:dyDescent="0.3">
      <c r="A21" t="s">
        <v>79</v>
      </c>
      <c r="B21" t="s">
        <v>80</v>
      </c>
      <c r="C21" t="s">
        <v>77</v>
      </c>
      <c r="D21" s="23" t="s">
        <v>78</v>
      </c>
      <c r="E21" s="23">
        <f>SUMIF(buku_besar[Nama Akun],$B21,buku_besar[Saldo Debit])</f>
        <v>0</v>
      </c>
      <c r="F21" s="23">
        <f>SUMIF(buku_besar[Nama Akun],$B21,buku_besar[Saldo Kredit])</f>
        <v>2400000</v>
      </c>
    </row>
    <row r="22" spans="1:6" x14ac:dyDescent="0.3">
      <c r="A22" t="s">
        <v>81</v>
      </c>
      <c r="B22" t="s">
        <v>82</v>
      </c>
      <c r="C22" t="s">
        <v>77</v>
      </c>
      <c r="D22" s="23" t="s">
        <v>78</v>
      </c>
      <c r="E22" s="23">
        <f>SUMIF(buku_besar[Nama Akun],$B22,buku_besar[Saldo Debit])</f>
        <v>0</v>
      </c>
      <c r="F22" s="23">
        <f>SUMIF(buku_besar[Nama Akun],$B22,buku_besar[Saldo Kredit])</f>
        <v>3500000</v>
      </c>
    </row>
    <row r="23" spans="1:6" x14ac:dyDescent="0.3">
      <c r="A23" t="s">
        <v>83</v>
      </c>
      <c r="B23" t="s">
        <v>84</v>
      </c>
      <c r="C23" t="s">
        <v>85</v>
      </c>
      <c r="D23" s="23" t="s">
        <v>78</v>
      </c>
      <c r="E23" s="23">
        <f>SUMIF(buku_besar[Nama Akun],$B23,buku_besar[Saldo Debit])</f>
        <v>0</v>
      </c>
      <c r="F23" s="23">
        <f>SUMIF(buku_besar[Nama Akun],$B23,buku_besar[Saldo Kredit])</f>
        <v>47050000</v>
      </c>
    </row>
    <row r="24" spans="1:6" x14ac:dyDescent="0.3">
      <c r="A24" t="s">
        <v>87</v>
      </c>
      <c r="B24" t="s">
        <v>88</v>
      </c>
      <c r="C24" t="s">
        <v>85</v>
      </c>
      <c r="D24" s="23" t="s">
        <v>78</v>
      </c>
      <c r="E24" s="23">
        <f>SUMIF(buku_besar[Nama Akun],$B24,buku_besar[Saldo Debit])</f>
        <v>0</v>
      </c>
      <c r="F24" s="23">
        <f>SUMIF(buku_besar[Nama Akun],$B24,buku_besar[Saldo Kredit])</f>
        <v>12100000</v>
      </c>
    </row>
    <row r="25" spans="1:6" x14ac:dyDescent="0.3">
      <c r="A25" t="s">
        <v>89</v>
      </c>
      <c r="B25" t="s">
        <v>90</v>
      </c>
      <c r="C25" t="s">
        <v>85</v>
      </c>
      <c r="D25" s="23" t="s">
        <v>78</v>
      </c>
      <c r="E25" s="23">
        <f>SUMIF(buku_besar[Nama Akun],$B25,buku_besar[Saldo Debit])</f>
        <v>0</v>
      </c>
      <c r="F25" s="23">
        <f>SUMIF(buku_besar[Nama Akun],$B25,buku_besar[Saldo Kredit])</f>
        <v>2000000</v>
      </c>
    </row>
    <row r="26" spans="1:6" x14ac:dyDescent="0.3">
      <c r="A26" t="s">
        <v>91</v>
      </c>
      <c r="B26" t="s">
        <v>92</v>
      </c>
      <c r="C26" t="s">
        <v>85</v>
      </c>
      <c r="D26" s="23" t="s">
        <v>78</v>
      </c>
      <c r="E26" s="23">
        <f>SUMIF(buku_besar[Nama Akun],$B26,buku_besar[Saldo Debit])</f>
        <v>0</v>
      </c>
      <c r="F26" s="23">
        <f>SUMIF(buku_besar[Nama Akun],$B26,buku_besar[Saldo Kredit])</f>
        <v>1100000</v>
      </c>
    </row>
    <row r="27" spans="1:6" x14ac:dyDescent="0.3">
      <c r="A27" t="s">
        <v>93</v>
      </c>
      <c r="B27" t="s">
        <v>94</v>
      </c>
      <c r="C27" t="s">
        <v>85</v>
      </c>
      <c r="D27" s="23" t="s">
        <v>78</v>
      </c>
      <c r="E27" s="23">
        <f>SUMIF(buku_besar[Nama Akun],$B27,buku_besar[Saldo Debit])</f>
        <v>0</v>
      </c>
      <c r="F27" s="23">
        <f>SUMIF(buku_besar[Nama Akun],$B27,buku_besar[Saldo Kredit])</f>
        <v>3080000</v>
      </c>
    </row>
    <row r="28" spans="1:6" x14ac:dyDescent="0.3">
      <c r="A28" t="s">
        <v>95</v>
      </c>
      <c r="B28" t="s">
        <v>96</v>
      </c>
      <c r="C28" t="s">
        <v>85</v>
      </c>
      <c r="D28" s="23" t="s">
        <v>78</v>
      </c>
      <c r="E28" s="23">
        <f>SUMIF(buku_besar[Nama Akun],$B28,buku_besar[Saldo Debit])</f>
        <v>0</v>
      </c>
      <c r="F28" s="23">
        <f>SUMIF(buku_besar[Nama Akun],$B28,buku_besar[Saldo Kredit])</f>
        <v>800000</v>
      </c>
    </row>
    <row r="29" spans="1:6" x14ac:dyDescent="0.3">
      <c r="A29" t="s">
        <v>97</v>
      </c>
      <c r="B29" t="s">
        <v>98</v>
      </c>
      <c r="C29" t="s">
        <v>85</v>
      </c>
      <c r="D29" s="23" t="s">
        <v>78</v>
      </c>
      <c r="E29" s="23">
        <f>SUMIF(buku_besar[Nama Akun],$B29,buku_besar[Saldo Debit])</f>
        <v>0</v>
      </c>
      <c r="F29" s="23">
        <f>SUMIF(buku_besar[Nama Akun],$B29,buku_besar[Saldo Kredit])</f>
        <v>4000000</v>
      </c>
    </row>
    <row r="30" spans="1:6" x14ac:dyDescent="0.3">
      <c r="A30" t="s">
        <v>99</v>
      </c>
      <c r="B30" t="s">
        <v>100</v>
      </c>
      <c r="C30" t="s">
        <v>85</v>
      </c>
      <c r="D30" s="23" t="s">
        <v>78</v>
      </c>
      <c r="E30" s="23">
        <f>SUMIF(buku_besar[Nama Akun],$B30,buku_besar[Saldo Debit])</f>
        <v>0</v>
      </c>
      <c r="F30" s="23">
        <f>SUMIF(buku_besar[Nama Akun],$B30,buku_besar[Saldo Kredit])</f>
        <v>3300000</v>
      </c>
    </row>
    <row r="31" spans="1:6" x14ac:dyDescent="0.3">
      <c r="A31" t="s">
        <v>101</v>
      </c>
      <c r="B31" t="s">
        <v>102</v>
      </c>
      <c r="C31" t="s">
        <v>85</v>
      </c>
      <c r="D31" s="23" t="s">
        <v>78</v>
      </c>
      <c r="E31" s="23">
        <f>SUMIF(buku_besar[Nama Akun],$B31,buku_besar[Saldo Debit])</f>
        <v>0</v>
      </c>
      <c r="F31" s="23">
        <f>SUMIF(buku_besar[Nama Akun],$B31,buku_besar[Saldo Kredit])</f>
        <v>394000000</v>
      </c>
    </row>
    <row r="32" spans="1:6" x14ac:dyDescent="0.3">
      <c r="A32" t="s">
        <v>103</v>
      </c>
      <c r="B32" t="s">
        <v>104</v>
      </c>
      <c r="C32" t="s">
        <v>85</v>
      </c>
      <c r="D32" s="23" t="s">
        <v>78</v>
      </c>
      <c r="E32" s="23">
        <f>SUMIF(buku_besar[Nama Akun],$B32,buku_besar[Saldo Debit])</f>
        <v>0</v>
      </c>
      <c r="F32" s="23">
        <f>SUMIF(buku_besar[Nama Akun],$B32,buku_besar[Saldo Kredit])</f>
        <v>17000000</v>
      </c>
    </row>
    <row r="33" spans="1:6" x14ac:dyDescent="0.3">
      <c r="A33" t="s">
        <v>105</v>
      </c>
      <c r="B33" t="s">
        <v>106</v>
      </c>
      <c r="C33" t="s">
        <v>85</v>
      </c>
      <c r="D33" s="23" t="s">
        <v>78</v>
      </c>
      <c r="E33" s="23">
        <f>SUMIF(buku_besar[Nama Akun],$B33,buku_besar[Saldo Debit])</f>
        <v>0</v>
      </c>
      <c r="F33" s="23">
        <f>SUMIF(buku_besar[Nama Akun],$B33,buku_besar[Saldo Kredit])</f>
        <v>350000000</v>
      </c>
    </row>
    <row r="34" spans="1:6" x14ac:dyDescent="0.3">
      <c r="A34" t="s">
        <v>107</v>
      </c>
      <c r="B34" t="s">
        <v>108</v>
      </c>
      <c r="C34" t="s">
        <v>85</v>
      </c>
      <c r="D34" s="23" t="s">
        <v>78</v>
      </c>
      <c r="E34" s="23">
        <f>SUMIF(buku_besar[Nama Akun],$B34,buku_besar[Saldo Debit])</f>
        <v>0</v>
      </c>
      <c r="F34" s="23">
        <f>SUMIF(buku_besar[Nama Akun],$B34,buku_besar[Saldo Kredit])</f>
        <v>11000000</v>
      </c>
    </row>
    <row r="35" spans="1:6" x14ac:dyDescent="0.3">
      <c r="A35" t="s">
        <v>109</v>
      </c>
      <c r="B35" t="s">
        <v>110</v>
      </c>
      <c r="C35" t="s">
        <v>111</v>
      </c>
      <c r="D35" s="23" t="s">
        <v>78</v>
      </c>
      <c r="E35" s="23">
        <f>SUMIF(buku_besar[Nama Akun],$B35,buku_besar[Saldo Debit])</f>
        <v>0</v>
      </c>
      <c r="F35" s="23">
        <f>SUMIF(buku_besar[Nama Akun],$B35,buku_besar[Saldo Kredit])</f>
        <v>80000000</v>
      </c>
    </row>
    <row r="36" spans="1:6" x14ac:dyDescent="0.3">
      <c r="A36" t="s">
        <v>113</v>
      </c>
      <c r="B36" t="s">
        <v>114</v>
      </c>
      <c r="C36" t="s">
        <v>111</v>
      </c>
      <c r="D36" s="23" t="s">
        <v>78</v>
      </c>
      <c r="E36" s="23">
        <f>SUMIF(buku_besar[Nama Akun],$B36,buku_besar[Saldo Debit])</f>
        <v>0</v>
      </c>
      <c r="F36" s="23">
        <f>SUMIF(buku_besar[Nama Akun],$B36,buku_besar[Saldo Kredit])</f>
        <v>120000000</v>
      </c>
    </row>
    <row r="37" spans="1:6" x14ac:dyDescent="0.3">
      <c r="A37" t="s">
        <v>115</v>
      </c>
      <c r="B37" t="s">
        <v>116</v>
      </c>
      <c r="C37" t="s">
        <v>111</v>
      </c>
      <c r="D37" s="23" t="s">
        <v>78</v>
      </c>
      <c r="E37" s="23">
        <f>SUMIF(buku_besar[Nama Akun],$B37,buku_besar[Saldo Debit])</f>
        <v>0</v>
      </c>
      <c r="F37" s="23">
        <f>SUMIF(buku_besar[Nama Akun],$B37,buku_besar[Saldo Kredit])</f>
        <v>25000000</v>
      </c>
    </row>
    <row r="38" spans="1:6" x14ac:dyDescent="0.3">
      <c r="A38" t="s">
        <v>117</v>
      </c>
      <c r="B38" t="s">
        <v>118</v>
      </c>
      <c r="C38" t="s">
        <v>111</v>
      </c>
      <c r="D38" s="23" t="s">
        <v>78</v>
      </c>
      <c r="E38" s="23">
        <f>SUMIF(buku_besar[Nama Akun],$B38,buku_besar[Saldo Debit])</f>
        <v>0</v>
      </c>
      <c r="F38" s="23">
        <f>SUMIF(buku_besar[Nama Akun],$B38,buku_besar[Saldo Kredit])</f>
        <v>18000000</v>
      </c>
    </row>
    <row r="39" spans="1:6" x14ac:dyDescent="0.3">
      <c r="A39" t="s">
        <v>119</v>
      </c>
      <c r="B39" t="s">
        <v>120</v>
      </c>
      <c r="C39" t="s">
        <v>121</v>
      </c>
      <c r="D39" s="23" t="s">
        <v>42</v>
      </c>
      <c r="E39" s="23">
        <f>SUMIF(buku_besar[Nama Akun],$B39,buku_besar[Saldo Debit])</f>
        <v>3000000</v>
      </c>
      <c r="F39" s="23">
        <f>SUMIF(buku_besar[Nama Akun],$B39,buku_besar[Saldo Kredit])</f>
        <v>0</v>
      </c>
    </row>
    <row r="40" spans="1:6" x14ac:dyDescent="0.3">
      <c r="A40" t="s">
        <v>122</v>
      </c>
      <c r="B40" t="s">
        <v>123</v>
      </c>
      <c r="C40" t="s">
        <v>111</v>
      </c>
      <c r="D40" s="23" t="s">
        <v>78</v>
      </c>
      <c r="E40" s="23">
        <f>SUMIF(buku_besar[Nama Akun],$B40,buku_besar[Saldo Debit])</f>
        <v>18000000</v>
      </c>
      <c r="F40" s="23">
        <f>SUMIF(buku_besar[Nama Akun],$B40,buku_besar[Saldo Kredit])</f>
        <v>0</v>
      </c>
    </row>
    <row r="41" spans="1:6" x14ac:dyDescent="0.3">
      <c r="A41" t="s">
        <v>124</v>
      </c>
      <c r="B41" t="s">
        <v>125</v>
      </c>
      <c r="C41" t="s">
        <v>126</v>
      </c>
      <c r="D41" s="23" t="s">
        <v>78</v>
      </c>
      <c r="E41" s="23">
        <f>SUMIF(buku_besar[Nama Akun],$B41,buku_besar[Saldo Debit])</f>
        <v>0</v>
      </c>
      <c r="F41" s="23">
        <f>SUMIF(buku_besar[Nama Akun],$B41,buku_besar[Saldo Kredit])</f>
        <v>19000000</v>
      </c>
    </row>
    <row r="42" spans="1:6" x14ac:dyDescent="0.3">
      <c r="A42" t="s">
        <v>128</v>
      </c>
      <c r="B42" t="s">
        <v>129</v>
      </c>
      <c r="C42" t="s">
        <v>126</v>
      </c>
      <c r="D42" s="23" t="s">
        <v>78</v>
      </c>
      <c r="E42" s="23">
        <f>SUMIF(buku_besar[Nama Akun],$B42,buku_besar[Saldo Debit])</f>
        <v>0</v>
      </c>
      <c r="F42" s="23">
        <f>SUMIF(buku_besar[Nama Akun],$B42,buku_besar[Saldo Kredit])</f>
        <v>28000000</v>
      </c>
    </row>
    <row r="43" spans="1:6" x14ac:dyDescent="0.3">
      <c r="A43" t="s">
        <v>130</v>
      </c>
      <c r="B43" t="s">
        <v>131</v>
      </c>
      <c r="C43" t="s">
        <v>126</v>
      </c>
      <c r="D43" s="23" t="s">
        <v>78</v>
      </c>
      <c r="E43" s="23">
        <f>SUMIF(buku_besar[Nama Akun],$B43,buku_besar[Saldo Debit])</f>
        <v>0</v>
      </c>
      <c r="F43" s="23">
        <f>SUMIF(buku_besar[Nama Akun],$B43,buku_besar[Saldo Kredit])</f>
        <v>3400000</v>
      </c>
    </row>
    <row r="44" spans="1:6" x14ac:dyDescent="0.3">
      <c r="A44" t="s">
        <v>132</v>
      </c>
      <c r="B44" t="s">
        <v>133</v>
      </c>
      <c r="C44" t="s">
        <v>126</v>
      </c>
      <c r="D44" s="23" t="s">
        <v>78</v>
      </c>
      <c r="E44" s="23">
        <f>SUMIF(buku_besar[Nama Akun],$B44,buku_besar[Saldo Debit])</f>
        <v>0</v>
      </c>
      <c r="F44" s="23">
        <f>SUMIF(buku_besar[Nama Akun],$B44,buku_besar[Saldo Kredit])</f>
        <v>1200000</v>
      </c>
    </row>
    <row r="45" spans="1:6" x14ac:dyDescent="0.3">
      <c r="A45" t="s">
        <v>134</v>
      </c>
      <c r="B45" t="s">
        <v>135</v>
      </c>
      <c r="C45" t="s">
        <v>126</v>
      </c>
      <c r="D45" s="23" t="s">
        <v>78</v>
      </c>
      <c r="E45" s="23">
        <f>SUMIF(buku_besar[Nama Akun],$B45,buku_besar[Saldo Debit])</f>
        <v>0</v>
      </c>
      <c r="F45" s="23">
        <f>SUMIF(buku_besar[Nama Akun],$B45,buku_besar[Saldo Kredit])</f>
        <v>9000000</v>
      </c>
    </row>
    <row r="46" spans="1:6" x14ac:dyDescent="0.3">
      <c r="A46" t="s">
        <v>136</v>
      </c>
      <c r="B46" t="s">
        <v>137</v>
      </c>
      <c r="C46" t="s">
        <v>126</v>
      </c>
      <c r="D46" s="23" t="s">
        <v>78</v>
      </c>
      <c r="E46" s="23">
        <f>SUMIF(buku_besar[Nama Akun],$B46,buku_besar[Saldo Debit])</f>
        <v>0</v>
      </c>
      <c r="F46" s="23">
        <f>SUMIF(buku_besar[Nama Akun],$B46,buku_besar[Saldo Kredit])</f>
        <v>5500000</v>
      </c>
    </row>
    <row r="47" spans="1:6" x14ac:dyDescent="0.3">
      <c r="A47" t="s">
        <v>138</v>
      </c>
      <c r="B47" t="s">
        <v>139</v>
      </c>
      <c r="C47" t="s">
        <v>126</v>
      </c>
      <c r="D47" s="23" t="s">
        <v>78</v>
      </c>
      <c r="E47" s="23">
        <f>SUMIF(buku_besar[Nama Akun],$B47,buku_besar[Saldo Debit])</f>
        <v>0</v>
      </c>
      <c r="F47" s="23">
        <f>SUMIF(buku_besar[Nama Akun],$B47,buku_besar[Saldo Kredit])</f>
        <v>2750000</v>
      </c>
    </row>
    <row r="48" spans="1:6" x14ac:dyDescent="0.3">
      <c r="A48" t="s">
        <v>140</v>
      </c>
      <c r="B48" t="s">
        <v>141</v>
      </c>
      <c r="C48" t="s">
        <v>142</v>
      </c>
      <c r="D48" s="23" t="s">
        <v>42</v>
      </c>
      <c r="E48" s="23">
        <f>SUMIF(buku_besar[Nama Akun],$B48,buku_besar[Saldo Debit])</f>
        <v>14000000</v>
      </c>
      <c r="F48" s="23">
        <f>SUMIF(buku_besar[Nama Akun],$B48,buku_besar[Saldo Kredit])</f>
        <v>0</v>
      </c>
    </row>
    <row r="49" spans="1:6" x14ac:dyDescent="0.3">
      <c r="A49" t="s">
        <v>144</v>
      </c>
      <c r="B49" t="s">
        <v>145</v>
      </c>
      <c r="C49" t="s">
        <v>142</v>
      </c>
      <c r="D49" s="23" t="s">
        <v>42</v>
      </c>
      <c r="E49" s="23">
        <f>SUMIF(buku_besar[Nama Akun],$B49,buku_besar[Saldo Debit])</f>
        <v>4200000</v>
      </c>
      <c r="F49" s="23">
        <f>SUMIF(buku_besar[Nama Akun],$B49,buku_besar[Saldo Kredit])</f>
        <v>0</v>
      </c>
    </row>
    <row r="50" spans="1:6" x14ac:dyDescent="0.3">
      <c r="A50" t="s">
        <v>146</v>
      </c>
      <c r="B50" t="s">
        <v>147</v>
      </c>
      <c r="C50" t="s">
        <v>142</v>
      </c>
      <c r="D50" s="23" t="s">
        <v>42</v>
      </c>
      <c r="E50" s="23">
        <f>SUMIF(buku_besar[Nama Akun],$B50,buku_besar[Saldo Debit])</f>
        <v>8000000</v>
      </c>
      <c r="F50" s="23">
        <f>SUMIF(buku_besar[Nama Akun],$B50,buku_besar[Saldo Kredit])</f>
        <v>0</v>
      </c>
    </row>
    <row r="51" spans="1:6" x14ac:dyDescent="0.3">
      <c r="A51" t="s">
        <v>148</v>
      </c>
      <c r="B51" t="s">
        <v>149</v>
      </c>
      <c r="C51" t="s">
        <v>142</v>
      </c>
      <c r="D51" s="23" t="s">
        <v>42</v>
      </c>
      <c r="E51" s="23">
        <f>SUMIF(buku_besar[Nama Akun],$B51,buku_besar[Saldo Debit])</f>
        <v>1750000</v>
      </c>
      <c r="F51" s="23">
        <f>SUMIF(buku_besar[Nama Akun],$B51,buku_besar[Saldo Kredit])</f>
        <v>0</v>
      </c>
    </row>
    <row r="52" spans="1:6" x14ac:dyDescent="0.3">
      <c r="A52" t="s">
        <v>150</v>
      </c>
      <c r="B52" t="s">
        <v>151</v>
      </c>
      <c r="C52" t="s">
        <v>142</v>
      </c>
      <c r="D52" s="23" t="s">
        <v>42</v>
      </c>
      <c r="E52" s="23">
        <f>SUMIF(buku_besar[Nama Akun],$B52,buku_besar[Saldo Debit])</f>
        <v>450000</v>
      </c>
      <c r="F52" s="23">
        <f>SUMIF(buku_besar[Nama Akun],$B52,buku_besar[Saldo Kredit])</f>
        <v>0</v>
      </c>
    </row>
    <row r="53" spans="1:6" x14ac:dyDescent="0.3">
      <c r="A53" t="s">
        <v>152</v>
      </c>
      <c r="B53" t="s">
        <v>153</v>
      </c>
      <c r="C53" t="s">
        <v>142</v>
      </c>
      <c r="D53" s="23" t="s">
        <v>42</v>
      </c>
      <c r="E53" s="23">
        <f>SUMIF(buku_besar[Nama Akun],$B53,buku_besar[Saldo Debit])</f>
        <v>650000</v>
      </c>
      <c r="F53" s="23">
        <f>SUMIF(buku_besar[Nama Akun],$B53,buku_besar[Saldo Kredit])</f>
        <v>0</v>
      </c>
    </row>
    <row r="54" spans="1:6" x14ac:dyDescent="0.3">
      <c r="A54" t="s">
        <v>154</v>
      </c>
      <c r="B54" t="s">
        <v>155</v>
      </c>
      <c r="C54" t="s">
        <v>142</v>
      </c>
      <c r="D54" s="23" t="s">
        <v>42</v>
      </c>
      <c r="E54" s="23">
        <f>SUMIF(buku_besar[Nama Akun],$B54,buku_besar[Saldo Debit])</f>
        <v>900000</v>
      </c>
      <c r="F54" s="23">
        <f>SUMIF(buku_besar[Nama Akun],$B54,buku_besar[Saldo Kredit])</f>
        <v>0</v>
      </c>
    </row>
    <row r="55" spans="1:6" x14ac:dyDescent="0.3">
      <c r="A55" t="s">
        <v>156</v>
      </c>
      <c r="B55" t="s">
        <v>157</v>
      </c>
      <c r="C55" t="s">
        <v>142</v>
      </c>
      <c r="D55" s="23" t="s">
        <v>42</v>
      </c>
      <c r="E55" s="23">
        <f>SUMIF(buku_besar[Nama Akun],$B55,buku_besar[Saldo Debit])</f>
        <v>2000000</v>
      </c>
      <c r="F55" s="23">
        <f>SUMIF(buku_besar[Nama Akun],$B55,buku_besar[Saldo Kredit])</f>
        <v>0</v>
      </c>
    </row>
    <row r="56" spans="1:6" x14ac:dyDescent="0.3">
      <c r="A56" t="s">
        <v>158</v>
      </c>
      <c r="B56" t="s">
        <v>159</v>
      </c>
      <c r="C56" t="s">
        <v>142</v>
      </c>
      <c r="D56" s="23" t="s">
        <v>42</v>
      </c>
      <c r="E56" s="23">
        <f>SUMIF(buku_besar[Nama Akun],$B56,buku_besar[Saldo Debit])</f>
        <v>1800000</v>
      </c>
      <c r="F56" s="23">
        <f>SUMIF(buku_besar[Nama Akun],$B56,buku_besar[Saldo Kredit])</f>
        <v>0</v>
      </c>
    </row>
    <row r="57" spans="1:6" x14ac:dyDescent="0.3">
      <c r="A57" t="s">
        <v>160</v>
      </c>
      <c r="B57" t="s">
        <v>161</v>
      </c>
      <c r="C57" t="s">
        <v>142</v>
      </c>
      <c r="D57" s="23" t="s">
        <v>42</v>
      </c>
      <c r="E57" s="23">
        <f>SUMIF(buku_besar[Nama Akun],$B57,buku_besar[Saldo Debit])</f>
        <v>1150000</v>
      </c>
      <c r="F57" s="23">
        <f>SUMIF(buku_besar[Nama Akun],$B57,buku_besar[Saldo Kredit])</f>
        <v>0</v>
      </c>
    </row>
    <row r="58" spans="1:6" x14ac:dyDescent="0.3">
      <c r="A58" t="s">
        <v>162</v>
      </c>
      <c r="B58" t="s">
        <v>163</v>
      </c>
      <c r="C58" t="s">
        <v>142</v>
      </c>
      <c r="D58" s="23" t="s">
        <v>42</v>
      </c>
      <c r="E58" s="23">
        <f>SUMIF(buku_besar[Nama Akun],$B58,buku_besar[Saldo Debit])</f>
        <v>1000000</v>
      </c>
      <c r="F58" s="23">
        <f>SUMIF(buku_besar[Nama Akun],$B58,buku_besar[Saldo Kredit])</f>
        <v>0</v>
      </c>
    </row>
    <row r="59" spans="1:6" x14ac:dyDescent="0.3">
      <c r="A59" t="s">
        <v>164</v>
      </c>
      <c r="B59" t="s">
        <v>165</v>
      </c>
      <c r="C59" t="s">
        <v>142</v>
      </c>
      <c r="D59" s="23" t="s">
        <v>42</v>
      </c>
      <c r="E59" s="23">
        <f>SUMIF(buku_besar[Nama Akun],$B59,buku_besar[Saldo Debit])</f>
        <v>1500000</v>
      </c>
      <c r="F59" s="23">
        <f>SUMIF(buku_besar[Nama Akun],$B59,buku_besar[Saldo Kredit])</f>
        <v>0</v>
      </c>
    </row>
    <row r="60" spans="1:6" x14ac:dyDescent="0.3">
      <c r="A60" t="s">
        <v>166</v>
      </c>
      <c r="B60" t="s">
        <v>167</v>
      </c>
      <c r="C60" t="s">
        <v>142</v>
      </c>
      <c r="D60" s="23" t="s">
        <v>42</v>
      </c>
      <c r="E60" s="23">
        <f>SUMIF(buku_besar[Nama Akun],$B60,buku_besar[Saldo Debit])</f>
        <v>300000</v>
      </c>
      <c r="F60" s="23">
        <f>SUMIF(buku_besar[Nama Akun],$B60,buku_besar[Saldo Kredit])</f>
        <v>0</v>
      </c>
    </row>
    <row r="61" spans="1:6" x14ac:dyDescent="0.3">
      <c r="A61" t="s">
        <v>168</v>
      </c>
      <c r="B61" t="s">
        <v>169</v>
      </c>
      <c r="C61" t="s">
        <v>142</v>
      </c>
      <c r="D61" s="23" t="s">
        <v>42</v>
      </c>
      <c r="E61" s="23">
        <f>SUMIF(buku_besar[Nama Akun],$B61,buku_besar[Saldo Debit])</f>
        <v>550000</v>
      </c>
      <c r="F61" s="23">
        <f>SUMIF(buku_besar[Nama Akun],$B61,buku_besar[Saldo Kredit])</f>
        <v>0</v>
      </c>
    </row>
    <row r="62" spans="1:6" x14ac:dyDescent="0.3">
      <c r="A62" t="s">
        <v>170</v>
      </c>
      <c r="B62" t="s">
        <v>171</v>
      </c>
      <c r="C62" t="s">
        <v>142</v>
      </c>
      <c r="D62" s="23" t="s">
        <v>42</v>
      </c>
      <c r="E62" s="23">
        <f>SUMIF(buku_besar[Nama Akun],$B62,buku_besar[Saldo Debit])</f>
        <v>2300000</v>
      </c>
      <c r="F62" s="23">
        <f>SUMIF(buku_besar[Nama Akun],$B62,buku_besar[Saldo Kredit])</f>
        <v>0</v>
      </c>
    </row>
    <row r="63" spans="1:6" x14ac:dyDescent="0.3">
      <c r="A63" t="s">
        <v>172</v>
      </c>
      <c r="B63" t="s">
        <v>173</v>
      </c>
      <c r="C63" t="s">
        <v>142</v>
      </c>
      <c r="D63" s="23" t="s">
        <v>42</v>
      </c>
      <c r="E63" s="23">
        <f>SUMIF(buku_besar[Nama Akun],$B63,buku_besar[Saldo Debit])</f>
        <v>3300000</v>
      </c>
      <c r="F63" s="23">
        <f>SUMIF(buku_besar[Nama Akun],$B63,buku_besar[Saldo Kredit])</f>
        <v>0</v>
      </c>
    </row>
    <row r="64" spans="1:6" x14ac:dyDescent="0.3">
      <c r="A64" t="s">
        <v>174</v>
      </c>
      <c r="B64" t="s">
        <v>175</v>
      </c>
      <c r="C64" t="s">
        <v>142</v>
      </c>
      <c r="D64" s="23" t="s">
        <v>42</v>
      </c>
      <c r="E64" s="23">
        <f>SUMIF(buku_besar[Nama Akun],$B64,buku_besar[Saldo Debit])</f>
        <v>2000000</v>
      </c>
      <c r="F64" s="23">
        <f>SUMIF(buku_besar[Nama Akun],$B64,buku_besar[Saldo Kredit])</f>
        <v>0</v>
      </c>
    </row>
    <row r="65" spans="1:6" x14ac:dyDescent="0.3">
      <c r="A65" t="s">
        <v>176</v>
      </c>
      <c r="B65" t="s">
        <v>177</v>
      </c>
      <c r="C65" t="s">
        <v>142</v>
      </c>
      <c r="D65" s="23" t="s">
        <v>42</v>
      </c>
      <c r="E65" s="23">
        <f>SUMIF(buku_besar[Nama Akun],$B65,buku_besar[Saldo Debit])</f>
        <v>1000000</v>
      </c>
      <c r="F65" s="23">
        <f>SUMIF(buku_besar[Nama Akun],$B65,buku_besar[Saldo Kredit])</f>
        <v>0</v>
      </c>
    </row>
    <row r="66" spans="1:6" x14ac:dyDescent="0.3">
      <c r="A66" t="s">
        <v>178</v>
      </c>
      <c r="B66" t="s">
        <v>179</v>
      </c>
      <c r="C66" t="s">
        <v>142</v>
      </c>
      <c r="D66" s="23" t="s">
        <v>42</v>
      </c>
      <c r="E66" s="23">
        <f>SUMIF(buku_besar[Nama Akun],$B66,buku_besar[Saldo Debit])</f>
        <v>750000</v>
      </c>
      <c r="F66" s="23">
        <f>SUMIF(buku_besar[Nama Akun],$B66,buku_besar[Saldo Kredit])</f>
        <v>0</v>
      </c>
    </row>
    <row r="67" spans="1:6" x14ac:dyDescent="0.3">
      <c r="A67" t="s">
        <v>180</v>
      </c>
      <c r="B67" t="s">
        <v>181</v>
      </c>
      <c r="C67" t="s">
        <v>142</v>
      </c>
      <c r="D67" s="23" t="s">
        <v>42</v>
      </c>
      <c r="E67" s="23">
        <f>SUMIF(buku_besar[Nama Akun],$B67,buku_besar[Saldo Debit])</f>
        <v>5900000</v>
      </c>
      <c r="F67" s="23">
        <f>SUMIF(buku_besar[Nama Akun],$B67,buku_besar[Saldo Kredit])</f>
        <v>0</v>
      </c>
    </row>
    <row r="68" spans="1:6" x14ac:dyDescent="0.3">
      <c r="D68" s="23"/>
      <c r="E68" s="23"/>
      <c r="F68" s="23"/>
    </row>
    <row r="69" spans="1:6" x14ac:dyDescent="0.3">
      <c r="A69" s="31" t="s">
        <v>447</v>
      </c>
      <c r="B69" s="31"/>
      <c r="C69" s="31"/>
      <c r="D69" s="32"/>
      <c r="E69" s="32">
        <f>SUM(E4:E67)</f>
        <v>1164980000</v>
      </c>
      <c r="F69" s="32">
        <f>SUM(F4:F67)</f>
        <v>1164980000</v>
      </c>
    </row>
    <row r="70" spans="1:6" x14ac:dyDescent="0.3">
      <c r="A70" t="s">
        <v>505</v>
      </c>
      <c r="D70" s="23"/>
      <c r="E70" s="23"/>
      <c r="F70" s="23" t="str">
        <f>IF(E69=F69,"BALANCE","SELISIH "&amp;TEXT(E69-F69,"#,##0"))</f>
        <v>BALANCE</v>
      </c>
    </row>
  </sheetData>
  <mergeCells count="1">
    <mergeCell ref="A1:F2"/>
  </mergeCells>
  <dataValidations count="2">
    <dataValidation allowBlank="1" showInputMessage="1" showErrorMessage="1" prompt="ambil dari buku besar, saldo kredit" sqref="F3" xr:uid="{B31CB164-8708-4B4D-B2B9-437F1FA6F9F5}"/>
    <dataValidation allowBlank="1" showInputMessage="1" showErrorMessage="1" prompt="ambil dari buku besar, saldo debit_x000a_" sqref="E3" xr:uid="{FC7678F9-033E-4359-B07A-F2575ECEE9B9}"/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embar10">
    <tabColor theme="4" tint="0.39997558519241921"/>
  </sheetPr>
  <dimension ref="A1:I51"/>
  <sheetViews>
    <sheetView tabSelected="1" topLeftCell="A28" workbookViewId="0">
      <selection activeCell="I44" sqref="I44"/>
    </sheetView>
  </sheetViews>
  <sheetFormatPr defaultRowHeight="14.4" x14ac:dyDescent="0.3"/>
  <cols>
    <col min="1" max="1" width="24.44140625" bestFit="1" customWidth="1"/>
    <col min="2" max="2" width="12.88671875" customWidth="1"/>
    <col min="4" max="4" width="28.5546875" bestFit="1" customWidth="1"/>
    <col min="5" max="5" width="12.88671875" customWidth="1"/>
  </cols>
  <sheetData>
    <row r="1" spans="1:9" ht="24" customHeight="1" x14ac:dyDescent="0.3">
      <c r="A1" s="93" t="s">
        <v>569</v>
      </c>
      <c r="B1" s="93"/>
      <c r="C1" s="93"/>
      <c r="D1" s="93"/>
      <c r="E1" s="93"/>
    </row>
    <row r="2" spans="1:9" x14ac:dyDescent="0.3">
      <c r="A2" s="93"/>
      <c r="B2" s="93"/>
      <c r="C2" s="93"/>
      <c r="D2" s="93"/>
      <c r="E2" s="93"/>
    </row>
    <row r="3" spans="1:9" x14ac:dyDescent="0.3">
      <c r="A3" s="94" t="s">
        <v>512</v>
      </c>
      <c r="B3" s="81"/>
      <c r="D3" s="94" t="s">
        <v>513</v>
      </c>
      <c r="E3" s="81"/>
    </row>
    <row r="4" spans="1:9" x14ac:dyDescent="0.3">
      <c r="A4" s="1" t="s">
        <v>192</v>
      </c>
      <c r="B4" s="1" t="s">
        <v>514</v>
      </c>
      <c r="D4" s="24" t="s">
        <v>41</v>
      </c>
      <c r="E4" s="24" t="s">
        <v>514</v>
      </c>
    </row>
    <row r="5" spans="1:9" x14ac:dyDescent="0.3">
      <c r="A5" t="s">
        <v>125</v>
      </c>
      <c r="B5" s="6">
        <f>SUMIF(NS_SP[Nama Akun],Table9[[#This Row],[Akun]],NS_SP[Kredit (Rp)])</f>
        <v>19000000</v>
      </c>
      <c r="D5" s="23" t="s">
        <v>40</v>
      </c>
      <c r="E5" s="23">
        <f>SUMIF(NS_SP[Nama Akun],Table11[[#This Row],[Aset]],NS_SP[Debit (Rp)])-SUMIF(NS_SP[Nama Akun],Table11[[#This Row],[Aset]],NS_SP[Kredit (Rp)])</f>
        <v>35150000</v>
      </c>
      <c r="I5" s="49"/>
    </row>
    <row r="6" spans="1:9" x14ac:dyDescent="0.3">
      <c r="A6" t="s">
        <v>129</v>
      </c>
      <c r="B6" s="6">
        <f>SUMIF(NS_SP[Nama Akun],Table9[[#This Row],[Akun]],NS_SP[Kredit (Rp)])</f>
        <v>28000000</v>
      </c>
      <c r="D6" s="23" t="s">
        <v>46</v>
      </c>
      <c r="E6" s="23">
        <f>SUMIF(NS_SP[Nama Akun],Table11[[#This Row],[Aset]],NS_SP[Debit (Rp)])-SUMIF(NS_SP[Nama Akun],Table11[[#This Row],[Aset]],NS_SP[Kredit (Rp)])</f>
        <v>175850000</v>
      </c>
      <c r="I6" s="49"/>
    </row>
    <row r="7" spans="1:9" x14ac:dyDescent="0.3">
      <c r="A7" t="s">
        <v>131</v>
      </c>
      <c r="B7" s="6">
        <f>SUMIF(NS_SP[Nama Akun],Table9[[#This Row],[Akun]],NS_SP[Kredit (Rp)])</f>
        <v>3400000</v>
      </c>
      <c r="D7" s="23" t="s">
        <v>48</v>
      </c>
      <c r="E7" s="23">
        <f>SUMIF(NS_SP[Nama Akun],Table11[[#This Row],[Aset]],NS_SP[Debit (Rp)])-SUMIF(NS_SP[Nama Akun],Table11[[#This Row],[Aset]],NS_SP[Kredit (Rp)])</f>
        <v>23080000</v>
      </c>
    </row>
    <row r="8" spans="1:9" x14ac:dyDescent="0.3">
      <c r="A8" t="s">
        <v>133</v>
      </c>
      <c r="B8" s="6">
        <f>SUMIF(NS_SP[Nama Akun],Table9[[#This Row],[Akun]],NS_SP[Kredit (Rp)])</f>
        <v>1200000</v>
      </c>
      <c r="D8" s="23" t="s">
        <v>50</v>
      </c>
      <c r="E8" s="23">
        <f>SUMIF(NS_SP[Nama Akun],Table11[[#This Row],[Aset]],NS_SP[Debit (Rp)])-SUMIF(NS_SP[Nama Akun],Table11[[#This Row],[Aset]],NS_SP[Kredit (Rp)])</f>
        <v>2500000</v>
      </c>
    </row>
    <row r="9" spans="1:9" x14ac:dyDescent="0.3">
      <c r="A9" t="s">
        <v>135</v>
      </c>
      <c r="B9" s="6">
        <f>SUMIF(NS_SP[Nama Akun],Table9[[#This Row],[Akun]],NS_SP[Kredit (Rp)])</f>
        <v>9000000</v>
      </c>
      <c r="D9" s="23" t="s">
        <v>52</v>
      </c>
      <c r="E9" s="23">
        <f>SUMIF(NS_SP[Nama Akun],Table11[[#This Row],[Aset]],NS_SP[Debit (Rp)])-SUMIF(NS_SP[Nama Akun],Table11[[#This Row],[Aset]],NS_SP[Kredit (Rp)])</f>
        <v>2400000</v>
      </c>
    </row>
    <row r="10" spans="1:9" x14ac:dyDescent="0.3">
      <c r="A10" t="s">
        <v>137</v>
      </c>
      <c r="B10" s="6">
        <f>SUMIF(NS_SP[Nama Akun],Table9[[#This Row],[Akun]],NS_SP[Kredit (Rp)])</f>
        <v>5500000</v>
      </c>
      <c r="D10" s="23" t="s">
        <v>54</v>
      </c>
      <c r="E10" s="23">
        <f>SUMIF(NS_SP[Nama Akun],Table11[[#This Row],[Aset]],NS_SP[Debit (Rp)])-SUMIF(NS_SP[Nama Akun],Table11[[#This Row],[Aset]],NS_SP[Kredit (Rp)])</f>
        <v>35000000</v>
      </c>
    </row>
    <row r="11" spans="1:9" x14ac:dyDescent="0.3">
      <c r="A11" t="s">
        <v>139</v>
      </c>
      <c r="B11" s="6">
        <f>SUMIF(NS_SP[Nama Akun],Table9[[#This Row],[Akun]],NS_SP[Kredit (Rp)])</f>
        <v>2750000</v>
      </c>
      <c r="D11" s="23" t="s">
        <v>56</v>
      </c>
      <c r="E11" s="23">
        <f>SUMIF(NS_SP[Nama Akun],Table11[[#This Row],[Aset]],NS_SP[Debit (Rp)])-SUMIF(NS_SP[Nama Akun],Table11[[#This Row],[Aset]],NS_SP[Kredit (Rp)])</f>
        <v>2500000</v>
      </c>
    </row>
    <row r="12" spans="1:9" x14ac:dyDescent="0.3">
      <c r="A12" s="3" t="s">
        <v>515</v>
      </c>
      <c r="B12" s="25">
        <f>SUM(B5:B11)</f>
        <v>68850000</v>
      </c>
      <c r="D12" s="23" t="s">
        <v>58</v>
      </c>
      <c r="E12" s="23">
        <f>SUMIF(NS_SP[Nama Akun],Table11[[#This Row],[Aset]],NS_SP[Debit (Rp)])-SUMIF(NS_SP[Nama Akun],Table11[[#This Row],[Aset]],NS_SP[Kredit (Rp)])</f>
        <v>8000000</v>
      </c>
    </row>
    <row r="13" spans="1:9" x14ac:dyDescent="0.3">
      <c r="A13" s="1" t="s">
        <v>192</v>
      </c>
      <c r="B13" s="1" t="s">
        <v>514</v>
      </c>
      <c r="D13" s="23" t="s">
        <v>60</v>
      </c>
      <c r="E13" s="23">
        <f>SUMIF(NS_SP[Nama Akun],Table11[[#This Row],[Aset]],NS_SP[Debit (Rp)])-SUMIF(NS_SP[Nama Akun],Table11[[#This Row],[Aset]],NS_SP[Kredit (Rp)])</f>
        <v>5000000</v>
      </c>
    </row>
    <row r="14" spans="1:9" x14ac:dyDescent="0.3">
      <c r="A14" t="s">
        <v>141</v>
      </c>
      <c r="B14" s="6">
        <f>SUMIF(NS_SP[Nama Akun],Table10[[#This Row],[Akun]],NS_SP[Debit (Rp)])-SUMIF(NS_SP[Nama Akun],Table10[[#This Row],[Akun]],NS_SP[Kredit (Rp)])</f>
        <v>14000000</v>
      </c>
      <c r="D14" s="23" t="s">
        <v>62</v>
      </c>
      <c r="E14" s="23">
        <f>SUMIF(NS_SP[Nama Akun],Table11[[#This Row],[Aset]],NS_SP[Debit (Rp)])-SUMIF(NS_SP[Nama Akun],Table11[[#This Row],[Aset]],NS_SP[Kredit (Rp)])</f>
        <v>6000000</v>
      </c>
    </row>
    <row r="15" spans="1:9" x14ac:dyDescent="0.3">
      <c r="A15" t="s">
        <v>145</v>
      </c>
      <c r="B15" s="6">
        <f>SUMIF(NS_SP[Nama Akun],Table10[[#This Row],[Akun]],NS_SP[Debit (Rp)])-SUMIF(NS_SP[Nama Akun],Table10[[#This Row],[Akun]],NS_SP[Kredit (Rp)])</f>
        <v>4200000</v>
      </c>
      <c r="D15" s="23" t="s">
        <v>64</v>
      </c>
      <c r="E15" s="23">
        <f>SUMIF(NS_SP[Nama Akun],Table11[[#This Row],[Aset]],NS_SP[Debit (Rp)])-SUMIF(NS_SP[Nama Akun],Table11[[#This Row],[Aset]],NS_SP[Kredit (Rp)])</f>
        <v>8000000</v>
      </c>
    </row>
    <row r="16" spans="1:9" x14ac:dyDescent="0.3">
      <c r="A16" t="s">
        <v>147</v>
      </c>
      <c r="B16" s="6">
        <f>SUMIF(NS_SP[Nama Akun],Table10[[#This Row],[Akun]],NS_SP[Debit (Rp)])-SUMIF(NS_SP[Nama Akun],Table10[[#This Row],[Akun]],NS_SP[Kredit (Rp)])</f>
        <v>8000000</v>
      </c>
      <c r="D16" s="23" t="s">
        <v>66</v>
      </c>
      <c r="E16" s="23">
        <f>SUMIF(NS_SP[Nama Akun],Table11[[#This Row],[Aset]],NS_SP[Debit (Rp)])-SUMIF(NS_SP[Nama Akun],Table11[[#This Row],[Aset]],NS_SP[Kredit (Rp)])</f>
        <v>22000000</v>
      </c>
    </row>
    <row r="17" spans="1:5" x14ac:dyDescent="0.3">
      <c r="A17" t="s">
        <v>149</v>
      </c>
      <c r="B17" s="6">
        <f>SUMIF(NS_SP[Nama Akun],Table10[[#This Row],[Akun]],NS_SP[Debit (Rp)])-SUMIF(NS_SP[Nama Akun],Table10[[#This Row],[Akun]],NS_SP[Kredit (Rp)])</f>
        <v>1750000</v>
      </c>
      <c r="D17" s="23" t="s">
        <v>68</v>
      </c>
      <c r="E17" s="23">
        <f>SUMIF(NS_SP[Nama Akun],Table11[[#This Row],[Aset]],NS_SP[Debit (Rp)])-SUMIF(NS_SP[Nama Akun],Table11[[#This Row],[Aset]],NS_SP[Kredit (Rp)])</f>
        <v>15000000</v>
      </c>
    </row>
    <row r="18" spans="1:5" x14ac:dyDescent="0.3">
      <c r="A18" t="s">
        <v>151</v>
      </c>
      <c r="B18" s="6">
        <f>SUMIF(NS_SP[Nama Akun],Table10[[#This Row],[Akun]],NS_SP[Debit (Rp)])-SUMIF(NS_SP[Nama Akun],Table10[[#This Row],[Akun]],NS_SP[Kredit (Rp)])</f>
        <v>450000</v>
      </c>
      <c r="D18" s="23" t="s">
        <v>70</v>
      </c>
      <c r="E18" s="23">
        <f>SUMIF(NS_SP[Nama Akun],Table11[[#This Row],[Aset]],NS_SP[Debit (Rp)])-SUMIF(NS_SP[Nama Akun],Table11[[#This Row],[Aset]],NS_SP[Kredit (Rp)])</f>
        <v>180000000</v>
      </c>
    </row>
    <row r="19" spans="1:5" x14ac:dyDescent="0.3">
      <c r="A19" t="s">
        <v>153</v>
      </c>
      <c r="B19" s="6">
        <f>SUMIF(NS_SP[Nama Akun],Table10[[#This Row],[Akun]],NS_SP[Debit (Rp)])-SUMIF(NS_SP[Nama Akun],Table10[[#This Row],[Akun]],NS_SP[Kredit (Rp)])</f>
        <v>650000</v>
      </c>
      <c r="D19" s="23" t="s">
        <v>72</v>
      </c>
      <c r="E19" s="23">
        <f>SUMIF(NS_SP[Nama Akun],Table11[[#This Row],[Aset]],NS_SP[Debit (Rp)])-SUMIF(NS_SP[Nama Akun],Table11[[#This Row],[Aset]],NS_SP[Kredit (Rp)])</f>
        <v>350000000</v>
      </c>
    </row>
    <row r="20" spans="1:5" x14ac:dyDescent="0.3">
      <c r="A20" t="s">
        <v>155</v>
      </c>
      <c r="B20" s="6">
        <f>SUMIF(NS_SP[Nama Akun],Table10[[#This Row],[Akun]],NS_SP[Debit (Rp)])-SUMIF(NS_SP[Nama Akun],Table10[[#This Row],[Akun]],NS_SP[Kredit (Rp)])</f>
        <v>900000</v>
      </c>
      <c r="D20" s="23" t="s">
        <v>74</v>
      </c>
      <c r="E20" s="23">
        <f>SUMIF(NS_SP[Nama Akun],Table11[[#This Row],[Aset]],NS_SP[Debit (Rp)])-SUMIF(NS_SP[Nama Akun],Table11[[#This Row],[Aset]],NS_SP[Kredit (Rp)])</f>
        <v>220000000</v>
      </c>
    </row>
    <row r="21" spans="1:5" x14ac:dyDescent="0.3">
      <c r="A21" t="s">
        <v>157</v>
      </c>
      <c r="B21" s="6">
        <f>SUMIF(NS_SP[Nama Akun],Table10[[#This Row],[Akun]],NS_SP[Debit (Rp)])-SUMIF(NS_SP[Nama Akun],Table10[[#This Row],[Akun]],NS_SP[Kredit (Rp)])</f>
        <v>2000000</v>
      </c>
      <c r="D21" s="23" t="s">
        <v>76</v>
      </c>
      <c r="E21" s="23">
        <f>SUMIF(NS_SP[Nama Akun],Table11[[#This Row],[Aset]],NS_SP[Debit (Rp)])-SUMIF(NS_SP[Nama Akun],Table11[[#This Row],[Aset]],NS_SP[Kredit (Rp)])</f>
        <v>-1800000</v>
      </c>
    </row>
    <row r="22" spans="1:5" x14ac:dyDescent="0.3">
      <c r="A22" t="s">
        <v>159</v>
      </c>
      <c r="B22" s="6">
        <f>SUMIF(NS_SP[Nama Akun],Table10[[#This Row],[Akun]],NS_SP[Debit (Rp)])-SUMIF(NS_SP[Nama Akun],Table10[[#This Row],[Akun]],NS_SP[Kredit (Rp)])</f>
        <v>1800000</v>
      </c>
      <c r="D22" s="23" t="s">
        <v>80</v>
      </c>
      <c r="E22" s="23">
        <f>SUMIF(NS_SP[Nama Akun],Table11[[#This Row],[Aset]],NS_SP[Debit (Rp)])-SUMIF(NS_SP[Nama Akun],Table11[[#This Row],[Aset]],NS_SP[Kredit (Rp)])</f>
        <v>-2400000</v>
      </c>
    </row>
    <row r="23" spans="1:5" x14ac:dyDescent="0.3">
      <c r="A23" t="s">
        <v>161</v>
      </c>
      <c r="B23" s="6">
        <f>SUMIF(NS_SP[Nama Akun],Table10[[#This Row],[Akun]],NS_SP[Debit (Rp)])-SUMIF(NS_SP[Nama Akun],Table10[[#This Row],[Akun]],NS_SP[Kredit (Rp)])</f>
        <v>1150000</v>
      </c>
      <c r="D23" s="23" t="s">
        <v>82</v>
      </c>
      <c r="E23" s="23">
        <f>SUMIF(NS_SP[Nama Akun],Table11[[#This Row],[Aset]],NS_SP[Debit (Rp)])-SUMIF(NS_SP[Nama Akun],Table11[[#This Row],[Aset]],NS_SP[Kredit (Rp)])</f>
        <v>-3500000</v>
      </c>
    </row>
    <row r="24" spans="1:5" x14ac:dyDescent="0.3">
      <c r="A24" t="s">
        <v>163</v>
      </c>
      <c r="B24" s="6">
        <f>SUMIF(NS_SP[Nama Akun],Table10[[#This Row],[Akun]],NS_SP[Debit (Rp)])-SUMIF(NS_SP[Nama Akun],Table10[[#This Row],[Akun]],NS_SP[Kredit (Rp)])</f>
        <v>1000000</v>
      </c>
      <c r="D24" s="26" t="s">
        <v>516</v>
      </c>
      <c r="E24" s="26">
        <f>SUM(E5:E23)</f>
        <v>1082780000</v>
      </c>
    </row>
    <row r="25" spans="1:5" x14ac:dyDescent="0.3">
      <c r="A25" t="s">
        <v>165</v>
      </c>
      <c r="B25" s="6">
        <f>SUMIF(NS_SP[Nama Akun],Table10[[#This Row],[Akun]],NS_SP[Debit (Rp)])-SUMIF(NS_SP[Nama Akun],Table10[[#This Row],[Akun]],NS_SP[Kredit (Rp)])</f>
        <v>1500000</v>
      </c>
      <c r="D25" s="23"/>
      <c r="E25" s="23"/>
    </row>
    <row r="26" spans="1:5" x14ac:dyDescent="0.3">
      <c r="A26" t="s">
        <v>167</v>
      </c>
      <c r="B26" s="6">
        <f>SUMIF(NS_SP[Nama Akun],Table10[[#This Row],[Akun]],NS_SP[Debit (Rp)])-SUMIF(NS_SP[Nama Akun],Table10[[#This Row],[Akun]],NS_SP[Kredit (Rp)])</f>
        <v>300000</v>
      </c>
      <c r="D26" s="24" t="s">
        <v>85</v>
      </c>
      <c r="E26" s="24" t="s">
        <v>514</v>
      </c>
    </row>
    <row r="27" spans="1:5" x14ac:dyDescent="0.3">
      <c r="A27" t="s">
        <v>169</v>
      </c>
      <c r="B27" s="6">
        <f>SUMIF(NS_SP[Nama Akun],Table10[[#This Row],[Akun]],NS_SP[Debit (Rp)])-SUMIF(NS_SP[Nama Akun],Table10[[#This Row],[Akun]],NS_SP[Kredit (Rp)])</f>
        <v>550000</v>
      </c>
      <c r="D27" s="23" t="s">
        <v>84</v>
      </c>
      <c r="E27" s="23">
        <f>SUMIF(NS_SP[Nama Akun],Table12[[#This Row],[Liabilitas]],NS_SP[Kredit (Rp)])-SUMIF(NS_SP[Nama Akun],Table12[[#This Row],[Liabilitas]],NS_SP[Debit (Rp)])</f>
        <v>47050000</v>
      </c>
    </row>
    <row r="28" spans="1:5" x14ac:dyDescent="0.3">
      <c r="A28" t="s">
        <v>171</v>
      </c>
      <c r="B28" s="6">
        <f>SUMIF(NS_SP[Nama Akun],Table10[[#This Row],[Akun]],NS_SP[Debit (Rp)])-SUMIF(NS_SP[Nama Akun],Table10[[#This Row],[Akun]],NS_SP[Kredit (Rp)])</f>
        <v>2300000</v>
      </c>
      <c r="D28" s="23" t="s">
        <v>88</v>
      </c>
      <c r="E28" s="23">
        <f>SUMIF(NS_SP[Nama Akun],Table12[[#This Row],[Liabilitas]],NS_SP[Kredit (Rp)])-SUMIF(NS_SP[Nama Akun],Table12[[#This Row],[Liabilitas]],NS_SP[Debit (Rp)])</f>
        <v>12100000</v>
      </c>
    </row>
    <row r="29" spans="1:5" x14ac:dyDescent="0.3">
      <c r="A29" t="s">
        <v>173</v>
      </c>
      <c r="B29" s="6">
        <f>SUMIF(NS_SP[Nama Akun],Table10[[#This Row],[Akun]],NS_SP[Debit (Rp)])-SUMIF(NS_SP[Nama Akun],Table10[[#This Row],[Akun]],NS_SP[Kredit (Rp)])</f>
        <v>3300000</v>
      </c>
      <c r="D29" s="23" t="s">
        <v>90</v>
      </c>
      <c r="E29" s="23">
        <f>SUMIF(NS_SP[Nama Akun],Table12[[#This Row],[Liabilitas]],NS_SP[Kredit (Rp)])-SUMIF(NS_SP[Nama Akun],Table12[[#This Row],[Liabilitas]],NS_SP[Debit (Rp)])</f>
        <v>2000000</v>
      </c>
    </row>
    <row r="30" spans="1:5" x14ac:dyDescent="0.3">
      <c r="A30" t="s">
        <v>175</v>
      </c>
      <c r="B30" s="6">
        <f>SUMIF(NS_SP[Nama Akun],Table10[[#This Row],[Akun]],NS_SP[Debit (Rp)])-SUMIF(NS_SP[Nama Akun],Table10[[#This Row],[Akun]],NS_SP[Kredit (Rp)])</f>
        <v>2000000</v>
      </c>
      <c r="D30" s="23" t="s">
        <v>92</v>
      </c>
      <c r="E30" s="23">
        <f>SUMIF(NS_SP[Nama Akun],Table12[[#This Row],[Liabilitas]],NS_SP[Kredit (Rp)])-SUMIF(NS_SP[Nama Akun],Table12[[#This Row],[Liabilitas]],NS_SP[Debit (Rp)])</f>
        <v>1100000</v>
      </c>
    </row>
    <row r="31" spans="1:5" x14ac:dyDescent="0.3">
      <c r="A31" t="s">
        <v>177</v>
      </c>
      <c r="B31" s="6">
        <f>SUMIF(NS_SP[Nama Akun],Table10[[#This Row],[Akun]],NS_SP[Debit (Rp)])-SUMIF(NS_SP[Nama Akun],Table10[[#This Row],[Akun]],NS_SP[Kredit (Rp)])</f>
        <v>1000000</v>
      </c>
      <c r="D31" s="23" t="s">
        <v>94</v>
      </c>
      <c r="E31" s="23">
        <f>SUMIF(NS_SP[Nama Akun],Table12[[#This Row],[Liabilitas]],NS_SP[Kredit (Rp)])-SUMIF(NS_SP[Nama Akun],Table12[[#This Row],[Liabilitas]],NS_SP[Debit (Rp)])</f>
        <v>3080000</v>
      </c>
    </row>
    <row r="32" spans="1:5" x14ac:dyDescent="0.3">
      <c r="A32" t="s">
        <v>179</v>
      </c>
      <c r="B32" s="6">
        <f>SUMIF(NS_SP[Nama Akun],Table10[[#This Row],[Akun]],NS_SP[Debit (Rp)])-SUMIF(NS_SP[Nama Akun],Table10[[#This Row],[Akun]],NS_SP[Kredit (Rp)])</f>
        <v>750000</v>
      </c>
      <c r="D32" s="23" t="s">
        <v>96</v>
      </c>
      <c r="E32" s="23">
        <f>SUMIF(NS_SP[Nama Akun],Table12[[#This Row],[Liabilitas]],NS_SP[Kredit (Rp)])-SUMIF(NS_SP[Nama Akun],Table12[[#This Row],[Liabilitas]],NS_SP[Debit (Rp)])</f>
        <v>800000</v>
      </c>
    </row>
    <row r="33" spans="1:5" x14ac:dyDescent="0.3">
      <c r="A33" t="s">
        <v>181</v>
      </c>
      <c r="B33" s="6">
        <f>SUMIF(NS_SP[Nama Akun],Table10[[#This Row],[Akun]],NS_SP[Debit (Rp)])-SUMIF(NS_SP[Nama Akun],Table10[[#This Row],[Akun]],NS_SP[Kredit (Rp)])</f>
        <v>5900000</v>
      </c>
      <c r="D33" s="23" t="s">
        <v>98</v>
      </c>
      <c r="E33" s="23">
        <f>SUMIF(NS_SP[Nama Akun],Table12[[#This Row],[Liabilitas]],NS_SP[Kredit (Rp)])-SUMIF(NS_SP[Nama Akun],Table12[[#This Row],[Liabilitas]],NS_SP[Debit (Rp)])</f>
        <v>4000000</v>
      </c>
    </row>
    <row r="34" spans="1:5" x14ac:dyDescent="0.3">
      <c r="A34" s="3" t="s">
        <v>517</v>
      </c>
      <c r="B34" s="25">
        <f>SUM(B14:B33)</f>
        <v>53500000</v>
      </c>
      <c r="D34" s="23" t="s">
        <v>100</v>
      </c>
      <c r="E34" s="23">
        <f>SUMIF(NS_SP[Nama Akun],Table12[[#This Row],[Liabilitas]],NS_SP[Kredit (Rp)])-SUMIF(NS_SP[Nama Akun],Table12[[#This Row],[Liabilitas]],NS_SP[Debit (Rp)])</f>
        <v>3300000</v>
      </c>
    </row>
    <row r="35" spans="1:5" x14ac:dyDescent="0.3">
      <c r="B35" s="6"/>
      <c r="D35" s="23" t="s">
        <v>102</v>
      </c>
      <c r="E35" s="23">
        <f>SUMIF(NS_SP[Nama Akun],Table12[[#This Row],[Liabilitas]],NS_SP[Kredit (Rp)])-SUMIF(NS_SP[Nama Akun],Table12[[#This Row],[Liabilitas]],NS_SP[Debit (Rp)])</f>
        <v>394000000</v>
      </c>
    </row>
    <row r="36" spans="1:5" x14ac:dyDescent="0.3">
      <c r="A36" s="4" t="s">
        <v>518</v>
      </c>
      <c r="B36" s="27">
        <f>B12-B34</f>
        <v>15350000</v>
      </c>
      <c r="D36" s="23" t="s">
        <v>104</v>
      </c>
      <c r="E36" s="23">
        <f>SUMIF(NS_SP[Nama Akun],Table12[[#This Row],[Liabilitas]],NS_SP[Kredit (Rp)])-SUMIF(NS_SP[Nama Akun],Table12[[#This Row],[Liabilitas]],NS_SP[Debit (Rp)])</f>
        <v>17000000</v>
      </c>
    </row>
    <row r="37" spans="1:5" x14ac:dyDescent="0.3">
      <c r="D37" s="23" t="s">
        <v>106</v>
      </c>
      <c r="E37" s="23">
        <f>SUMIF(NS_SP[Nama Akun],Table12[[#This Row],[Liabilitas]],NS_SP[Kredit (Rp)])-SUMIF(NS_SP[Nama Akun],Table12[[#This Row],[Liabilitas]],NS_SP[Debit (Rp)])</f>
        <v>350000000</v>
      </c>
    </row>
    <row r="38" spans="1:5" x14ac:dyDescent="0.3">
      <c r="D38" s="23" t="s">
        <v>108</v>
      </c>
      <c r="E38" s="23">
        <f>SUMIF(NS_SP[Nama Akun],Table12[[#This Row],[Liabilitas]],NS_SP[Kredit (Rp)])-SUMIF(NS_SP[Nama Akun],Table12[[#This Row],[Liabilitas]],NS_SP[Debit (Rp)])</f>
        <v>11000000</v>
      </c>
    </row>
    <row r="39" spans="1:5" x14ac:dyDescent="0.3">
      <c r="D39" s="26" t="s">
        <v>519</v>
      </c>
      <c r="E39" s="26">
        <f>SUM(E27:E38)</f>
        <v>845430000</v>
      </c>
    </row>
    <row r="40" spans="1:5" x14ac:dyDescent="0.3">
      <c r="D40" s="23"/>
      <c r="E40" s="23"/>
    </row>
    <row r="41" spans="1:5" x14ac:dyDescent="0.3">
      <c r="D41" s="24" t="s">
        <v>111</v>
      </c>
      <c r="E41" s="24" t="s">
        <v>514</v>
      </c>
    </row>
    <row r="42" spans="1:5" x14ac:dyDescent="0.3">
      <c r="D42" s="23" t="s">
        <v>110</v>
      </c>
      <c r="E42" s="23">
        <f>SUMIF(NS_SP[Nama Akun],Table13[[#This Row],[Ekuitas]],NS_SP[Kredit (Rp)])-SUMIF(NS_SP[Nama Akun],Table13[[#This Row],[Ekuitas]],NS_SP[Debit (Rp)])</f>
        <v>80000000</v>
      </c>
    </row>
    <row r="43" spans="1:5" x14ac:dyDescent="0.3">
      <c r="D43" s="23" t="s">
        <v>114</v>
      </c>
      <c r="E43" s="23">
        <f>SUMIF(NS_SP[Nama Akun],Table13[[#This Row],[Ekuitas]],NS_SP[Kredit (Rp)])-SUMIF(NS_SP[Nama Akun],Table13[[#This Row],[Ekuitas]],NS_SP[Debit (Rp)])</f>
        <v>120000000</v>
      </c>
    </row>
    <row r="44" spans="1:5" x14ac:dyDescent="0.3">
      <c r="D44" s="23" t="s">
        <v>116</v>
      </c>
      <c r="E44" s="23">
        <f>SUMIF(NS_SP[Nama Akun],Table13[[#This Row],[Ekuitas]],NS_SP[Kredit (Rp)])-SUMIF(NS_SP[Nama Akun],Table13[[#This Row],[Ekuitas]],NS_SP[Debit (Rp)])</f>
        <v>25000000</v>
      </c>
    </row>
    <row r="45" spans="1:5" x14ac:dyDescent="0.3">
      <c r="D45" s="23" t="s">
        <v>118</v>
      </c>
      <c r="E45" s="23">
        <f>SUMIF(NS_SP[Nama Akun],Table13[[#This Row],[Ekuitas]],NS_SP[Kredit (Rp)])-SUMIF(NS_SP[Nama Akun],Table13[[#This Row],[Ekuitas]],NS_SP[Debit (Rp)])</f>
        <v>18000000</v>
      </c>
    </row>
    <row r="46" spans="1:5" x14ac:dyDescent="0.3">
      <c r="D46" s="23" t="s">
        <v>123</v>
      </c>
      <c r="E46" s="23">
        <f>SUMIF(NS_SP[Nama Akun],Table13[[#This Row],[Ekuitas]],NS_SP[Kredit (Rp)])-SUMIF(NS_SP[Nama Akun],Table13[[#This Row],[Ekuitas]],NS_SP[Debit (Rp)])</f>
        <v>-18000000</v>
      </c>
    </row>
    <row r="47" spans="1:5" x14ac:dyDescent="0.3">
      <c r="D47" s="23" t="s">
        <v>520</v>
      </c>
      <c r="E47" s="23">
        <f>B36</f>
        <v>15350000</v>
      </c>
    </row>
    <row r="48" spans="1:5" x14ac:dyDescent="0.3">
      <c r="D48" s="23" t="s">
        <v>120</v>
      </c>
      <c r="E48" s="23">
        <f>SUMIF(NS_SP[Nama Akun],Table13[[#This Row],[Ekuitas]],NS_SP[Kredit (Rp)])-SUMIF(NS_SP[Nama Akun],Table13[[#This Row],[Ekuitas]],NS_SP[Debit (Rp)])</f>
        <v>-3000000</v>
      </c>
    </row>
    <row r="49" spans="4:5" x14ac:dyDescent="0.3">
      <c r="D49" s="26" t="s">
        <v>521</v>
      </c>
      <c r="E49" s="26">
        <f>SUM(E42:E48)</f>
        <v>237350000</v>
      </c>
    </row>
    <row r="50" spans="4:5" x14ac:dyDescent="0.3">
      <c r="D50" s="26" t="s">
        <v>522</v>
      </c>
      <c r="E50" s="26">
        <f>E39+E49</f>
        <v>1082780000</v>
      </c>
    </row>
    <row r="51" spans="4:5" x14ac:dyDescent="0.3">
      <c r="D51" s="28" t="s">
        <v>523</v>
      </c>
      <c r="E51" s="28" t="str">
        <f>IF(ROUND(E24,0)=ROUND(E50,0),"BALANCE","SELISIH "&amp;TEXT(E24-E50,"#,##0"))</f>
        <v>BALANCE</v>
      </c>
    </row>
  </sheetData>
  <mergeCells count="3">
    <mergeCell ref="D3:E3"/>
    <mergeCell ref="A3:B3"/>
    <mergeCell ref="A1:E2"/>
  </mergeCells>
  <dataValidations count="5">
    <dataValidation allowBlank="1" showInputMessage="1" showErrorMessage="1" prompt="ambil dari NS setelah penyesuaian, debit - kredit" sqref="B13" xr:uid="{093188BD-9B74-403B-88CE-F50B5594D782}"/>
    <dataValidation allowBlank="1" showInputMessage="1" showErrorMessage="1" prompt="ambil dari NS setelah penyesuaian; debit - kredit" sqref="E4" xr:uid="{87B97FE8-5446-4E54-945F-F19DA7227126}"/>
    <dataValidation allowBlank="1" showInputMessage="1" showErrorMessage="1" prompt="ambil dari NS setelah penyesuaian; kredit-debit" sqref="E26 E41" xr:uid="{9F242FBF-5E3E-4752-B0B2-B38BD9CF9637}"/>
    <dataValidation allowBlank="1" showInputMessage="1" showErrorMessage="1" prompt="laba bersih = pendapatan - beban" sqref="E47" xr:uid="{8447E36C-A968-4D0C-B1CB-9FFAD2351B4D}"/>
    <dataValidation allowBlank="1" showInputMessage="1" showErrorMessage="1" prompt="ambil dari KREDIT NS setelah penyesuaian" sqref="B4" xr:uid="{3216BCB1-7FCA-406B-A187-58530F2A3BAC}"/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embar11">
    <tabColor theme="4" tint="0.39997558519241921"/>
  </sheetPr>
  <dimension ref="A1:I36"/>
  <sheetViews>
    <sheetView topLeftCell="A16" workbookViewId="0">
      <selection activeCell="H32" sqref="H32"/>
    </sheetView>
  </sheetViews>
  <sheetFormatPr defaultRowHeight="14.4" x14ac:dyDescent="0.3"/>
  <cols>
    <col min="1" max="1" width="6.33203125" bestFit="1" customWidth="1"/>
    <col min="2" max="2" width="11.21875" bestFit="1" customWidth="1"/>
    <col min="3" max="3" width="24.44140625" bestFit="1" customWidth="1"/>
    <col min="4" max="4" width="11.33203125" customWidth="1"/>
    <col min="5" max="5" width="11.88671875" customWidth="1"/>
    <col min="6" max="6" width="33.77734375" bestFit="1" customWidth="1"/>
  </cols>
  <sheetData>
    <row r="1" spans="1:9" ht="24" customHeight="1" x14ac:dyDescent="0.3">
      <c r="A1" s="83" t="s">
        <v>570</v>
      </c>
      <c r="B1" s="81"/>
      <c r="C1" s="81"/>
      <c r="D1" s="81"/>
      <c r="E1" s="81"/>
      <c r="F1" s="81"/>
    </row>
    <row r="2" spans="1:9" x14ac:dyDescent="0.3">
      <c r="A2" t="s">
        <v>524</v>
      </c>
    </row>
    <row r="3" spans="1:9" x14ac:dyDescent="0.3">
      <c r="A3" s="1" t="s">
        <v>185</v>
      </c>
      <c r="B3" s="1" t="s">
        <v>186</v>
      </c>
      <c r="C3" s="1" t="s">
        <v>192</v>
      </c>
      <c r="D3" s="1" t="s">
        <v>193</v>
      </c>
      <c r="E3" s="1" t="s">
        <v>194</v>
      </c>
      <c r="F3" s="1" t="s">
        <v>2</v>
      </c>
    </row>
    <row r="4" spans="1:9" x14ac:dyDescent="0.3">
      <c r="A4">
        <v>1</v>
      </c>
      <c r="B4" s="5">
        <v>46660</v>
      </c>
      <c r="C4" t="s">
        <v>125</v>
      </c>
      <c r="D4" s="23">
        <f>SUMIF(NS_SP[Nama Akun],jurnal_penutup[[#This Row],[Akun]],NS_SP[Kredit (Rp)])-SUMIF(NS_SP[Nama Akun],jurnal_penutup[[#This Row],[Akun]],NS_SP[Debit (Rp)])</f>
        <v>19000000</v>
      </c>
      <c r="E4" s="23"/>
      <c r="F4" s="23" t="s">
        <v>525</v>
      </c>
    </row>
    <row r="5" spans="1:9" x14ac:dyDescent="0.3">
      <c r="A5">
        <v>1</v>
      </c>
      <c r="B5" s="5">
        <v>46660</v>
      </c>
      <c r="C5" t="s">
        <v>129</v>
      </c>
      <c r="D5" s="23">
        <f>SUMIF(NS_SP[Nama Akun],jurnal_penutup[[#This Row],[Akun]],NS_SP[Kredit (Rp)])-SUMIF(NS_SP[Nama Akun],jurnal_penutup[[#This Row],[Akun]],NS_SP[Debit (Rp)])</f>
        <v>28000000</v>
      </c>
      <c r="E5" s="23"/>
      <c r="F5" s="23" t="s">
        <v>525</v>
      </c>
    </row>
    <row r="6" spans="1:9" x14ac:dyDescent="0.3">
      <c r="A6">
        <v>1</v>
      </c>
      <c r="B6" s="5">
        <v>46660</v>
      </c>
      <c r="C6" t="s">
        <v>131</v>
      </c>
      <c r="D6" s="23">
        <f>SUMIF(NS_SP[Nama Akun],jurnal_penutup[[#This Row],[Akun]],NS_SP[Kredit (Rp)])-SUMIF(NS_SP[Nama Akun],jurnal_penutup[[#This Row],[Akun]],NS_SP[Debit (Rp)])</f>
        <v>3400000</v>
      </c>
      <c r="E6" s="23"/>
      <c r="F6" s="23" t="s">
        <v>525</v>
      </c>
    </row>
    <row r="7" spans="1:9" x14ac:dyDescent="0.3">
      <c r="A7">
        <v>1</v>
      </c>
      <c r="B7" s="5">
        <v>46660</v>
      </c>
      <c r="C7" t="s">
        <v>133</v>
      </c>
      <c r="D7" s="23">
        <f>SUMIF(NS_SP[Nama Akun],jurnal_penutup[[#This Row],[Akun]],NS_SP[Kredit (Rp)])-SUMIF(NS_SP[Nama Akun],jurnal_penutup[[#This Row],[Akun]],NS_SP[Debit (Rp)])</f>
        <v>1200000</v>
      </c>
      <c r="E7" s="23"/>
      <c r="F7" s="23" t="s">
        <v>525</v>
      </c>
    </row>
    <row r="8" spans="1:9" x14ac:dyDescent="0.3">
      <c r="A8">
        <v>1</v>
      </c>
      <c r="B8" s="5">
        <v>46660</v>
      </c>
      <c r="C8" t="s">
        <v>135</v>
      </c>
      <c r="D8" s="23">
        <f>SUMIF(NS_SP[Nama Akun],jurnal_penutup[[#This Row],[Akun]],NS_SP[Kredit (Rp)])-SUMIF(NS_SP[Nama Akun],jurnal_penutup[[#This Row],[Akun]],NS_SP[Debit (Rp)])</f>
        <v>9000000</v>
      </c>
      <c r="E8" s="23"/>
      <c r="F8" s="23" t="s">
        <v>525</v>
      </c>
      <c r="I8" s="49"/>
    </row>
    <row r="9" spans="1:9" x14ac:dyDescent="0.3">
      <c r="A9">
        <v>1</v>
      </c>
      <c r="B9" s="5">
        <v>46660</v>
      </c>
      <c r="C9" t="s">
        <v>137</v>
      </c>
      <c r="D9" s="23">
        <f>SUMIF(NS_SP[Nama Akun],jurnal_penutup[[#This Row],[Akun]],NS_SP[Kredit (Rp)])-SUMIF(NS_SP[Nama Akun],jurnal_penutup[[#This Row],[Akun]],NS_SP[Debit (Rp)])</f>
        <v>5500000</v>
      </c>
      <c r="E9" s="23"/>
      <c r="F9" s="23" t="s">
        <v>525</v>
      </c>
      <c r="I9" s="49"/>
    </row>
    <row r="10" spans="1:9" x14ac:dyDescent="0.3">
      <c r="A10">
        <v>1</v>
      </c>
      <c r="B10" s="5">
        <v>46660</v>
      </c>
      <c r="C10" t="s">
        <v>139</v>
      </c>
      <c r="D10" s="23">
        <f>SUMIF(NS_SP[Nama Akun],jurnal_penutup[[#This Row],[Akun]],NS_SP[Kredit (Rp)])-SUMIF(NS_SP[Nama Akun],jurnal_penutup[[#This Row],[Akun]],NS_SP[Debit (Rp)])</f>
        <v>2750000</v>
      </c>
      <c r="E10" s="23"/>
      <c r="F10" s="23" t="s">
        <v>525</v>
      </c>
    </row>
    <row r="11" spans="1:9" x14ac:dyDescent="0.3">
      <c r="A11">
        <v>1</v>
      </c>
      <c r="B11" s="5">
        <v>46660</v>
      </c>
      <c r="C11" t="s">
        <v>123</v>
      </c>
      <c r="D11" s="23"/>
      <c r="E11" s="23">
        <f>SUM(D4:D10)</f>
        <v>68850000</v>
      </c>
      <c r="F11" s="23" t="s">
        <v>526</v>
      </c>
    </row>
    <row r="12" spans="1:9" x14ac:dyDescent="0.3">
      <c r="A12">
        <v>2</v>
      </c>
      <c r="B12" s="5">
        <v>46660</v>
      </c>
      <c r="C12" t="s">
        <v>123</v>
      </c>
      <c r="D12" s="23">
        <f>SUM(E13:E32)</f>
        <v>53500000</v>
      </c>
      <c r="E12" s="23"/>
      <c r="F12" s="23" t="s">
        <v>527</v>
      </c>
    </row>
    <row r="13" spans="1:9" x14ac:dyDescent="0.3">
      <c r="A13">
        <v>2</v>
      </c>
      <c r="B13" s="5">
        <v>46660</v>
      </c>
      <c r="C13" t="s">
        <v>141</v>
      </c>
      <c r="D13" s="23"/>
      <c r="E13" s="23">
        <f>SUMIF(NS_SP[Nama Akun],jurnal_penutup[[#This Row],[Akun]],NS_SP[Debit (Rp)])-SUMIF(NS_SP[Nama Akun],jurnal_penutup[[#This Row],[Akun]],NS_SP[Kredit (Rp)])</f>
        <v>14000000</v>
      </c>
      <c r="F13" s="23" t="s">
        <v>528</v>
      </c>
    </row>
    <row r="14" spans="1:9" x14ac:dyDescent="0.3">
      <c r="A14">
        <v>2</v>
      </c>
      <c r="B14" s="5">
        <v>46660</v>
      </c>
      <c r="C14" t="s">
        <v>145</v>
      </c>
      <c r="D14" s="23"/>
      <c r="E14" s="23">
        <f>SUMIF(NS_SP[Nama Akun],jurnal_penutup[[#This Row],[Akun]],NS_SP[Debit (Rp)])-SUMIF(NS_SP[Nama Akun],jurnal_penutup[[#This Row],[Akun]],NS_SP[Kredit (Rp)])</f>
        <v>4200000</v>
      </c>
      <c r="F14" s="23" t="s">
        <v>528</v>
      </c>
    </row>
    <row r="15" spans="1:9" x14ac:dyDescent="0.3">
      <c r="A15">
        <v>2</v>
      </c>
      <c r="B15" s="5">
        <v>46660</v>
      </c>
      <c r="C15" t="s">
        <v>147</v>
      </c>
      <c r="D15" s="23"/>
      <c r="E15" s="23">
        <f>SUMIF(NS_SP[Nama Akun],jurnal_penutup[[#This Row],[Akun]],NS_SP[Debit (Rp)])-SUMIF(NS_SP[Nama Akun],jurnal_penutup[[#This Row],[Akun]],NS_SP[Kredit (Rp)])</f>
        <v>8000000</v>
      </c>
      <c r="F15" s="23" t="s">
        <v>528</v>
      </c>
    </row>
    <row r="16" spans="1:9" x14ac:dyDescent="0.3">
      <c r="A16">
        <v>2</v>
      </c>
      <c r="B16" s="5">
        <v>46660</v>
      </c>
      <c r="C16" t="s">
        <v>149</v>
      </c>
      <c r="D16" s="23"/>
      <c r="E16" s="23">
        <f>SUMIF(NS_SP[Nama Akun],jurnal_penutup[[#This Row],[Akun]],NS_SP[Debit (Rp)])-SUMIF(NS_SP[Nama Akun],jurnal_penutup[[#This Row],[Akun]],NS_SP[Kredit (Rp)])</f>
        <v>1750000</v>
      </c>
      <c r="F16" s="23" t="s">
        <v>528</v>
      </c>
    </row>
    <row r="17" spans="1:6" x14ac:dyDescent="0.3">
      <c r="A17">
        <v>2</v>
      </c>
      <c r="B17" s="5">
        <v>46660</v>
      </c>
      <c r="C17" t="s">
        <v>151</v>
      </c>
      <c r="D17" s="23"/>
      <c r="E17" s="23">
        <f>SUMIF(NS_SP[Nama Akun],jurnal_penutup[[#This Row],[Akun]],NS_SP[Debit (Rp)])-SUMIF(NS_SP[Nama Akun],jurnal_penutup[[#This Row],[Akun]],NS_SP[Kredit (Rp)])</f>
        <v>450000</v>
      </c>
      <c r="F17" s="23" t="s">
        <v>528</v>
      </c>
    </row>
    <row r="18" spans="1:6" x14ac:dyDescent="0.3">
      <c r="A18">
        <v>2</v>
      </c>
      <c r="B18" s="5">
        <v>46660</v>
      </c>
      <c r="C18" t="s">
        <v>153</v>
      </c>
      <c r="D18" s="23"/>
      <c r="E18" s="23">
        <f>SUMIF(NS_SP[Nama Akun],jurnal_penutup[[#This Row],[Akun]],NS_SP[Debit (Rp)])-SUMIF(NS_SP[Nama Akun],jurnal_penutup[[#This Row],[Akun]],NS_SP[Kredit (Rp)])</f>
        <v>650000</v>
      </c>
      <c r="F18" s="23" t="s">
        <v>528</v>
      </c>
    </row>
    <row r="19" spans="1:6" x14ac:dyDescent="0.3">
      <c r="A19">
        <v>2</v>
      </c>
      <c r="B19" s="5">
        <v>46660</v>
      </c>
      <c r="C19" t="s">
        <v>155</v>
      </c>
      <c r="D19" s="23"/>
      <c r="E19" s="23">
        <f>SUMIF(NS_SP[Nama Akun],jurnal_penutup[[#This Row],[Akun]],NS_SP[Debit (Rp)])-SUMIF(NS_SP[Nama Akun],jurnal_penutup[[#This Row],[Akun]],NS_SP[Kredit (Rp)])</f>
        <v>900000</v>
      </c>
      <c r="F19" s="23" t="s">
        <v>528</v>
      </c>
    </row>
    <row r="20" spans="1:6" x14ac:dyDescent="0.3">
      <c r="A20">
        <v>2</v>
      </c>
      <c r="B20" s="5">
        <v>46660</v>
      </c>
      <c r="C20" t="s">
        <v>157</v>
      </c>
      <c r="D20" s="23"/>
      <c r="E20" s="23">
        <f>SUMIF(NS_SP[Nama Akun],jurnal_penutup[[#This Row],[Akun]],NS_SP[Debit (Rp)])-SUMIF(NS_SP[Nama Akun],jurnal_penutup[[#This Row],[Akun]],NS_SP[Kredit (Rp)])</f>
        <v>2000000</v>
      </c>
      <c r="F20" s="23" t="s">
        <v>528</v>
      </c>
    </row>
    <row r="21" spans="1:6" x14ac:dyDescent="0.3">
      <c r="A21">
        <v>2</v>
      </c>
      <c r="B21" s="5">
        <v>46660</v>
      </c>
      <c r="C21" t="s">
        <v>159</v>
      </c>
      <c r="D21" s="23"/>
      <c r="E21" s="23">
        <f>SUMIF(NS_SP[Nama Akun],jurnal_penutup[[#This Row],[Akun]],NS_SP[Debit (Rp)])-SUMIF(NS_SP[Nama Akun],jurnal_penutup[[#This Row],[Akun]],NS_SP[Kredit (Rp)])</f>
        <v>1800000</v>
      </c>
      <c r="F21" s="23" t="s">
        <v>528</v>
      </c>
    </row>
    <row r="22" spans="1:6" x14ac:dyDescent="0.3">
      <c r="A22">
        <v>2</v>
      </c>
      <c r="B22" s="5">
        <v>46660</v>
      </c>
      <c r="C22" t="s">
        <v>161</v>
      </c>
      <c r="D22" s="23"/>
      <c r="E22" s="23">
        <f>SUMIF(NS_SP[Nama Akun],jurnal_penutup[[#This Row],[Akun]],NS_SP[Debit (Rp)])-SUMIF(NS_SP[Nama Akun],jurnal_penutup[[#This Row],[Akun]],NS_SP[Kredit (Rp)])</f>
        <v>1150000</v>
      </c>
      <c r="F22" s="23" t="s">
        <v>528</v>
      </c>
    </row>
    <row r="23" spans="1:6" x14ac:dyDescent="0.3">
      <c r="A23">
        <v>2</v>
      </c>
      <c r="B23" s="5">
        <v>46660</v>
      </c>
      <c r="C23" t="s">
        <v>163</v>
      </c>
      <c r="D23" s="23"/>
      <c r="E23" s="23">
        <f>SUMIF(NS_SP[Nama Akun],jurnal_penutup[[#This Row],[Akun]],NS_SP[Debit (Rp)])-SUMIF(NS_SP[Nama Akun],jurnal_penutup[[#This Row],[Akun]],NS_SP[Kredit (Rp)])</f>
        <v>1000000</v>
      </c>
      <c r="F23" s="23" t="s">
        <v>528</v>
      </c>
    </row>
    <row r="24" spans="1:6" x14ac:dyDescent="0.3">
      <c r="A24">
        <v>2</v>
      </c>
      <c r="B24" s="5">
        <v>46660</v>
      </c>
      <c r="C24" t="s">
        <v>165</v>
      </c>
      <c r="D24" s="23"/>
      <c r="E24" s="23">
        <f>SUMIF(NS_SP[Nama Akun],jurnal_penutup[[#This Row],[Akun]],NS_SP[Debit (Rp)])-SUMIF(NS_SP[Nama Akun],jurnal_penutup[[#This Row],[Akun]],NS_SP[Kredit (Rp)])</f>
        <v>1500000</v>
      </c>
      <c r="F24" s="23" t="s">
        <v>528</v>
      </c>
    </row>
    <row r="25" spans="1:6" x14ac:dyDescent="0.3">
      <c r="A25">
        <v>2</v>
      </c>
      <c r="B25" s="5">
        <v>46660</v>
      </c>
      <c r="C25" t="s">
        <v>167</v>
      </c>
      <c r="D25" s="23"/>
      <c r="E25" s="23">
        <f>SUMIF(NS_SP[Nama Akun],jurnal_penutup[[#This Row],[Akun]],NS_SP[Debit (Rp)])-SUMIF(NS_SP[Nama Akun],jurnal_penutup[[#This Row],[Akun]],NS_SP[Kredit (Rp)])</f>
        <v>300000</v>
      </c>
      <c r="F25" s="23" t="s">
        <v>528</v>
      </c>
    </row>
    <row r="26" spans="1:6" x14ac:dyDescent="0.3">
      <c r="A26">
        <v>2</v>
      </c>
      <c r="B26" s="5">
        <v>46660</v>
      </c>
      <c r="C26" t="s">
        <v>169</v>
      </c>
      <c r="D26" s="23"/>
      <c r="E26" s="23">
        <f>SUMIF(NS_SP[Nama Akun],jurnal_penutup[[#This Row],[Akun]],NS_SP[Debit (Rp)])-SUMIF(NS_SP[Nama Akun],jurnal_penutup[[#This Row],[Akun]],NS_SP[Kredit (Rp)])</f>
        <v>550000</v>
      </c>
      <c r="F26" s="23" t="s">
        <v>528</v>
      </c>
    </row>
    <row r="27" spans="1:6" x14ac:dyDescent="0.3">
      <c r="A27">
        <v>2</v>
      </c>
      <c r="B27" s="5">
        <v>46660</v>
      </c>
      <c r="C27" t="s">
        <v>171</v>
      </c>
      <c r="D27" s="23"/>
      <c r="E27" s="23">
        <f>SUMIF(NS_SP[Nama Akun],jurnal_penutup[[#This Row],[Akun]],NS_SP[Debit (Rp)])-SUMIF(NS_SP[Nama Akun],jurnal_penutup[[#This Row],[Akun]],NS_SP[Kredit (Rp)])</f>
        <v>2300000</v>
      </c>
      <c r="F27" s="23" t="s">
        <v>528</v>
      </c>
    </row>
    <row r="28" spans="1:6" x14ac:dyDescent="0.3">
      <c r="A28">
        <v>2</v>
      </c>
      <c r="B28" s="5">
        <v>46660</v>
      </c>
      <c r="C28" t="s">
        <v>173</v>
      </c>
      <c r="D28" s="23"/>
      <c r="E28" s="23">
        <f>SUMIF(NS_SP[Nama Akun],jurnal_penutup[[#This Row],[Akun]],NS_SP[Debit (Rp)])-SUMIF(NS_SP[Nama Akun],jurnal_penutup[[#This Row],[Akun]],NS_SP[Kredit (Rp)])</f>
        <v>3300000</v>
      </c>
      <c r="F28" s="23" t="s">
        <v>528</v>
      </c>
    </row>
    <row r="29" spans="1:6" x14ac:dyDescent="0.3">
      <c r="A29">
        <v>2</v>
      </c>
      <c r="B29" s="5">
        <v>46660</v>
      </c>
      <c r="C29" t="s">
        <v>175</v>
      </c>
      <c r="D29" s="23"/>
      <c r="E29" s="23">
        <f>SUMIF(NS_SP[Nama Akun],jurnal_penutup[[#This Row],[Akun]],NS_SP[Debit (Rp)])-SUMIF(NS_SP[Nama Akun],jurnal_penutup[[#This Row],[Akun]],NS_SP[Kredit (Rp)])</f>
        <v>2000000</v>
      </c>
      <c r="F29" s="23" t="s">
        <v>528</v>
      </c>
    </row>
    <row r="30" spans="1:6" x14ac:dyDescent="0.3">
      <c r="A30">
        <v>2</v>
      </c>
      <c r="B30" s="5">
        <v>46660</v>
      </c>
      <c r="C30" t="s">
        <v>177</v>
      </c>
      <c r="D30" s="23"/>
      <c r="E30" s="23">
        <f>SUMIF(NS_SP[Nama Akun],jurnal_penutup[[#This Row],[Akun]],NS_SP[Debit (Rp)])-SUMIF(NS_SP[Nama Akun],jurnal_penutup[[#This Row],[Akun]],NS_SP[Kredit (Rp)])</f>
        <v>1000000</v>
      </c>
      <c r="F30" s="23" t="s">
        <v>528</v>
      </c>
    </row>
    <row r="31" spans="1:6" x14ac:dyDescent="0.3">
      <c r="A31">
        <v>2</v>
      </c>
      <c r="B31" s="5">
        <v>46660</v>
      </c>
      <c r="C31" t="s">
        <v>179</v>
      </c>
      <c r="D31" s="23"/>
      <c r="E31" s="23">
        <f>SUMIF(NS_SP[Nama Akun],jurnal_penutup[[#This Row],[Akun]],NS_SP[Debit (Rp)])-SUMIF(NS_SP[Nama Akun],jurnal_penutup[[#This Row],[Akun]],NS_SP[Kredit (Rp)])</f>
        <v>750000</v>
      </c>
      <c r="F31" s="23" t="s">
        <v>528</v>
      </c>
    </row>
    <row r="32" spans="1:6" x14ac:dyDescent="0.3">
      <c r="A32">
        <v>2</v>
      </c>
      <c r="B32" s="5">
        <v>46660</v>
      </c>
      <c r="C32" t="s">
        <v>181</v>
      </c>
      <c r="D32" s="23"/>
      <c r="E32" s="23">
        <f>SUMIF(NS_SP[Nama Akun],jurnal_penutup[[#This Row],[Akun]],NS_SP[Debit (Rp)])-SUMIF(NS_SP[Nama Akun],jurnal_penutup[[#This Row],[Akun]],NS_SP[Kredit (Rp)])</f>
        <v>5900000</v>
      </c>
      <c r="F32" s="23" t="s">
        <v>528</v>
      </c>
    </row>
    <row r="33" spans="1:6" x14ac:dyDescent="0.3">
      <c r="A33">
        <v>3</v>
      </c>
      <c r="B33" s="5">
        <v>46660</v>
      </c>
      <c r="C33" t="s">
        <v>110</v>
      </c>
      <c r="D33" s="23">
        <f>SUMIF(NS_SP[Nama Akun],"prive",NS_SP[Debit (Rp)])-SUMIF(NS_SP[Nama Akun],"prive",NS_SP[Kredit (Rp)])</f>
        <v>3000000</v>
      </c>
      <c r="E33" s="23"/>
      <c r="F33" s="23" t="s">
        <v>529</v>
      </c>
    </row>
    <row r="34" spans="1:6" x14ac:dyDescent="0.3">
      <c r="A34">
        <v>3</v>
      </c>
      <c r="B34" s="5">
        <v>46660</v>
      </c>
      <c r="C34" t="s">
        <v>120</v>
      </c>
      <c r="D34" s="23"/>
      <c r="E34" s="23">
        <f>SUMIF(NS_SP[Nama Akun],"prive",NS_SP[Debit (Rp)])-SUMIF(NS_SP[Nama Akun],"prive",NS_SP[Kredit (Rp)])</f>
        <v>3000000</v>
      </c>
      <c r="F34" s="23" t="s">
        <v>530</v>
      </c>
    </row>
    <row r="35" spans="1:6" x14ac:dyDescent="0.3">
      <c r="D35" s="23"/>
      <c r="E35" s="23"/>
      <c r="F35" s="23"/>
    </row>
    <row r="36" spans="1:6" x14ac:dyDescent="0.3">
      <c r="A36" s="76" t="s">
        <v>447</v>
      </c>
      <c r="B36" s="76"/>
      <c r="C36" s="76"/>
      <c r="D36" s="77">
        <f>SUM(D4:D34)</f>
        <v>125350000</v>
      </c>
      <c r="E36" s="77">
        <f>SUM(E4:E34)</f>
        <v>125350000</v>
      </c>
      <c r="F36" s="77" t="str">
        <f>IF(D36=E36,"BALANCE","SELISIH")</f>
        <v>BALANCE</v>
      </c>
    </row>
  </sheetData>
  <mergeCells count="1">
    <mergeCell ref="A1:F1"/>
  </mergeCells>
  <dataValidations count="2">
    <dataValidation allowBlank="1" showInputMessage="1" showErrorMessage="1" prompt="ambil dari NS setelah penyesuaian, kredit - debit_x000a_" sqref="D3" xr:uid="{7FF2DAE6-C294-4038-8F1F-8CFBAECD1614}"/>
    <dataValidation allowBlank="1" showInputMessage="1" showErrorMessage="1" prompt="ambil dari NS setelah penyesuaian, debit - kredit" sqref="E3" xr:uid="{91F11AF7-AD07-4EBC-8485-A5B933836D6F}"/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embar12">
    <tabColor theme="4" tint="0.39997558519241921"/>
  </sheetPr>
  <dimension ref="A1:F70"/>
  <sheetViews>
    <sheetView workbookViewId="0">
      <selection activeCell="F5" sqref="F5"/>
    </sheetView>
  </sheetViews>
  <sheetFormatPr defaultRowHeight="14.4" x14ac:dyDescent="0.3"/>
  <cols>
    <col min="1" max="1" width="12.109375" customWidth="1"/>
    <col min="2" max="2" width="28.5546875" bestFit="1" customWidth="1"/>
    <col min="3" max="3" width="18.5546875" bestFit="1" customWidth="1"/>
    <col min="4" max="4" width="14.21875" customWidth="1"/>
    <col min="5" max="6" width="12.6640625" bestFit="1" customWidth="1"/>
  </cols>
  <sheetData>
    <row r="1" spans="1:6" ht="24" customHeight="1" x14ac:dyDescent="0.3">
      <c r="A1" s="80" t="s">
        <v>531</v>
      </c>
      <c r="B1" s="81"/>
      <c r="C1" s="81"/>
      <c r="D1" s="81"/>
      <c r="E1" s="81"/>
      <c r="F1" s="81"/>
    </row>
    <row r="2" spans="1:6" x14ac:dyDescent="0.3">
      <c r="E2" s="85"/>
      <c r="F2" s="85"/>
    </row>
    <row r="3" spans="1:6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193</v>
      </c>
      <c r="F3" s="1" t="s">
        <v>194</v>
      </c>
    </row>
    <row r="4" spans="1:6" x14ac:dyDescent="0.3">
      <c r="A4" t="s">
        <v>39</v>
      </c>
      <c r="B4" t="s">
        <v>40</v>
      </c>
      <c r="C4" t="s">
        <v>41</v>
      </c>
      <c r="D4" s="23" t="s">
        <v>42</v>
      </c>
      <c r="E4" s="23">
        <f>SUMIF(buku_besar[Nama Akun],Table15[[#This Row],[Nama Akun]],buku_besar[Saldo Debit Akhir])</f>
        <v>35150000</v>
      </c>
      <c r="F4" s="23">
        <f>SUMIF(buku_besar[Nama Akun],Table15[[#This Row],[Nama Akun]],buku_besar[Saldo Kredit Akhir])</f>
        <v>0</v>
      </c>
    </row>
    <row r="5" spans="1:6" x14ac:dyDescent="0.3">
      <c r="A5" t="s">
        <v>45</v>
      </c>
      <c r="B5" t="s">
        <v>46</v>
      </c>
      <c r="C5" t="s">
        <v>41</v>
      </c>
      <c r="D5" s="23" t="s">
        <v>42</v>
      </c>
      <c r="E5" s="23">
        <f>SUMIF(buku_besar[Nama Akun],Table15[[#This Row],[Nama Akun]],buku_besar[Saldo Debit Akhir])</f>
        <v>175850000</v>
      </c>
      <c r="F5" s="23">
        <f>SUMIF(buku_besar[Nama Akun],Table15[[#This Row],[Nama Akun]],buku_besar[Saldo Kredit Akhir])</f>
        <v>0</v>
      </c>
    </row>
    <row r="6" spans="1:6" x14ac:dyDescent="0.3">
      <c r="A6" t="s">
        <v>47</v>
      </c>
      <c r="B6" t="s">
        <v>48</v>
      </c>
      <c r="C6" t="s">
        <v>41</v>
      </c>
      <c r="D6" s="23" t="s">
        <v>42</v>
      </c>
      <c r="E6" s="23">
        <f>SUMIF(buku_besar[Nama Akun],Table15[[#This Row],[Nama Akun]],buku_besar[Saldo Debit Akhir])</f>
        <v>23080000</v>
      </c>
      <c r="F6" s="23">
        <f>SUMIF(buku_besar[Nama Akun],Table15[[#This Row],[Nama Akun]],buku_besar[Saldo Kredit Akhir])</f>
        <v>0</v>
      </c>
    </row>
    <row r="7" spans="1:6" x14ac:dyDescent="0.3">
      <c r="A7" t="s">
        <v>49</v>
      </c>
      <c r="B7" t="s">
        <v>50</v>
      </c>
      <c r="C7" t="s">
        <v>41</v>
      </c>
      <c r="D7" s="23" t="s">
        <v>42</v>
      </c>
      <c r="E7" s="23">
        <f>SUMIF(buku_besar[Nama Akun],Table15[[#This Row],[Nama Akun]],buku_besar[Saldo Debit Akhir])</f>
        <v>2500000</v>
      </c>
      <c r="F7" s="23">
        <f>SUMIF(buku_besar[Nama Akun],Table15[[#This Row],[Nama Akun]],buku_besar[Saldo Kredit Akhir])</f>
        <v>0</v>
      </c>
    </row>
    <row r="8" spans="1:6" x14ac:dyDescent="0.3">
      <c r="A8" t="s">
        <v>51</v>
      </c>
      <c r="B8" t="s">
        <v>52</v>
      </c>
      <c r="C8" t="s">
        <v>41</v>
      </c>
      <c r="D8" s="23" t="s">
        <v>42</v>
      </c>
      <c r="E8" s="23">
        <f>SUMIF(buku_besar[Nama Akun],Table15[[#This Row],[Nama Akun]],buku_besar[Saldo Debit Akhir])</f>
        <v>2400000</v>
      </c>
      <c r="F8" s="23">
        <f>SUMIF(buku_besar[Nama Akun],Table15[[#This Row],[Nama Akun]],buku_besar[Saldo Kredit Akhir])</f>
        <v>0</v>
      </c>
    </row>
    <row r="9" spans="1:6" x14ac:dyDescent="0.3">
      <c r="A9" t="s">
        <v>53</v>
      </c>
      <c r="B9" t="s">
        <v>54</v>
      </c>
      <c r="C9" t="s">
        <v>41</v>
      </c>
      <c r="D9" s="23" t="s">
        <v>42</v>
      </c>
      <c r="E9" s="23">
        <f>SUMIF(buku_besar[Nama Akun],Table15[[#This Row],[Nama Akun]],buku_besar[Saldo Debit Akhir])</f>
        <v>35000000</v>
      </c>
      <c r="F9" s="23">
        <f>SUMIF(buku_besar[Nama Akun],Table15[[#This Row],[Nama Akun]],buku_besar[Saldo Kredit Akhir])</f>
        <v>0</v>
      </c>
    </row>
    <row r="10" spans="1:6" x14ac:dyDescent="0.3">
      <c r="A10" t="s">
        <v>55</v>
      </c>
      <c r="B10" t="s">
        <v>56</v>
      </c>
      <c r="C10" t="s">
        <v>41</v>
      </c>
      <c r="D10" s="23" t="s">
        <v>42</v>
      </c>
      <c r="E10" s="23">
        <f>SUMIF(buku_besar[Nama Akun],Table15[[#This Row],[Nama Akun]],buku_besar[Saldo Debit Akhir])</f>
        <v>2500000</v>
      </c>
      <c r="F10" s="23">
        <f>SUMIF(buku_besar[Nama Akun],Table15[[#This Row],[Nama Akun]],buku_besar[Saldo Kredit Akhir])</f>
        <v>0</v>
      </c>
    </row>
    <row r="11" spans="1:6" x14ac:dyDescent="0.3">
      <c r="A11" t="s">
        <v>57</v>
      </c>
      <c r="B11" t="s">
        <v>58</v>
      </c>
      <c r="C11" t="s">
        <v>41</v>
      </c>
      <c r="D11" s="23" t="s">
        <v>42</v>
      </c>
      <c r="E11" s="23">
        <f>SUMIF(buku_besar[Nama Akun],Table15[[#This Row],[Nama Akun]],buku_besar[Saldo Debit Akhir])</f>
        <v>8000000</v>
      </c>
      <c r="F11" s="23">
        <f>SUMIF(buku_besar[Nama Akun],Table15[[#This Row],[Nama Akun]],buku_besar[Saldo Kredit Akhir])</f>
        <v>0</v>
      </c>
    </row>
    <row r="12" spans="1:6" x14ac:dyDescent="0.3">
      <c r="A12" t="s">
        <v>59</v>
      </c>
      <c r="B12" t="s">
        <v>60</v>
      </c>
      <c r="C12" t="s">
        <v>41</v>
      </c>
      <c r="D12" s="23" t="s">
        <v>42</v>
      </c>
      <c r="E12" s="23">
        <f>SUMIF(buku_besar[Nama Akun],Table15[[#This Row],[Nama Akun]],buku_besar[Saldo Debit Akhir])</f>
        <v>5000000</v>
      </c>
      <c r="F12" s="23">
        <f>SUMIF(buku_besar[Nama Akun],Table15[[#This Row],[Nama Akun]],buku_besar[Saldo Kredit Akhir])</f>
        <v>0</v>
      </c>
    </row>
    <row r="13" spans="1:6" x14ac:dyDescent="0.3">
      <c r="A13" t="s">
        <v>61</v>
      </c>
      <c r="B13" t="s">
        <v>62</v>
      </c>
      <c r="C13" t="s">
        <v>41</v>
      </c>
      <c r="D13" s="23" t="s">
        <v>42</v>
      </c>
      <c r="E13" s="23">
        <f>SUMIF(buku_besar[Nama Akun],Table15[[#This Row],[Nama Akun]],buku_besar[Saldo Debit Akhir])</f>
        <v>6000000</v>
      </c>
      <c r="F13" s="23">
        <f>SUMIF(buku_besar[Nama Akun],Table15[[#This Row],[Nama Akun]],buku_besar[Saldo Kredit Akhir])</f>
        <v>0</v>
      </c>
    </row>
    <row r="14" spans="1:6" x14ac:dyDescent="0.3">
      <c r="A14" t="s">
        <v>63</v>
      </c>
      <c r="B14" t="s">
        <v>64</v>
      </c>
      <c r="C14" t="s">
        <v>41</v>
      </c>
      <c r="D14" s="23" t="s">
        <v>42</v>
      </c>
      <c r="E14" s="23">
        <f>SUMIF(buku_besar[Nama Akun],Table15[[#This Row],[Nama Akun]],buku_besar[Saldo Debit Akhir])</f>
        <v>8000000</v>
      </c>
      <c r="F14" s="23">
        <f>SUMIF(buku_besar[Nama Akun],Table15[[#This Row],[Nama Akun]],buku_besar[Saldo Kredit Akhir])</f>
        <v>0</v>
      </c>
    </row>
    <row r="15" spans="1:6" x14ac:dyDescent="0.3">
      <c r="A15" t="s">
        <v>65</v>
      </c>
      <c r="B15" t="s">
        <v>66</v>
      </c>
      <c r="C15" t="s">
        <v>41</v>
      </c>
      <c r="D15" s="23" t="s">
        <v>42</v>
      </c>
      <c r="E15" s="23">
        <f>SUMIF(buku_besar[Nama Akun],Table15[[#This Row],[Nama Akun]],buku_besar[Saldo Debit Akhir])</f>
        <v>22000000</v>
      </c>
      <c r="F15" s="23">
        <f>SUMIF(buku_besar[Nama Akun],Table15[[#This Row],[Nama Akun]],buku_besar[Saldo Kredit Akhir])</f>
        <v>0</v>
      </c>
    </row>
    <row r="16" spans="1:6" x14ac:dyDescent="0.3">
      <c r="A16" t="s">
        <v>67</v>
      </c>
      <c r="B16" t="s">
        <v>68</v>
      </c>
      <c r="C16" t="s">
        <v>41</v>
      </c>
      <c r="D16" s="23" t="s">
        <v>42</v>
      </c>
      <c r="E16" s="23">
        <f>SUMIF(buku_besar[Nama Akun],Table15[[#This Row],[Nama Akun]],buku_besar[Saldo Debit Akhir])</f>
        <v>15000000</v>
      </c>
      <c r="F16" s="23">
        <f>SUMIF(buku_besar[Nama Akun],Table15[[#This Row],[Nama Akun]],buku_besar[Saldo Kredit Akhir])</f>
        <v>0</v>
      </c>
    </row>
    <row r="17" spans="1:6" x14ac:dyDescent="0.3">
      <c r="A17" t="s">
        <v>69</v>
      </c>
      <c r="B17" t="s">
        <v>70</v>
      </c>
      <c r="C17" t="s">
        <v>41</v>
      </c>
      <c r="D17" s="23" t="s">
        <v>42</v>
      </c>
      <c r="E17" s="23">
        <f>SUMIF(buku_besar[Nama Akun],Table15[[#This Row],[Nama Akun]],buku_besar[Saldo Debit Akhir])</f>
        <v>180000000</v>
      </c>
      <c r="F17" s="23">
        <f>SUMIF(buku_besar[Nama Akun],Table15[[#This Row],[Nama Akun]],buku_besar[Saldo Kredit Akhir])</f>
        <v>0</v>
      </c>
    </row>
    <row r="18" spans="1:6" x14ac:dyDescent="0.3">
      <c r="A18" t="s">
        <v>71</v>
      </c>
      <c r="B18" t="s">
        <v>72</v>
      </c>
      <c r="C18" t="s">
        <v>41</v>
      </c>
      <c r="D18" s="23" t="s">
        <v>42</v>
      </c>
      <c r="E18" s="23">
        <f>SUMIF(buku_besar[Nama Akun],Table15[[#This Row],[Nama Akun]],buku_besar[Saldo Debit Akhir])</f>
        <v>350000000</v>
      </c>
      <c r="F18" s="23">
        <f>SUMIF(buku_besar[Nama Akun],Table15[[#This Row],[Nama Akun]],buku_besar[Saldo Kredit Akhir])</f>
        <v>0</v>
      </c>
    </row>
    <row r="19" spans="1:6" x14ac:dyDescent="0.3">
      <c r="A19" t="s">
        <v>73</v>
      </c>
      <c r="B19" t="s">
        <v>74</v>
      </c>
      <c r="C19" t="s">
        <v>41</v>
      </c>
      <c r="D19" s="23" t="s">
        <v>42</v>
      </c>
      <c r="E19" s="23">
        <f>SUMIF(buku_besar[Nama Akun],Table15[[#This Row],[Nama Akun]],buku_besar[Saldo Debit Akhir])</f>
        <v>220000000</v>
      </c>
      <c r="F19" s="23">
        <f>SUMIF(buku_besar[Nama Akun],Table15[[#This Row],[Nama Akun]],buku_besar[Saldo Kredit Akhir])</f>
        <v>0</v>
      </c>
    </row>
    <row r="20" spans="1:6" x14ac:dyDescent="0.3">
      <c r="A20" t="s">
        <v>75</v>
      </c>
      <c r="B20" t="s">
        <v>76</v>
      </c>
      <c r="C20" t="s">
        <v>77</v>
      </c>
      <c r="D20" s="23" t="s">
        <v>78</v>
      </c>
      <c r="E20" s="23">
        <f>SUMIF(buku_besar[Nama Akun],Table15[[#This Row],[Nama Akun]],buku_besar[Saldo Debit Akhir])</f>
        <v>0</v>
      </c>
      <c r="F20" s="23">
        <f>SUMIF(buku_besar[Nama Akun],Table15[[#This Row],[Nama Akun]],buku_besar[Saldo Kredit Akhir])</f>
        <v>1800000</v>
      </c>
    </row>
    <row r="21" spans="1:6" x14ac:dyDescent="0.3">
      <c r="A21" t="s">
        <v>79</v>
      </c>
      <c r="B21" t="s">
        <v>80</v>
      </c>
      <c r="C21" t="s">
        <v>77</v>
      </c>
      <c r="D21" s="23" t="s">
        <v>78</v>
      </c>
      <c r="E21" s="23">
        <f>SUMIF(buku_besar[Nama Akun],Table15[[#This Row],[Nama Akun]],buku_besar[Saldo Debit Akhir])</f>
        <v>0</v>
      </c>
      <c r="F21" s="23">
        <f>SUMIF(buku_besar[Nama Akun],Table15[[#This Row],[Nama Akun]],buku_besar[Saldo Kredit Akhir])</f>
        <v>2400000</v>
      </c>
    </row>
    <row r="22" spans="1:6" x14ac:dyDescent="0.3">
      <c r="A22" t="s">
        <v>81</v>
      </c>
      <c r="B22" t="s">
        <v>82</v>
      </c>
      <c r="C22" t="s">
        <v>77</v>
      </c>
      <c r="D22" s="23" t="s">
        <v>78</v>
      </c>
      <c r="E22" s="23">
        <f>SUMIF(buku_besar[Nama Akun],Table15[[#This Row],[Nama Akun]],buku_besar[Saldo Debit Akhir])</f>
        <v>0</v>
      </c>
      <c r="F22" s="23">
        <f>SUMIF(buku_besar[Nama Akun],Table15[[#This Row],[Nama Akun]],buku_besar[Saldo Kredit Akhir])</f>
        <v>3500000</v>
      </c>
    </row>
    <row r="23" spans="1:6" x14ac:dyDescent="0.3">
      <c r="A23" t="s">
        <v>83</v>
      </c>
      <c r="B23" t="s">
        <v>84</v>
      </c>
      <c r="C23" t="s">
        <v>85</v>
      </c>
      <c r="D23" s="23" t="s">
        <v>78</v>
      </c>
      <c r="E23" s="23">
        <f>SUMIF(buku_besar[Nama Akun],Table15[[#This Row],[Nama Akun]],buku_besar[Saldo Debit Akhir])</f>
        <v>0</v>
      </c>
      <c r="F23" s="23">
        <f>SUMIF(buku_besar[Nama Akun],Table15[[#This Row],[Nama Akun]],buku_besar[Saldo Kredit Akhir])</f>
        <v>47050000</v>
      </c>
    </row>
    <row r="24" spans="1:6" x14ac:dyDescent="0.3">
      <c r="A24" t="s">
        <v>87</v>
      </c>
      <c r="B24" t="s">
        <v>88</v>
      </c>
      <c r="C24" t="s">
        <v>85</v>
      </c>
      <c r="D24" s="23" t="s">
        <v>78</v>
      </c>
      <c r="E24" s="23">
        <f>SUMIF(buku_besar[Nama Akun],Table15[[#This Row],[Nama Akun]],buku_besar[Saldo Debit Akhir])</f>
        <v>0</v>
      </c>
      <c r="F24" s="23">
        <f>SUMIF(buku_besar[Nama Akun],Table15[[#This Row],[Nama Akun]],buku_besar[Saldo Kredit Akhir])</f>
        <v>12100000</v>
      </c>
    </row>
    <row r="25" spans="1:6" x14ac:dyDescent="0.3">
      <c r="A25" t="s">
        <v>89</v>
      </c>
      <c r="B25" t="s">
        <v>90</v>
      </c>
      <c r="C25" t="s">
        <v>85</v>
      </c>
      <c r="D25" s="23" t="s">
        <v>78</v>
      </c>
      <c r="E25" s="23">
        <f>SUMIF(buku_besar[Nama Akun],Table15[[#This Row],[Nama Akun]],buku_besar[Saldo Debit Akhir])</f>
        <v>0</v>
      </c>
      <c r="F25" s="23">
        <f>SUMIF(buku_besar[Nama Akun],Table15[[#This Row],[Nama Akun]],buku_besar[Saldo Kredit Akhir])</f>
        <v>2000000</v>
      </c>
    </row>
    <row r="26" spans="1:6" x14ac:dyDescent="0.3">
      <c r="A26" t="s">
        <v>91</v>
      </c>
      <c r="B26" t="s">
        <v>92</v>
      </c>
      <c r="C26" t="s">
        <v>85</v>
      </c>
      <c r="D26" s="23" t="s">
        <v>78</v>
      </c>
      <c r="E26" s="23">
        <f>SUMIF(buku_besar[Nama Akun],Table15[[#This Row],[Nama Akun]],buku_besar[Saldo Debit Akhir])</f>
        <v>0</v>
      </c>
      <c r="F26" s="23">
        <f>SUMIF(buku_besar[Nama Akun],Table15[[#This Row],[Nama Akun]],buku_besar[Saldo Kredit Akhir])</f>
        <v>1100000</v>
      </c>
    </row>
    <row r="27" spans="1:6" x14ac:dyDescent="0.3">
      <c r="A27" t="s">
        <v>93</v>
      </c>
      <c r="B27" t="s">
        <v>94</v>
      </c>
      <c r="C27" t="s">
        <v>85</v>
      </c>
      <c r="D27" s="23" t="s">
        <v>78</v>
      </c>
      <c r="E27" s="23">
        <f>SUMIF(buku_besar[Nama Akun],Table15[[#This Row],[Nama Akun]],buku_besar[Saldo Debit Akhir])</f>
        <v>0</v>
      </c>
      <c r="F27" s="23">
        <f>SUMIF(buku_besar[Nama Akun],Table15[[#This Row],[Nama Akun]],buku_besar[Saldo Kredit Akhir])</f>
        <v>3080000</v>
      </c>
    </row>
    <row r="28" spans="1:6" x14ac:dyDescent="0.3">
      <c r="A28" t="s">
        <v>95</v>
      </c>
      <c r="B28" t="s">
        <v>96</v>
      </c>
      <c r="C28" t="s">
        <v>85</v>
      </c>
      <c r="D28" s="23" t="s">
        <v>78</v>
      </c>
      <c r="E28" s="23">
        <f>SUMIF(buku_besar[Nama Akun],Table15[[#This Row],[Nama Akun]],buku_besar[Saldo Debit Akhir])</f>
        <v>0</v>
      </c>
      <c r="F28" s="23">
        <f>SUMIF(buku_besar[Nama Akun],Table15[[#This Row],[Nama Akun]],buku_besar[Saldo Kredit Akhir])</f>
        <v>800000</v>
      </c>
    </row>
    <row r="29" spans="1:6" x14ac:dyDescent="0.3">
      <c r="A29" t="s">
        <v>97</v>
      </c>
      <c r="B29" t="s">
        <v>98</v>
      </c>
      <c r="C29" t="s">
        <v>85</v>
      </c>
      <c r="D29" s="23" t="s">
        <v>78</v>
      </c>
      <c r="E29" s="23">
        <f>SUMIF(buku_besar[Nama Akun],Table15[[#This Row],[Nama Akun]],buku_besar[Saldo Debit Akhir])</f>
        <v>0</v>
      </c>
      <c r="F29" s="23">
        <f>SUMIF(buku_besar[Nama Akun],Table15[[#This Row],[Nama Akun]],buku_besar[Saldo Kredit Akhir])</f>
        <v>4000000</v>
      </c>
    </row>
    <row r="30" spans="1:6" x14ac:dyDescent="0.3">
      <c r="A30" t="s">
        <v>99</v>
      </c>
      <c r="B30" t="s">
        <v>100</v>
      </c>
      <c r="C30" t="s">
        <v>85</v>
      </c>
      <c r="D30" s="23" t="s">
        <v>78</v>
      </c>
      <c r="E30" s="23">
        <f>SUMIF(buku_besar[Nama Akun],Table15[[#This Row],[Nama Akun]],buku_besar[Saldo Debit Akhir])</f>
        <v>0</v>
      </c>
      <c r="F30" s="23">
        <f>SUMIF(buku_besar[Nama Akun],Table15[[#This Row],[Nama Akun]],buku_besar[Saldo Kredit Akhir])</f>
        <v>3300000</v>
      </c>
    </row>
    <row r="31" spans="1:6" x14ac:dyDescent="0.3">
      <c r="A31" t="s">
        <v>101</v>
      </c>
      <c r="B31" t="s">
        <v>102</v>
      </c>
      <c r="C31" t="s">
        <v>85</v>
      </c>
      <c r="D31" s="23" t="s">
        <v>78</v>
      </c>
      <c r="E31" s="23">
        <f>SUMIF(buku_besar[Nama Akun],Table15[[#This Row],[Nama Akun]],buku_besar[Saldo Debit Akhir])</f>
        <v>0</v>
      </c>
      <c r="F31" s="23">
        <f>SUMIF(buku_besar[Nama Akun],Table15[[#This Row],[Nama Akun]],buku_besar[Saldo Kredit Akhir])</f>
        <v>394000000</v>
      </c>
    </row>
    <row r="32" spans="1:6" x14ac:dyDescent="0.3">
      <c r="A32" t="s">
        <v>103</v>
      </c>
      <c r="B32" t="s">
        <v>104</v>
      </c>
      <c r="C32" t="s">
        <v>85</v>
      </c>
      <c r="D32" s="23" t="s">
        <v>78</v>
      </c>
      <c r="E32" s="23">
        <f>SUMIF(buku_besar[Nama Akun],Table15[[#This Row],[Nama Akun]],buku_besar[Saldo Debit Akhir])</f>
        <v>0</v>
      </c>
      <c r="F32" s="23">
        <f>SUMIF(buku_besar[Nama Akun],Table15[[#This Row],[Nama Akun]],buku_besar[Saldo Kredit Akhir])</f>
        <v>17000000</v>
      </c>
    </row>
    <row r="33" spans="1:6" x14ac:dyDescent="0.3">
      <c r="A33" t="s">
        <v>105</v>
      </c>
      <c r="B33" t="s">
        <v>106</v>
      </c>
      <c r="C33" t="s">
        <v>85</v>
      </c>
      <c r="D33" s="23" t="s">
        <v>78</v>
      </c>
      <c r="E33" s="23">
        <f>SUMIF(buku_besar[Nama Akun],Table15[[#This Row],[Nama Akun]],buku_besar[Saldo Debit Akhir])</f>
        <v>0</v>
      </c>
      <c r="F33" s="23">
        <f>SUMIF(buku_besar[Nama Akun],Table15[[#This Row],[Nama Akun]],buku_besar[Saldo Kredit Akhir])</f>
        <v>350000000</v>
      </c>
    </row>
    <row r="34" spans="1:6" x14ac:dyDescent="0.3">
      <c r="A34" t="s">
        <v>107</v>
      </c>
      <c r="B34" t="s">
        <v>108</v>
      </c>
      <c r="C34" t="s">
        <v>85</v>
      </c>
      <c r="D34" s="23" t="s">
        <v>78</v>
      </c>
      <c r="E34" s="23">
        <f>SUMIF(buku_besar[Nama Akun],Table15[[#This Row],[Nama Akun]],buku_besar[Saldo Debit Akhir])</f>
        <v>0</v>
      </c>
      <c r="F34" s="23">
        <f>SUMIF(buku_besar[Nama Akun],Table15[[#This Row],[Nama Akun]],buku_besar[Saldo Kredit Akhir])</f>
        <v>11000000</v>
      </c>
    </row>
    <row r="35" spans="1:6" x14ac:dyDescent="0.3">
      <c r="A35" t="s">
        <v>109</v>
      </c>
      <c r="B35" t="s">
        <v>110</v>
      </c>
      <c r="C35" t="s">
        <v>111</v>
      </c>
      <c r="D35" s="23" t="s">
        <v>78</v>
      </c>
      <c r="E35" s="23">
        <f>SUMIF(buku_besar[Nama Akun],Table15[[#This Row],[Nama Akun]],buku_besar[Saldo Debit Akhir])</f>
        <v>0</v>
      </c>
      <c r="F35" s="23">
        <f>SUMIF(buku_besar[Nama Akun],Table15[[#This Row],[Nama Akun]],buku_besar[Saldo Kredit Akhir])</f>
        <v>77000000</v>
      </c>
    </row>
    <row r="36" spans="1:6" x14ac:dyDescent="0.3">
      <c r="A36" t="s">
        <v>113</v>
      </c>
      <c r="B36" t="s">
        <v>114</v>
      </c>
      <c r="C36" t="s">
        <v>111</v>
      </c>
      <c r="D36" s="23" t="s">
        <v>78</v>
      </c>
      <c r="E36" s="23">
        <f>SUMIF(buku_besar[Nama Akun],Table15[[#This Row],[Nama Akun]],buku_besar[Saldo Debit Akhir])</f>
        <v>0</v>
      </c>
      <c r="F36" s="23">
        <f>SUMIF(buku_besar[Nama Akun],Table15[[#This Row],[Nama Akun]],buku_besar[Saldo Kredit Akhir])</f>
        <v>120000000</v>
      </c>
    </row>
    <row r="37" spans="1:6" x14ac:dyDescent="0.3">
      <c r="A37" t="s">
        <v>115</v>
      </c>
      <c r="B37" t="s">
        <v>116</v>
      </c>
      <c r="C37" t="s">
        <v>111</v>
      </c>
      <c r="D37" s="23" t="s">
        <v>78</v>
      </c>
      <c r="E37" s="23">
        <f>SUMIF(buku_besar[Nama Akun],Table15[[#This Row],[Nama Akun]],buku_besar[Saldo Debit Akhir])</f>
        <v>0</v>
      </c>
      <c r="F37" s="23">
        <f>SUMIF(buku_besar[Nama Akun],Table15[[#This Row],[Nama Akun]],buku_besar[Saldo Kredit Akhir])</f>
        <v>25000000</v>
      </c>
    </row>
    <row r="38" spans="1:6" x14ac:dyDescent="0.3">
      <c r="A38" t="s">
        <v>117</v>
      </c>
      <c r="B38" t="s">
        <v>118</v>
      </c>
      <c r="C38" t="s">
        <v>111</v>
      </c>
      <c r="D38" s="23" t="s">
        <v>78</v>
      </c>
      <c r="E38" s="23">
        <f>SUMIF(buku_besar[Nama Akun],Table15[[#This Row],[Nama Akun]],buku_besar[Saldo Debit Akhir])</f>
        <v>0</v>
      </c>
      <c r="F38" s="23">
        <f>SUMIF(buku_besar[Nama Akun],Table15[[#This Row],[Nama Akun]],buku_besar[Saldo Kredit Akhir])</f>
        <v>18000000</v>
      </c>
    </row>
    <row r="39" spans="1:6" x14ac:dyDescent="0.3">
      <c r="A39" t="s">
        <v>119</v>
      </c>
      <c r="B39" t="s">
        <v>120</v>
      </c>
      <c r="C39" t="s">
        <v>121</v>
      </c>
      <c r="D39" s="23" t="s">
        <v>42</v>
      </c>
      <c r="E39" s="23">
        <f>SUMIF(buku_besar[Nama Akun],Table15[[#This Row],[Nama Akun]],buku_besar[Saldo Debit Akhir])</f>
        <v>0</v>
      </c>
      <c r="F39" s="23">
        <f>SUMIF(buku_besar[Nama Akun],Table15[[#This Row],[Nama Akun]],buku_besar[Saldo Kredit Akhir])</f>
        <v>0</v>
      </c>
    </row>
    <row r="40" spans="1:6" x14ac:dyDescent="0.3">
      <c r="A40" t="s">
        <v>122</v>
      </c>
      <c r="B40" t="s">
        <v>123</v>
      </c>
      <c r="C40" t="s">
        <v>111</v>
      </c>
      <c r="D40" s="23" t="s">
        <v>78</v>
      </c>
      <c r="E40" s="23">
        <f>SUMIF(buku_besar[Nama Akun],Table15[[#This Row],[Nama Akun]],buku_besar[Saldo Debit Akhir])</f>
        <v>2650000</v>
      </c>
      <c r="F40" s="23">
        <f>SUMIF(buku_besar[Nama Akun],Table15[[#This Row],[Nama Akun]],buku_besar[Saldo Kredit Akhir])</f>
        <v>0</v>
      </c>
    </row>
    <row r="41" spans="1:6" x14ac:dyDescent="0.3">
      <c r="A41" t="s">
        <v>124</v>
      </c>
      <c r="B41" t="s">
        <v>125</v>
      </c>
      <c r="C41" t="s">
        <v>126</v>
      </c>
      <c r="D41" s="23" t="s">
        <v>78</v>
      </c>
      <c r="E41" s="23">
        <f>SUMIF(buku_besar[Nama Akun],Table15[[#This Row],[Nama Akun]],buku_besar[Saldo Debit Akhir])</f>
        <v>0</v>
      </c>
      <c r="F41" s="23">
        <f>SUMIF(buku_besar[Nama Akun],Table15[[#This Row],[Nama Akun]],buku_besar[Saldo Kredit Akhir])</f>
        <v>0</v>
      </c>
    </row>
    <row r="42" spans="1:6" x14ac:dyDescent="0.3">
      <c r="A42" t="s">
        <v>128</v>
      </c>
      <c r="B42" t="s">
        <v>129</v>
      </c>
      <c r="C42" t="s">
        <v>126</v>
      </c>
      <c r="D42" s="23" t="s">
        <v>78</v>
      </c>
      <c r="E42" s="23">
        <f>SUMIF(buku_besar[Nama Akun],Table15[[#This Row],[Nama Akun]],buku_besar[Saldo Debit Akhir])</f>
        <v>0</v>
      </c>
      <c r="F42" s="23">
        <f>SUMIF(buku_besar[Nama Akun],Table15[[#This Row],[Nama Akun]],buku_besar[Saldo Kredit Akhir])</f>
        <v>0</v>
      </c>
    </row>
    <row r="43" spans="1:6" x14ac:dyDescent="0.3">
      <c r="A43" t="s">
        <v>130</v>
      </c>
      <c r="B43" t="s">
        <v>131</v>
      </c>
      <c r="C43" t="s">
        <v>126</v>
      </c>
      <c r="D43" s="23" t="s">
        <v>78</v>
      </c>
      <c r="E43" s="23">
        <f>SUMIF(buku_besar[Nama Akun],Table15[[#This Row],[Nama Akun]],buku_besar[Saldo Debit Akhir])</f>
        <v>0</v>
      </c>
      <c r="F43" s="23">
        <f>SUMIF(buku_besar[Nama Akun],Table15[[#This Row],[Nama Akun]],buku_besar[Saldo Kredit Akhir])</f>
        <v>0</v>
      </c>
    </row>
    <row r="44" spans="1:6" x14ac:dyDescent="0.3">
      <c r="A44" t="s">
        <v>132</v>
      </c>
      <c r="B44" t="s">
        <v>133</v>
      </c>
      <c r="C44" t="s">
        <v>126</v>
      </c>
      <c r="D44" s="23" t="s">
        <v>78</v>
      </c>
      <c r="E44" s="23">
        <f>SUMIF(buku_besar[Nama Akun],Table15[[#This Row],[Nama Akun]],buku_besar[Saldo Debit Akhir])</f>
        <v>0</v>
      </c>
      <c r="F44" s="23">
        <f>SUMIF(buku_besar[Nama Akun],Table15[[#This Row],[Nama Akun]],buku_besar[Saldo Kredit Akhir])</f>
        <v>0</v>
      </c>
    </row>
    <row r="45" spans="1:6" x14ac:dyDescent="0.3">
      <c r="A45" t="s">
        <v>134</v>
      </c>
      <c r="B45" t="s">
        <v>135</v>
      </c>
      <c r="C45" t="s">
        <v>126</v>
      </c>
      <c r="D45" s="23" t="s">
        <v>78</v>
      </c>
      <c r="E45" s="23">
        <f>SUMIF(buku_besar[Nama Akun],Table15[[#This Row],[Nama Akun]],buku_besar[Saldo Debit Akhir])</f>
        <v>0</v>
      </c>
      <c r="F45" s="23">
        <f>SUMIF(buku_besar[Nama Akun],Table15[[#This Row],[Nama Akun]],buku_besar[Saldo Kredit Akhir])</f>
        <v>0</v>
      </c>
    </row>
    <row r="46" spans="1:6" x14ac:dyDescent="0.3">
      <c r="A46" t="s">
        <v>136</v>
      </c>
      <c r="B46" t="s">
        <v>137</v>
      </c>
      <c r="C46" t="s">
        <v>126</v>
      </c>
      <c r="D46" s="23" t="s">
        <v>78</v>
      </c>
      <c r="E46" s="23">
        <f>SUMIF(buku_besar[Nama Akun],Table15[[#This Row],[Nama Akun]],buku_besar[Saldo Debit Akhir])</f>
        <v>0</v>
      </c>
      <c r="F46" s="23">
        <f>SUMIF(buku_besar[Nama Akun],Table15[[#This Row],[Nama Akun]],buku_besar[Saldo Kredit Akhir])</f>
        <v>0</v>
      </c>
    </row>
    <row r="47" spans="1:6" x14ac:dyDescent="0.3">
      <c r="A47" t="s">
        <v>138</v>
      </c>
      <c r="B47" t="s">
        <v>139</v>
      </c>
      <c r="C47" t="s">
        <v>126</v>
      </c>
      <c r="D47" s="23" t="s">
        <v>78</v>
      </c>
      <c r="E47" s="23">
        <f>SUMIF(buku_besar[Nama Akun],Table15[[#This Row],[Nama Akun]],buku_besar[Saldo Debit Akhir])</f>
        <v>0</v>
      </c>
      <c r="F47" s="23">
        <f>SUMIF(buku_besar[Nama Akun],Table15[[#This Row],[Nama Akun]],buku_besar[Saldo Kredit Akhir])</f>
        <v>0</v>
      </c>
    </row>
    <row r="48" spans="1:6" x14ac:dyDescent="0.3">
      <c r="A48" t="s">
        <v>140</v>
      </c>
      <c r="B48" t="s">
        <v>141</v>
      </c>
      <c r="C48" t="s">
        <v>142</v>
      </c>
      <c r="D48" s="23" t="s">
        <v>42</v>
      </c>
      <c r="E48" s="23">
        <f>SUMIF(buku_besar[Nama Akun],Table15[[#This Row],[Nama Akun]],buku_besar[Saldo Debit Akhir])</f>
        <v>0</v>
      </c>
      <c r="F48" s="23">
        <f>SUMIF(buku_besar[Nama Akun],Table15[[#This Row],[Nama Akun]],buku_besar[Saldo Kredit Akhir])</f>
        <v>0</v>
      </c>
    </row>
    <row r="49" spans="1:6" x14ac:dyDescent="0.3">
      <c r="A49" t="s">
        <v>144</v>
      </c>
      <c r="B49" t="s">
        <v>145</v>
      </c>
      <c r="C49" t="s">
        <v>142</v>
      </c>
      <c r="D49" s="23" t="s">
        <v>42</v>
      </c>
      <c r="E49" s="23">
        <f>SUMIF(buku_besar[Nama Akun],Table15[[#This Row],[Nama Akun]],buku_besar[Saldo Debit Akhir])</f>
        <v>0</v>
      </c>
      <c r="F49" s="23">
        <f>SUMIF(buku_besar[Nama Akun],Table15[[#This Row],[Nama Akun]],buku_besar[Saldo Kredit Akhir])</f>
        <v>0</v>
      </c>
    </row>
    <row r="50" spans="1:6" x14ac:dyDescent="0.3">
      <c r="A50" t="s">
        <v>146</v>
      </c>
      <c r="B50" t="s">
        <v>147</v>
      </c>
      <c r="C50" t="s">
        <v>142</v>
      </c>
      <c r="D50" s="23" t="s">
        <v>42</v>
      </c>
      <c r="E50" s="23">
        <f>SUMIF(buku_besar[Nama Akun],Table15[[#This Row],[Nama Akun]],buku_besar[Saldo Debit Akhir])</f>
        <v>0</v>
      </c>
      <c r="F50" s="23">
        <f>SUMIF(buku_besar[Nama Akun],Table15[[#This Row],[Nama Akun]],buku_besar[Saldo Kredit Akhir])</f>
        <v>0</v>
      </c>
    </row>
    <row r="51" spans="1:6" x14ac:dyDescent="0.3">
      <c r="A51" t="s">
        <v>148</v>
      </c>
      <c r="B51" t="s">
        <v>149</v>
      </c>
      <c r="C51" t="s">
        <v>142</v>
      </c>
      <c r="D51" s="23" t="s">
        <v>42</v>
      </c>
      <c r="E51" s="23">
        <f>SUMIF(buku_besar[Nama Akun],Table15[[#This Row],[Nama Akun]],buku_besar[Saldo Debit Akhir])</f>
        <v>0</v>
      </c>
      <c r="F51" s="23">
        <f>SUMIF(buku_besar[Nama Akun],Table15[[#This Row],[Nama Akun]],buku_besar[Saldo Kredit Akhir])</f>
        <v>0</v>
      </c>
    </row>
    <row r="52" spans="1:6" x14ac:dyDescent="0.3">
      <c r="A52" t="s">
        <v>150</v>
      </c>
      <c r="B52" t="s">
        <v>151</v>
      </c>
      <c r="C52" t="s">
        <v>142</v>
      </c>
      <c r="D52" s="23" t="s">
        <v>42</v>
      </c>
      <c r="E52" s="23">
        <f>SUMIF(buku_besar[Nama Akun],Table15[[#This Row],[Nama Akun]],buku_besar[Saldo Debit Akhir])</f>
        <v>0</v>
      </c>
      <c r="F52" s="23">
        <f>SUMIF(buku_besar[Nama Akun],Table15[[#This Row],[Nama Akun]],buku_besar[Saldo Kredit Akhir])</f>
        <v>0</v>
      </c>
    </row>
    <row r="53" spans="1:6" x14ac:dyDescent="0.3">
      <c r="A53" t="s">
        <v>152</v>
      </c>
      <c r="B53" t="s">
        <v>153</v>
      </c>
      <c r="C53" t="s">
        <v>142</v>
      </c>
      <c r="D53" s="23" t="s">
        <v>42</v>
      </c>
      <c r="E53" s="23">
        <f>SUMIF(buku_besar[Nama Akun],Table15[[#This Row],[Nama Akun]],buku_besar[Saldo Debit Akhir])</f>
        <v>0</v>
      </c>
      <c r="F53" s="23">
        <f>SUMIF(buku_besar[Nama Akun],Table15[[#This Row],[Nama Akun]],buku_besar[Saldo Kredit Akhir])</f>
        <v>0</v>
      </c>
    </row>
    <row r="54" spans="1:6" x14ac:dyDescent="0.3">
      <c r="A54" t="s">
        <v>154</v>
      </c>
      <c r="B54" t="s">
        <v>155</v>
      </c>
      <c r="C54" t="s">
        <v>142</v>
      </c>
      <c r="D54" s="23" t="s">
        <v>42</v>
      </c>
      <c r="E54" s="23">
        <f>SUMIF(buku_besar[Nama Akun],Table15[[#This Row],[Nama Akun]],buku_besar[Saldo Debit Akhir])</f>
        <v>0</v>
      </c>
      <c r="F54" s="23">
        <f>SUMIF(buku_besar[Nama Akun],Table15[[#This Row],[Nama Akun]],buku_besar[Saldo Kredit Akhir])</f>
        <v>0</v>
      </c>
    </row>
    <row r="55" spans="1:6" x14ac:dyDescent="0.3">
      <c r="A55" t="s">
        <v>156</v>
      </c>
      <c r="B55" t="s">
        <v>157</v>
      </c>
      <c r="C55" t="s">
        <v>142</v>
      </c>
      <c r="D55" s="23" t="s">
        <v>42</v>
      </c>
      <c r="E55" s="23">
        <f>SUMIF(buku_besar[Nama Akun],Table15[[#This Row],[Nama Akun]],buku_besar[Saldo Debit Akhir])</f>
        <v>0</v>
      </c>
      <c r="F55" s="23">
        <f>SUMIF(buku_besar[Nama Akun],Table15[[#This Row],[Nama Akun]],buku_besar[Saldo Kredit Akhir])</f>
        <v>0</v>
      </c>
    </row>
    <row r="56" spans="1:6" x14ac:dyDescent="0.3">
      <c r="A56" t="s">
        <v>158</v>
      </c>
      <c r="B56" t="s">
        <v>159</v>
      </c>
      <c r="C56" t="s">
        <v>142</v>
      </c>
      <c r="D56" s="23" t="s">
        <v>42</v>
      </c>
      <c r="E56" s="23">
        <f>SUMIF(buku_besar[Nama Akun],Table15[[#This Row],[Nama Akun]],buku_besar[Saldo Debit Akhir])</f>
        <v>0</v>
      </c>
      <c r="F56" s="23">
        <f>SUMIF(buku_besar[Nama Akun],Table15[[#This Row],[Nama Akun]],buku_besar[Saldo Kredit Akhir])</f>
        <v>0</v>
      </c>
    </row>
    <row r="57" spans="1:6" x14ac:dyDescent="0.3">
      <c r="A57" t="s">
        <v>160</v>
      </c>
      <c r="B57" t="s">
        <v>161</v>
      </c>
      <c r="C57" t="s">
        <v>142</v>
      </c>
      <c r="D57" s="23" t="s">
        <v>42</v>
      </c>
      <c r="E57" s="23">
        <f>SUMIF(buku_besar[Nama Akun],Table15[[#This Row],[Nama Akun]],buku_besar[Saldo Debit Akhir])</f>
        <v>0</v>
      </c>
      <c r="F57" s="23">
        <f>SUMIF(buku_besar[Nama Akun],Table15[[#This Row],[Nama Akun]],buku_besar[Saldo Kredit Akhir])</f>
        <v>0</v>
      </c>
    </row>
    <row r="58" spans="1:6" x14ac:dyDescent="0.3">
      <c r="A58" t="s">
        <v>162</v>
      </c>
      <c r="B58" t="s">
        <v>163</v>
      </c>
      <c r="C58" t="s">
        <v>142</v>
      </c>
      <c r="D58" s="23" t="s">
        <v>42</v>
      </c>
      <c r="E58" s="23">
        <f>SUMIF(buku_besar[Nama Akun],Table15[[#This Row],[Nama Akun]],buku_besar[Saldo Debit Akhir])</f>
        <v>0</v>
      </c>
      <c r="F58" s="23">
        <f>SUMIF(buku_besar[Nama Akun],Table15[[#This Row],[Nama Akun]],buku_besar[Saldo Kredit Akhir])</f>
        <v>0</v>
      </c>
    </row>
    <row r="59" spans="1:6" x14ac:dyDescent="0.3">
      <c r="A59" t="s">
        <v>164</v>
      </c>
      <c r="B59" t="s">
        <v>165</v>
      </c>
      <c r="C59" t="s">
        <v>142</v>
      </c>
      <c r="D59" s="23" t="s">
        <v>42</v>
      </c>
      <c r="E59" s="23">
        <f>SUMIF(buku_besar[Nama Akun],Table15[[#This Row],[Nama Akun]],buku_besar[Saldo Debit Akhir])</f>
        <v>0</v>
      </c>
      <c r="F59" s="23">
        <f>SUMIF(buku_besar[Nama Akun],Table15[[#This Row],[Nama Akun]],buku_besar[Saldo Kredit Akhir])</f>
        <v>0</v>
      </c>
    </row>
    <row r="60" spans="1:6" x14ac:dyDescent="0.3">
      <c r="A60" t="s">
        <v>166</v>
      </c>
      <c r="B60" t="s">
        <v>167</v>
      </c>
      <c r="C60" t="s">
        <v>142</v>
      </c>
      <c r="D60" s="23" t="s">
        <v>42</v>
      </c>
      <c r="E60" s="23">
        <f>SUMIF(buku_besar[Nama Akun],Table15[[#This Row],[Nama Akun]],buku_besar[Saldo Debit Akhir])</f>
        <v>0</v>
      </c>
      <c r="F60" s="23">
        <f>SUMIF(buku_besar[Nama Akun],Table15[[#This Row],[Nama Akun]],buku_besar[Saldo Kredit Akhir])</f>
        <v>0</v>
      </c>
    </row>
    <row r="61" spans="1:6" x14ac:dyDescent="0.3">
      <c r="A61" t="s">
        <v>168</v>
      </c>
      <c r="B61" t="s">
        <v>169</v>
      </c>
      <c r="C61" t="s">
        <v>142</v>
      </c>
      <c r="D61" s="23" t="s">
        <v>42</v>
      </c>
      <c r="E61" s="23">
        <f>SUMIF(buku_besar[Nama Akun],Table15[[#This Row],[Nama Akun]],buku_besar[Saldo Debit Akhir])</f>
        <v>0</v>
      </c>
      <c r="F61" s="23">
        <f>SUMIF(buku_besar[Nama Akun],Table15[[#This Row],[Nama Akun]],buku_besar[Saldo Kredit Akhir])</f>
        <v>0</v>
      </c>
    </row>
    <row r="62" spans="1:6" x14ac:dyDescent="0.3">
      <c r="A62" t="s">
        <v>170</v>
      </c>
      <c r="B62" t="s">
        <v>171</v>
      </c>
      <c r="C62" t="s">
        <v>142</v>
      </c>
      <c r="D62" s="23" t="s">
        <v>42</v>
      </c>
      <c r="E62" s="23">
        <f>SUMIF(buku_besar[Nama Akun],Table15[[#This Row],[Nama Akun]],buku_besar[Saldo Debit Akhir])</f>
        <v>0</v>
      </c>
      <c r="F62" s="23">
        <f>SUMIF(buku_besar[Nama Akun],Table15[[#This Row],[Nama Akun]],buku_besar[Saldo Kredit Akhir])</f>
        <v>0</v>
      </c>
    </row>
    <row r="63" spans="1:6" x14ac:dyDescent="0.3">
      <c r="A63" t="s">
        <v>172</v>
      </c>
      <c r="B63" t="s">
        <v>173</v>
      </c>
      <c r="C63" t="s">
        <v>142</v>
      </c>
      <c r="D63" s="23" t="s">
        <v>42</v>
      </c>
      <c r="E63" s="23">
        <f>SUMIF(buku_besar[Nama Akun],Table15[[#This Row],[Nama Akun]],buku_besar[Saldo Debit Akhir])</f>
        <v>0</v>
      </c>
      <c r="F63" s="23">
        <f>SUMIF(buku_besar[Nama Akun],Table15[[#This Row],[Nama Akun]],buku_besar[Saldo Kredit Akhir])</f>
        <v>0</v>
      </c>
    </row>
    <row r="64" spans="1:6" x14ac:dyDescent="0.3">
      <c r="A64" t="s">
        <v>174</v>
      </c>
      <c r="B64" t="s">
        <v>175</v>
      </c>
      <c r="C64" t="s">
        <v>142</v>
      </c>
      <c r="D64" s="23" t="s">
        <v>42</v>
      </c>
      <c r="E64" s="23">
        <f>SUMIF(buku_besar[Nama Akun],Table15[[#This Row],[Nama Akun]],buku_besar[Saldo Debit Akhir])</f>
        <v>0</v>
      </c>
      <c r="F64" s="23">
        <f>SUMIF(buku_besar[Nama Akun],Table15[[#This Row],[Nama Akun]],buku_besar[Saldo Kredit Akhir])</f>
        <v>0</v>
      </c>
    </row>
    <row r="65" spans="1:6" x14ac:dyDescent="0.3">
      <c r="A65" t="s">
        <v>176</v>
      </c>
      <c r="B65" t="s">
        <v>177</v>
      </c>
      <c r="C65" t="s">
        <v>142</v>
      </c>
      <c r="D65" s="23" t="s">
        <v>42</v>
      </c>
      <c r="E65" s="23">
        <f>SUMIF(buku_besar[Nama Akun],Table15[[#This Row],[Nama Akun]],buku_besar[Saldo Debit Akhir])</f>
        <v>0</v>
      </c>
      <c r="F65" s="23">
        <f>SUMIF(buku_besar[Nama Akun],Table15[[#This Row],[Nama Akun]],buku_besar[Saldo Kredit Akhir])</f>
        <v>0</v>
      </c>
    </row>
    <row r="66" spans="1:6" x14ac:dyDescent="0.3">
      <c r="A66" t="s">
        <v>178</v>
      </c>
      <c r="B66" t="s">
        <v>179</v>
      </c>
      <c r="C66" t="s">
        <v>142</v>
      </c>
      <c r="D66" s="23" t="s">
        <v>42</v>
      </c>
      <c r="E66" s="23">
        <f>SUMIF(buku_besar[Nama Akun],Table15[[#This Row],[Nama Akun]],buku_besar[Saldo Debit Akhir])</f>
        <v>0</v>
      </c>
      <c r="F66" s="23">
        <f>SUMIF(buku_besar[Nama Akun],Table15[[#This Row],[Nama Akun]],buku_besar[Saldo Kredit Akhir])</f>
        <v>0</v>
      </c>
    </row>
    <row r="67" spans="1:6" x14ac:dyDescent="0.3">
      <c r="A67" t="s">
        <v>180</v>
      </c>
      <c r="B67" t="s">
        <v>181</v>
      </c>
      <c r="C67" t="s">
        <v>142</v>
      </c>
      <c r="D67" s="23" t="s">
        <v>42</v>
      </c>
      <c r="E67" s="23">
        <f>SUMIF(buku_besar[Nama Akun],Table15[[#This Row],[Nama Akun]],buku_besar[Saldo Debit Akhir])</f>
        <v>0</v>
      </c>
      <c r="F67" s="23">
        <f>SUMIF(buku_besar[Nama Akun],Table15[[#This Row],[Nama Akun]],buku_besar[Saldo Kredit Akhir])</f>
        <v>0</v>
      </c>
    </row>
    <row r="68" spans="1:6" x14ac:dyDescent="0.3">
      <c r="D68" s="23"/>
      <c r="E68" s="23"/>
      <c r="F68" s="23"/>
    </row>
    <row r="69" spans="1:6" x14ac:dyDescent="0.3">
      <c r="A69" t="s">
        <v>447</v>
      </c>
      <c r="D69" s="23"/>
      <c r="E69" s="23">
        <f>SUM(E4:E67)</f>
        <v>1093130000</v>
      </c>
      <c r="F69" s="23">
        <f>SUM(F4:F67)</f>
        <v>1093130000</v>
      </c>
    </row>
    <row r="70" spans="1:6" x14ac:dyDescent="0.3">
      <c r="A70" t="s">
        <v>505</v>
      </c>
      <c r="D70" s="23"/>
      <c r="E70" s="23"/>
      <c r="F70" s="23" t="str">
        <f>IF(E69=F69,"BALANCE","SELISIH "&amp;TEXT(E69-F69,"#,##0"))</f>
        <v>BALANCE</v>
      </c>
    </row>
  </sheetData>
  <mergeCells count="2">
    <mergeCell ref="A1:F1"/>
    <mergeCell ref="E2:F2"/>
  </mergeCells>
  <dataValidations count="2">
    <dataValidation allowBlank="1" showInputMessage="1" showErrorMessage="1" prompt="ambil dari buku besar saldo debit" sqref="E3" xr:uid="{5CC735AE-0FB3-411D-8CB1-BBBA410FB9C7}"/>
    <dataValidation allowBlank="1" showInputMessage="1" showErrorMessage="1" prompt="ambil dari buku besar saldo kredit" sqref="F3" xr:uid="{6F81250D-C3A1-4989-90CD-2E830448CB84}"/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embar13"/>
  <dimension ref="A1:E14"/>
  <sheetViews>
    <sheetView workbookViewId="0">
      <selection sqref="A1:E1"/>
    </sheetView>
  </sheetViews>
  <sheetFormatPr defaultRowHeight="14.4" x14ac:dyDescent="0.3"/>
  <cols>
    <col min="1" max="1" width="28" customWidth="1"/>
    <col min="2" max="2" width="45" customWidth="1"/>
    <col min="3" max="3" width="70" customWidth="1"/>
  </cols>
  <sheetData>
    <row r="1" spans="1:5" ht="24" customHeight="1" x14ac:dyDescent="0.3">
      <c r="A1" s="80" t="s">
        <v>532</v>
      </c>
      <c r="B1" s="81"/>
      <c r="C1" s="81"/>
      <c r="D1" s="81"/>
      <c r="E1" s="81"/>
    </row>
    <row r="3" spans="1:5" x14ac:dyDescent="0.3">
      <c r="A3" s="1" t="s">
        <v>533</v>
      </c>
      <c r="B3" s="1" t="s">
        <v>534</v>
      </c>
      <c r="C3" s="1" t="s">
        <v>535</v>
      </c>
    </row>
    <row r="4" spans="1:5" ht="28.8" x14ac:dyDescent="0.3">
      <c r="A4" s="2" t="s">
        <v>536</v>
      </c>
      <c r="B4" s="2" t="s">
        <v>537</v>
      </c>
      <c r="C4" s="2" t="s">
        <v>538</v>
      </c>
    </row>
    <row r="5" spans="1:5" x14ac:dyDescent="0.3">
      <c r="A5" s="2" t="s">
        <v>539</v>
      </c>
      <c r="B5" s="2">
        <f>MAX(0,E4-F4)</f>
        <v>0</v>
      </c>
      <c r="C5" s="2" t="s">
        <v>540</v>
      </c>
    </row>
    <row r="6" spans="1:5" x14ac:dyDescent="0.3">
      <c r="A6" s="2" t="s">
        <v>541</v>
      </c>
      <c r="B6" s="2">
        <f>MAX(0,F4-E4)</f>
        <v>0</v>
      </c>
      <c r="C6" s="2" t="s">
        <v>542</v>
      </c>
    </row>
    <row r="7" spans="1:5" x14ac:dyDescent="0.3">
      <c r="A7" s="2" t="s">
        <v>543</v>
      </c>
      <c r="B7" s="2" t="s">
        <v>544</v>
      </c>
      <c r="C7" s="2" t="s">
        <v>545</v>
      </c>
    </row>
    <row r="8" spans="1:5" x14ac:dyDescent="0.3">
      <c r="A8" s="2" t="s">
        <v>518</v>
      </c>
      <c r="B8" s="2" t="s">
        <v>546</v>
      </c>
      <c r="C8" s="2" t="s">
        <v>547</v>
      </c>
    </row>
    <row r="9" spans="1:5" ht="28.8" x14ac:dyDescent="0.3">
      <c r="A9" s="2" t="s">
        <v>41</v>
      </c>
      <c r="B9" s="2" t="s">
        <v>548</v>
      </c>
      <c r="C9" s="2" t="s">
        <v>549</v>
      </c>
    </row>
    <row r="10" spans="1:5" x14ac:dyDescent="0.3">
      <c r="A10" s="2" t="s">
        <v>85</v>
      </c>
      <c r="B10" s="2" t="s">
        <v>550</v>
      </c>
      <c r="C10" s="2" t="s">
        <v>551</v>
      </c>
    </row>
    <row r="11" spans="1:5" x14ac:dyDescent="0.3">
      <c r="A11" s="2" t="s">
        <v>111</v>
      </c>
      <c r="B11" s="2" t="s">
        <v>552</v>
      </c>
      <c r="C11" s="2" t="s">
        <v>553</v>
      </c>
    </row>
    <row r="12" spans="1:5" x14ac:dyDescent="0.3">
      <c r="A12" s="2" t="s">
        <v>554</v>
      </c>
      <c r="B12" s="2" t="s">
        <v>555</v>
      </c>
      <c r="C12" s="2" t="s">
        <v>556</v>
      </c>
    </row>
    <row r="13" spans="1:5" x14ac:dyDescent="0.3">
      <c r="A13" s="2" t="s">
        <v>557</v>
      </c>
      <c r="B13" s="2" t="s">
        <v>58</v>
      </c>
      <c r="C13" s="2" t="s">
        <v>558</v>
      </c>
    </row>
    <row r="14" spans="1:5" ht="28.8" x14ac:dyDescent="0.3">
      <c r="A14" s="29" t="s">
        <v>559</v>
      </c>
      <c r="B14" s="29" t="s">
        <v>560</v>
      </c>
      <c r="C14" s="29" t="s">
        <v>561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Petunjuk</vt:lpstr>
      <vt:lpstr>COA</vt:lpstr>
      <vt:lpstr>Soal_dan_Jurnal</vt:lpstr>
      <vt:lpstr>Kunci_Jurnal</vt:lpstr>
      <vt:lpstr>Buku_Besar</vt:lpstr>
      <vt:lpstr>Neraca_Saldo</vt:lpstr>
      <vt:lpstr>Jurnal_Penyesuaian</vt:lpstr>
      <vt:lpstr>Kunci_Penyesuaian</vt:lpstr>
      <vt:lpstr>NS_Setelah_Penyesuaian</vt:lpstr>
      <vt:lpstr>Laporan_Keuangan</vt:lpstr>
      <vt:lpstr>Jurnal_Penutup</vt:lpstr>
      <vt:lpstr>NS_Setelah_Penutupan</vt:lpstr>
      <vt:lpstr>Kamus_Rumus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xaviaro 836</cp:lastModifiedBy>
  <dcterms:created xsi:type="dcterms:W3CDTF">2026-05-18T07:37:52Z</dcterms:created>
  <dcterms:modified xsi:type="dcterms:W3CDTF">2026-08-13T06:03:29Z</dcterms:modified>
</cp:coreProperties>
</file>